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R Operacional" sheetId="1" state="visible" r:id="rId1"/>
  </sheets>
  <definedNames>
    <definedName name="_xlnm._FilterDatabase" localSheetId="0" hidden="1">'SAR Operacional'!$A$2:$AA$1068</definedName>
  </definedNames>
  <calcPr calcId="124519" fullCalcOnLoad="1"/>
</workbook>
</file>

<file path=xl/styles.xml><?xml version="1.0" encoding="utf-8"?>
<styleSheet xmlns="http://schemas.openxmlformats.org/spreadsheetml/2006/main">
  <numFmts count="3">
    <numFmt numFmtId="164" formatCode="yyyy-mm-dd h:mm:ss"/>
    <numFmt numFmtId="165" formatCode="DD/MM/YYYY"/>
    <numFmt numFmtId="166" formatCode="R$ #,##0.00"/>
  </numFmts>
  <fonts count="4">
    <font>
      <name val="Calibri"/>
      <family val="2"/>
      <color theme="1"/>
      <sz val="11"/>
      <scheme val="minor"/>
    </font>
    <font>
      <name val="Calibri"/>
      <b val="1"/>
      <color rgb="00FFFFFF"/>
      <sz val="11"/>
    </font>
    <font>
      <name val="Calibri"/>
      <b val="1"/>
      <color rgb="00FFFFFF"/>
      <sz val="10"/>
    </font>
    <font>
      <name val="Calibri"/>
      <color rgb="00000000"/>
      <sz val="10"/>
    </font>
  </fonts>
  <fills count="6">
    <fill>
      <patternFill/>
    </fill>
    <fill>
      <patternFill patternType="gray125"/>
    </fill>
    <fill>
      <patternFill patternType="solid">
        <fgColor rgb="00004F71"/>
        <bgColor rgb="00004F71"/>
      </patternFill>
    </fill>
    <fill>
      <patternFill patternType="solid">
        <fgColor rgb="00D35400"/>
        <bgColor rgb="00D35400"/>
      </patternFill>
    </fill>
    <fill>
      <patternFill patternType="solid">
        <fgColor rgb="00006692"/>
        <bgColor rgb="00006692"/>
      </patternFill>
    </fill>
    <fill>
      <patternFill patternType="solid">
        <fgColor rgb="00E67E22"/>
        <bgColor rgb="00E67E22"/>
      </patternFill>
    </fill>
  </fills>
  <borders count="3">
    <border>
      <left/>
      <right/>
      <top/>
      <bottom/>
      <diagonal/>
    </border>
    <border>
      <left style="thin">
        <color rgb="00FFFFFF"/>
      </left>
      <right style="thin">
        <color rgb="00FFFFFF"/>
      </right>
      <top style="medium">
        <color rgb="00002D42"/>
      </top>
      <bottom style="medium">
        <color rgb="00002D42"/>
      </bottom>
    </border>
    <border>
      <left style="thin">
        <color rgb="00D3D3D3"/>
      </left>
      <right style="thin">
        <color rgb="00D3D3D3"/>
      </right>
      <top style="thin">
        <color rgb="00D3D3D3"/>
      </top>
      <bottom style="thin">
        <color rgb="00D3D3D3"/>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0" fillId="3" borderId="1" pivotButton="0" quotePrefix="0" xfId="0"/>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165" fontId="3" fillId="0" borderId="2" applyAlignment="1" pivotButton="0" quotePrefix="0" xfId="0">
      <alignment horizontal="center" vertical="center"/>
    </xf>
    <xf numFmtId="166" fontId="3" fillId="0" borderId="2" applyAlignment="1" pivotButton="0" quotePrefix="0" xfId="0">
      <alignment horizontal="right" vertical="center"/>
    </xf>
    <xf numFmtId="3" fontId="3"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68"/>
  <sheetViews>
    <sheetView showGridLines="1" workbookViewId="0">
      <pane ySplit="2" topLeftCell="A3" activePane="bottomLeft" state="frozen"/>
      <selection pane="bottomLeft" activeCell="A1" sqref="A1"/>
    </sheetView>
  </sheetViews>
  <sheetFormatPr baseColWidth="8" defaultRowHeight="15"/>
  <cols>
    <col width="15" customWidth="1" min="1" max="1"/>
    <col width="18" customWidth="1" min="2" max="2"/>
    <col width="14" customWidth="1" min="3" max="3"/>
    <col width="12" customWidth="1" min="4" max="4"/>
    <col width="12" customWidth="1" min="5" max="5"/>
    <col width="24" customWidth="1" min="6" max="6"/>
    <col width="32" customWidth="1" min="7" max="7"/>
    <col width="16" customWidth="1" min="8" max="8"/>
    <col width="35" customWidth="1" min="9" max="9"/>
    <col width="20" customWidth="1" min="10" max="10"/>
    <col width="20" customWidth="1" min="11" max="11"/>
    <col width="15" customWidth="1" min="12" max="12"/>
    <col width="14" customWidth="1" min="13" max="13"/>
    <col width="14" customWidth="1" min="14" max="14"/>
    <col width="15" customWidth="1" min="15" max="15"/>
    <col width="20" customWidth="1" min="16" max="16"/>
    <col width="18" customWidth="1" min="17" max="17"/>
    <col width="18" customWidth="1" min="18" max="18"/>
    <col width="15" customWidth="1" min="19" max="19"/>
    <col width="18" customWidth="1" min="20" max="20"/>
    <col width="15" customWidth="1" min="21" max="21"/>
    <col width="18" customWidth="1" min="22" max="22"/>
    <col width="22" customWidth="1" min="23" max="23"/>
    <col width="20" customWidth="1" min="24" max="24"/>
    <col width="14" customWidth="1" min="25" max="25"/>
    <col width="18" customWidth="1" min="26" max="26"/>
    <col width="30" customWidth="1" min="27" max="27"/>
  </cols>
  <sheetData>
    <row r="1" ht="28" customHeight="1">
      <c r="A1" s="1" t="inlineStr">
        <is>
          <t>ETAPA 1: OPERAÇÃO &amp; EXECUÇÃO DE CAMPO (PREENCHIMENTO: FRAN)</t>
        </is>
      </c>
      <c r="B1" s="2" t="n"/>
      <c r="C1" s="2" t="n"/>
      <c r="D1" s="2" t="n"/>
      <c r="E1" s="2" t="n"/>
      <c r="F1" s="2" t="n"/>
      <c r="G1" s="2" t="n"/>
      <c r="H1" s="2" t="n"/>
      <c r="I1" s="2" t="n"/>
      <c r="J1" s="2" t="n"/>
      <c r="K1" s="2" t="n"/>
      <c r="L1" s="2" t="n"/>
      <c r="M1" s="2" t="n"/>
      <c r="N1" s="2" t="n"/>
      <c r="O1" s="2" t="n"/>
      <c r="P1" s="2" t="n"/>
      <c r="Q1" s="2" t="n"/>
      <c r="R1" s="2" t="n"/>
      <c r="S1" s="3" t="inlineStr">
        <is>
          <t>ETAPA 2: MEDIÇÃO, WORKFLOW &amp; FATURAMENTO (PREENCHIMENTO: DOUGLAS)</t>
        </is>
      </c>
      <c r="T1" s="4" t="n"/>
      <c r="U1" s="4" t="n"/>
      <c r="V1" s="4" t="n"/>
      <c r="W1" s="4" t="n"/>
      <c r="X1" s="4" t="n"/>
      <c r="Y1" s="4" t="n"/>
      <c r="Z1" s="4" t="n"/>
      <c r="AA1" s="4" t="n"/>
    </row>
    <row r="2" ht="24" customHeight="1">
      <c r="A2" s="5" t="inlineStr">
        <is>
          <t>CÓDIGO SAR</t>
        </is>
      </c>
      <c r="B2" s="5" t="inlineStr">
        <is>
          <t>CIDADE</t>
        </is>
      </c>
      <c r="C2" s="5" t="inlineStr">
        <is>
          <t>ÁREA TÉCNICA</t>
        </is>
      </c>
      <c r="D2" s="5" t="inlineStr">
        <is>
          <t>NODE</t>
        </is>
      </c>
      <c r="E2" s="5" t="inlineStr">
        <is>
          <t>SITE</t>
        </is>
      </c>
      <c r="F2" s="5" t="inlineStr">
        <is>
          <t>CONDOMÍNIO</t>
        </is>
      </c>
      <c r="G2" s="5" t="inlineStr">
        <is>
          <t>ENDEREÇO</t>
        </is>
      </c>
      <c r="H2" s="5" t="inlineStr">
        <is>
          <t>CAIXA MDU</t>
        </is>
      </c>
      <c r="I2" s="5" t="inlineStr">
        <is>
          <t>SERVIÇO / ESCOPO</t>
        </is>
      </c>
      <c r="J2" s="5" t="inlineStr">
        <is>
          <t>EXECUTOR LINHA (Classe L)</t>
        </is>
      </c>
      <c r="K2" s="5" t="inlineStr">
        <is>
          <t>EXECUTOR FUSÃO (Classe F)</t>
        </is>
      </c>
      <c r="L2" s="5" t="inlineStr">
        <is>
          <t>DATA DE ENTRADA</t>
        </is>
      </c>
      <c r="M2" s="5" t="inlineStr">
        <is>
          <t>INÍCIO EM</t>
        </is>
      </c>
      <c r="N2" s="5" t="inlineStr">
        <is>
          <t>PREVISÃO</t>
        </is>
      </c>
      <c r="O2" s="5" t="inlineStr">
        <is>
          <t>DATA DE ENTREGA</t>
        </is>
      </c>
      <c r="P2" s="5" t="inlineStr">
        <is>
          <t>RELATÓRIO PPT / FOTOS</t>
        </is>
      </c>
      <c r="Q2" s="5" t="inlineStr">
        <is>
          <t>DATA ENVIO MEDIÇÃO</t>
        </is>
      </c>
      <c r="R2" s="5" t="inlineStr">
        <is>
          <t>STATUS OPERAÇÃO</t>
        </is>
      </c>
      <c r="S2" s="6" t="inlineStr">
        <is>
          <t>DATA MEDIÇÃO</t>
        </is>
      </c>
      <c r="T2" s="6" t="inlineStr">
        <is>
          <t>VALOR MEDIÇÃO (R$)</t>
        </is>
      </c>
      <c r="U2" s="6" t="inlineStr">
        <is>
          <t>Nº WF</t>
        </is>
      </c>
      <c r="V2" s="6" t="inlineStr">
        <is>
          <t>STATUS WF</t>
        </is>
      </c>
      <c r="W2" s="6" t="inlineStr">
        <is>
          <t>Nº DO PEDIDO / CONTRATO</t>
        </is>
      </c>
      <c r="X2" s="6" t="inlineStr">
        <is>
          <t>STATUS GERAL SAR</t>
        </is>
      </c>
      <c r="Y2" s="6" t="inlineStr">
        <is>
          <t>TEMPO (DIAS)</t>
        </is>
      </c>
      <c r="Z2" s="6" t="inlineStr">
        <is>
          <t>PRAZO (SLA 3 DIAS)</t>
        </is>
      </c>
      <c r="AA2" s="6" t="inlineStr">
        <is>
          <t>OBSERVAÇÕES</t>
        </is>
      </c>
    </row>
    <row r="3" ht="20" customHeight="1">
      <c r="A3" s="7" t="inlineStr">
        <is>
          <t>RSCLER0001</t>
        </is>
      </c>
      <c r="B3" s="8" t="inlineStr">
        <is>
          <t>PORTO ALEGRE</t>
        </is>
      </c>
      <c r="C3" s="7" t="inlineStr">
        <is>
          <t>FLOA</t>
        </is>
      </c>
      <c r="D3" s="7" t="inlineStr"/>
      <c r="E3" s="7" t="inlineStr"/>
      <c r="F3" s="8" t="inlineStr">
        <is>
          <t>COND. TREND24</t>
        </is>
      </c>
      <c r="G3" s="8" t="inlineStr">
        <is>
          <t>AVENIDA 24 DE OUTUBRO, 1440</t>
        </is>
      </c>
      <c r="H3" s="7" t="inlineStr"/>
      <c r="I3" s="8" t="inlineStr">
        <is>
          <t>ALINHAMENTO DE FIBRA</t>
        </is>
      </c>
      <c r="J3" s="8" t="inlineStr"/>
      <c r="K3" s="8" t="inlineStr">
        <is>
          <t>DIOGO</t>
        </is>
      </c>
      <c r="L3" s="9" t="n">
        <v>44928</v>
      </c>
      <c r="M3" s="9" t="n">
        <v>44928</v>
      </c>
      <c r="N3" s="9" t="n">
        <v>44942</v>
      </c>
      <c r="O3" s="9" t="n">
        <v>44942</v>
      </c>
      <c r="P3" s="7" t="inlineStr">
        <is>
          <t>NÃO PRECISA</t>
        </is>
      </c>
      <c r="Q3" s="7" t="inlineStr">
        <is>
          <t>SIM</t>
        </is>
      </c>
      <c r="R3" s="7" t="inlineStr">
        <is>
          <t>Concluído Campo</t>
        </is>
      </c>
      <c r="S3" s="7" t="inlineStr"/>
      <c r="T3" s="10" t="inlineStr"/>
      <c r="U3" s="7" t="inlineStr"/>
      <c r="V3" s="7" t="inlineStr"/>
      <c r="W3" s="7" t="inlineStr"/>
      <c r="X3" s="7" t="inlineStr">
        <is>
          <t>AG. MEDIÇÃO</t>
        </is>
      </c>
      <c r="Y3" s="11">
        <f>IF(AND(L3&lt;&gt;"", S3&lt;&gt;""), S3-L3, IF(L3&lt;&gt;"", TODAY()-L3, ""))</f>
        <v/>
      </c>
      <c r="Z3" s="7">
        <f>IF(Y3="", "", IF(Y3&lt;=3, "NO PRAZO", "ATRASADO"))</f>
        <v/>
      </c>
      <c r="AA3" s="8" t="inlineStr">
        <is>
          <t>100% - OK</t>
        </is>
      </c>
    </row>
    <row r="4" ht="20" customHeight="1">
      <c r="A4" s="7" t="inlineStr">
        <is>
          <t>RSCLER0002</t>
        </is>
      </c>
      <c r="B4" s="8" t="inlineStr">
        <is>
          <t>PORTO ALEGRE</t>
        </is>
      </c>
      <c r="C4" s="7" t="inlineStr">
        <is>
          <t>BVSAB</t>
        </is>
      </c>
      <c r="D4" s="7" t="inlineStr"/>
      <c r="E4" s="7" t="inlineStr"/>
      <c r="F4" s="8" t="inlineStr">
        <is>
          <t>COND. BELVEDERE HILLS</t>
        </is>
      </c>
      <c r="G4" s="8" t="inlineStr">
        <is>
          <t>CRISTIANO FISCHER, 590</t>
        </is>
      </c>
      <c r="H4" s="7" t="inlineStr"/>
      <c r="I4" s="8" t="inlineStr">
        <is>
          <t>ALINHAMENTO DE FIBRA</t>
        </is>
      </c>
      <c r="J4" s="8" t="inlineStr"/>
      <c r="K4" s="8" t="inlineStr">
        <is>
          <t>DIOGO</t>
        </is>
      </c>
      <c r="L4" s="9" t="n">
        <v>44928</v>
      </c>
      <c r="M4" s="9" t="n">
        <v>44928</v>
      </c>
      <c r="N4" s="9" t="n">
        <v>44942</v>
      </c>
      <c r="O4" s="9" t="n">
        <v>44942</v>
      </c>
      <c r="P4" s="7" t="inlineStr">
        <is>
          <t>NÃO PRECISA</t>
        </is>
      </c>
      <c r="Q4" s="7" t="inlineStr">
        <is>
          <t>SIM</t>
        </is>
      </c>
      <c r="R4" s="7" t="inlineStr">
        <is>
          <t>Concluído Campo</t>
        </is>
      </c>
      <c r="S4" s="7" t="inlineStr"/>
      <c r="T4" s="10" t="inlineStr"/>
      <c r="U4" s="7" t="inlineStr"/>
      <c r="V4" s="7" t="inlineStr"/>
      <c r="W4" s="7" t="inlineStr"/>
      <c r="X4" s="7" t="inlineStr">
        <is>
          <t>AG. MEDIÇÃO</t>
        </is>
      </c>
      <c r="Y4" s="11">
        <f>IF(AND(L4&lt;&gt;"", S4&lt;&gt;""), S4-L4, IF(L4&lt;&gt;"", TODAY()-L4, ""))</f>
        <v/>
      </c>
      <c r="Z4" s="7">
        <f>IF(Y4="", "", IF(Y4&lt;=3, "NO PRAZO", "ATRASADO"))</f>
        <v/>
      </c>
      <c r="AA4" s="8" t="inlineStr">
        <is>
          <t>100% - OK</t>
        </is>
      </c>
    </row>
    <row r="5" ht="20" customHeight="1">
      <c r="A5" s="7" t="inlineStr">
        <is>
          <t>RSCLER0003</t>
        </is>
      </c>
      <c r="B5" s="8" t="inlineStr">
        <is>
          <t>PORTO ALEGRE</t>
        </is>
      </c>
      <c r="C5" s="7" t="inlineStr">
        <is>
          <t>MTSAE</t>
        </is>
      </c>
      <c r="D5" s="7" t="inlineStr"/>
      <c r="E5" s="7" t="inlineStr"/>
      <c r="F5" s="8" t="inlineStr">
        <is>
          <t>COND. VENEZA</t>
        </is>
      </c>
      <c r="G5" s="8" t="inlineStr">
        <is>
          <t>RUA ANITA GARIBALDI, 520</t>
        </is>
      </c>
      <c r="H5" s="7" t="inlineStr"/>
      <c r="I5" s="8" t="inlineStr">
        <is>
          <t>ALINHAMENTO DE FIBRA</t>
        </is>
      </c>
      <c r="J5" s="8" t="inlineStr"/>
      <c r="K5" s="8" t="inlineStr">
        <is>
          <t>DIOGO</t>
        </is>
      </c>
      <c r="L5" s="9" t="n">
        <v>44928</v>
      </c>
      <c r="M5" s="9" t="n">
        <v>44928</v>
      </c>
      <c r="N5" s="9" t="n">
        <v>44942</v>
      </c>
      <c r="O5" s="9" t="n">
        <v>44942</v>
      </c>
      <c r="P5" s="7" t="inlineStr">
        <is>
          <t>NÃO PRECISA</t>
        </is>
      </c>
      <c r="Q5" s="7" t="inlineStr">
        <is>
          <t>SIM</t>
        </is>
      </c>
      <c r="R5" s="7" t="inlineStr">
        <is>
          <t>Concluído Campo</t>
        </is>
      </c>
      <c r="S5" s="7" t="inlineStr"/>
      <c r="T5" s="10" t="inlineStr"/>
      <c r="U5" s="7" t="inlineStr"/>
      <c r="V5" s="7" t="inlineStr"/>
      <c r="W5" s="7" t="inlineStr"/>
      <c r="X5" s="7" t="inlineStr">
        <is>
          <t>AG. MEDIÇÃO</t>
        </is>
      </c>
      <c r="Y5" s="11">
        <f>IF(AND(L5&lt;&gt;"", S5&lt;&gt;""), S5-L5, IF(L5&lt;&gt;"", TODAY()-L5, ""))</f>
        <v/>
      </c>
      <c r="Z5" s="7">
        <f>IF(Y5="", "", IF(Y5&lt;=3, "NO PRAZO", "ATRASADO"))</f>
        <v/>
      </c>
      <c r="AA5" s="8" t="inlineStr">
        <is>
          <t>100% - OK</t>
        </is>
      </c>
    </row>
    <row r="6" ht="20" customHeight="1">
      <c r="A6" s="7" t="inlineStr">
        <is>
          <t>RSCLER0004</t>
        </is>
      </c>
      <c r="B6" s="8" t="inlineStr">
        <is>
          <t>NOVO HAMBURGO</t>
        </is>
      </c>
      <c r="C6" s="7" t="inlineStr">
        <is>
          <t>CNTABB</t>
        </is>
      </c>
      <c r="D6" s="7" t="inlineStr"/>
      <c r="E6" s="7" t="inlineStr"/>
      <c r="F6" s="8" t="inlineStr">
        <is>
          <t>ED. DOM ALBERTO</t>
        </is>
      </c>
      <c r="G6" s="8" t="inlineStr">
        <is>
          <t>RUA AVAI, 241</t>
        </is>
      </c>
      <c r="H6" s="7" t="inlineStr"/>
      <c r="I6" s="8" t="inlineStr">
        <is>
          <t>LANÇAMENTO DE 546m (12FO)  E INSTALAÇÃO DE CAIXA NOVA</t>
        </is>
      </c>
      <c r="J6" s="8" t="inlineStr">
        <is>
          <t>MARCOS</t>
        </is>
      </c>
      <c r="K6" s="8" t="inlineStr">
        <is>
          <t>ALEX DUTRA</t>
        </is>
      </c>
      <c r="L6" s="9" t="n">
        <v>44928</v>
      </c>
      <c r="M6" s="9" t="n">
        <v>44928</v>
      </c>
      <c r="N6" s="9" t="n">
        <v>44936</v>
      </c>
      <c r="O6" s="9" t="n">
        <v>44936</v>
      </c>
      <c r="P6" s="7" t="inlineStr">
        <is>
          <t>NÃO PRECISA</t>
        </is>
      </c>
      <c r="Q6" s="7" t="inlineStr">
        <is>
          <t>SIM</t>
        </is>
      </c>
      <c r="R6" s="7" t="inlineStr">
        <is>
          <t>Concluído Campo</t>
        </is>
      </c>
      <c r="S6" s="7" t="inlineStr"/>
      <c r="T6" s="10" t="inlineStr"/>
      <c r="U6" s="7" t="inlineStr"/>
      <c r="V6" s="7" t="inlineStr"/>
      <c r="W6" s="7" t="inlineStr"/>
      <c r="X6" s="7" t="inlineStr">
        <is>
          <t>AG. MEDIÇÃO</t>
        </is>
      </c>
      <c r="Y6" s="11">
        <f>IF(AND(L6&lt;&gt;"", S6&lt;&gt;""), S6-L6, IF(L6&lt;&gt;"", TODAY()-L6, ""))</f>
        <v/>
      </c>
      <c r="Z6" s="7">
        <f>IF(Y6="", "", IF(Y6&lt;=3, "NO PRAZO", "ATRASADO"))</f>
        <v/>
      </c>
      <c r="AA6" s="8" t="inlineStr">
        <is>
          <t>100% - OK</t>
        </is>
      </c>
    </row>
    <row r="7" ht="20" customHeight="1">
      <c r="A7" s="7" t="inlineStr">
        <is>
          <t>RSCLER0005</t>
        </is>
      </c>
      <c r="B7" s="8" t="inlineStr">
        <is>
          <t>NOVO HAMBURGO</t>
        </is>
      </c>
      <c r="C7" s="7" t="inlineStr">
        <is>
          <t>CNTABB</t>
        </is>
      </c>
      <c r="D7" s="7" t="inlineStr"/>
      <c r="E7" s="7" t="inlineStr"/>
      <c r="F7" s="8" t="inlineStr">
        <is>
          <t>RES. SOLAR MERIDIEN</t>
        </is>
      </c>
      <c r="G7" s="8" t="inlineStr">
        <is>
          <t>RUA AVAI, 250</t>
        </is>
      </c>
      <c r="H7" s="7" t="inlineStr"/>
      <c r="I7" s="8" t="inlineStr">
        <is>
          <t>LANÇAMENTO DE 142m (12FO) E FUSÕES EM CAIXAS EXISTENTES</t>
        </is>
      </c>
      <c r="J7" s="8" t="inlineStr">
        <is>
          <t>MARCOS</t>
        </is>
      </c>
      <c r="K7" s="8" t="inlineStr">
        <is>
          <t>ALEX DUTRA</t>
        </is>
      </c>
      <c r="L7" s="9" t="n">
        <v>44928</v>
      </c>
      <c r="M7" s="9" t="n">
        <v>44928</v>
      </c>
      <c r="N7" s="9" t="n">
        <v>44936</v>
      </c>
      <c r="O7" s="9" t="n">
        <v>44936</v>
      </c>
      <c r="P7" s="7" t="inlineStr">
        <is>
          <t>NÃO PRECISA</t>
        </is>
      </c>
      <c r="Q7" s="7" t="inlineStr">
        <is>
          <t>SIM</t>
        </is>
      </c>
      <c r="R7" s="7" t="inlineStr">
        <is>
          <t>Concluído Campo</t>
        </is>
      </c>
      <c r="S7" s="7" t="inlineStr"/>
      <c r="T7" s="10" t="inlineStr"/>
      <c r="U7" s="7" t="inlineStr"/>
      <c r="V7" s="7" t="inlineStr"/>
      <c r="W7" s="7" t="inlineStr"/>
      <c r="X7" s="7" t="inlineStr">
        <is>
          <t>AG. MEDIÇÃO</t>
        </is>
      </c>
      <c r="Y7" s="11">
        <f>IF(AND(L7&lt;&gt;"", S7&lt;&gt;""), S7-L7, IF(L7&lt;&gt;"", TODAY()-L7, ""))</f>
        <v/>
      </c>
      <c r="Z7" s="7">
        <f>IF(Y7="", "", IF(Y7&lt;=3, "NO PRAZO", "ATRASADO"))</f>
        <v/>
      </c>
      <c r="AA7" s="8" t="inlineStr">
        <is>
          <t>100% - OK</t>
        </is>
      </c>
    </row>
    <row r="8" ht="20" customHeight="1">
      <c r="A8" s="7" t="inlineStr">
        <is>
          <t>RSCLER0006</t>
        </is>
      </c>
      <c r="B8" s="8" t="inlineStr">
        <is>
          <t>NOVO HAMBURGO</t>
        </is>
      </c>
      <c r="C8" s="7" t="inlineStr">
        <is>
          <t>CNTADBB</t>
        </is>
      </c>
      <c r="D8" s="7" t="inlineStr"/>
      <c r="E8" s="7" t="inlineStr"/>
      <c r="F8" s="8" t="inlineStr">
        <is>
          <t>ED. IMPERADOR</t>
        </is>
      </c>
      <c r="G8" s="8" t="inlineStr">
        <is>
          <t>RUA CRISTOVÃO COLOMBO, 516</t>
        </is>
      </c>
      <c r="H8" s="7" t="inlineStr"/>
      <c r="I8" s="8" t="inlineStr">
        <is>
          <t>LANÇAMENTO DE 340m (12FO)</t>
        </is>
      </c>
      <c r="J8" s="8" t="inlineStr"/>
      <c r="K8" s="8" t="inlineStr">
        <is>
          <t>DIOGO</t>
        </is>
      </c>
      <c r="L8" s="9" t="n">
        <v>44928</v>
      </c>
      <c r="M8" s="9" t="n">
        <v>44928</v>
      </c>
      <c r="N8" s="9" t="n">
        <v>44949</v>
      </c>
      <c r="O8" s="9" t="n">
        <v>44949</v>
      </c>
      <c r="P8" s="7" t="inlineStr">
        <is>
          <t>NÃO PRECISA</t>
        </is>
      </c>
      <c r="Q8" s="7" t="inlineStr">
        <is>
          <t>COBRADO</t>
        </is>
      </c>
      <c r="R8" s="7" t="inlineStr">
        <is>
          <t>Concluído Campo</t>
        </is>
      </c>
      <c r="S8" s="7" t="inlineStr"/>
      <c r="T8" s="10" t="inlineStr"/>
      <c r="U8" s="7" t="inlineStr"/>
      <c r="V8" s="7" t="inlineStr"/>
      <c r="W8" s="7" t="inlineStr"/>
      <c r="X8" s="7" t="inlineStr">
        <is>
          <t>AG. MEDIÇÃO</t>
        </is>
      </c>
      <c r="Y8" s="11">
        <f>IF(AND(L8&lt;&gt;"", S8&lt;&gt;""), S8-L8, IF(L8&lt;&gt;"", TODAY()-L8, ""))</f>
        <v/>
      </c>
      <c r="Z8" s="7">
        <f>IF(Y8="", "", IF(Y8&lt;=3, "NO PRAZO", "ATRASADO"))</f>
        <v/>
      </c>
      <c r="AA8" s="8" t="inlineStr">
        <is>
          <t>100% - OK</t>
        </is>
      </c>
    </row>
    <row r="9" ht="20" customHeight="1">
      <c r="A9" s="7" t="inlineStr">
        <is>
          <t>RSCLER0007</t>
        </is>
      </c>
      <c r="B9" s="8" t="inlineStr">
        <is>
          <t>CANOAS</t>
        </is>
      </c>
      <c r="C9" s="7" t="inlineStr">
        <is>
          <t>MNDAA</t>
        </is>
      </c>
      <c r="D9" s="7" t="inlineStr"/>
      <c r="E9" s="7" t="inlineStr"/>
      <c r="F9" s="8" t="inlineStr">
        <is>
          <t>COND. SÃO JOSÉ</t>
        </is>
      </c>
      <c r="G9" s="8" t="inlineStr">
        <is>
          <t>RUA DOM JOÃO BECKER, 1852</t>
        </is>
      </c>
      <c r="H9" s="7" t="inlineStr"/>
      <c r="I9" s="8" t="inlineStr">
        <is>
          <t>LANÇAMENTO DE 1663m (12FO)  E  INSTALAÇÃO DE CAIXA NOVA</t>
        </is>
      </c>
      <c r="J9" s="8" t="inlineStr">
        <is>
          <t>NEIMAR LUCERO</t>
        </is>
      </c>
      <c r="K9" s="8" t="inlineStr">
        <is>
          <t>PAULO GOMES</t>
        </is>
      </c>
      <c r="L9" s="9" t="n">
        <v>44928</v>
      </c>
      <c r="M9" s="9" t="n">
        <v>44928</v>
      </c>
      <c r="N9" s="9" t="n">
        <v>44946</v>
      </c>
      <c r="O9" s="9" t="n">
        <v>44946</v>
      </c>
      <c r="P9" s="7" t="inlineStr">
        <is>
          <t>NÃO PRECISA</t>
        </is>
      </c>
      <c r="Q9" s="7" t="inlineStr">
        <is>
          <t>SIM</t>
        </is>
      </c>
      <c r="R9" s="7" t="inlineStr">
        <is>
          <t>Concluído Campo</t>
        </is>
      </c>
      <c r="S9" s="7" t="inlineStr"/>
      <c r="T9" s="10" t="inlineStr"/>
      <c r="U9" s="7" t="inlineStr"/>
      <c r="V9" s="7" t="inlineStr"/>
      <c r="W9" s="7" t="inlineStr"/>
      <c r="X9" s="7" t="inlineStr">
        <is>
          <t>AG. MEDIÇÃO</t>
        </is>
      </c>
      <c r="Y9" s="11">
        <f>IF(AND(L9&lt;&gt;"", S9&lt;&gt;""), S9-L9, IF(L9&lt;&gt;"", TODAY()-L9, ""))</f>
        <v/>
      </c>
      <c r="Z9" s="7">
        <f>IF(Y9="", "", IF(Y9&lt;=3, "NO PRAZO", "ATRASADO"))</f>
        <v/>
      </c>
      <c r="AA9" s="8" t="inlineStr">
        <is>
          <t>100% - OK</t>
        </is>
      </c>
    </row>
    <row r="10" ht="20" customHeight="1">
      <c r="A10" s="7" t="inlineStr">
        <is>
          <t>RSCLER0008</t>
        </is>
      </c>
      <c r="B10" s="8" t="inlineStr">
        <is>
          <t>PORTO ALEGRE</t>
        </is>
      </c>
      <c r="C10" s="7" t="inlineStr">
        <is>
          <t>AZNAA</t>
        </is>
      </c>
      <c r="D10" s="7" t="inlineStr"/>
      <c r="E10" s="7" t="inlineStr"/>
      <c r="F10" s="8" t="inlineStr">
        <is>
          <t>COND. LIFT RESIDENCE</t>
        </is>
      </c>
      <c r="G10" s="8" t="inlineStr">
        <is>
          <t>RUA FAGUNDES VARELA, 200</t>
        </is>
      </c>
      <c r="H10" s="7" t="inlineStr"/>
      <c r="I10" s="8" t="inlineStr"/>
      <c r="J10" s="8" t="inlineStr"/>
      <c r="K10" s="8" t="inlineStr"/>
      <c r="L10" s="9" t="n">
        <v>44928</v>
      </c>
      <c r="M10" s="9" t="n">
        <v>44928</v>
      </c>
      <c r="N10" s="9" t="n">
        <v>44949</v>
      </c>
      <c r="O10" s="9" t="n">
        <v>44949</v>
      </c>
      <c r="P10" s="7" t="inlineStr">
        <is>
          <t>NÃO PRECISA</t>
        </is>
      </c>
      <c r="Q10" s="9" t="n">
        <v>45118</v>
      </c>
      <c r="R10" s="7" t="inlineStr">
        <is>
          <t>Concluído Campo</t>
        </is>
      </c>
      <c r="S10" s="7" t="inlineStr"/>
      <c r="T10" s="10" t="inlineStr"/>
      <c r="U10" s="7" t="inlineStr"/>
      <c r="V10" s="7" t="inlineStr"/>
      <c r="W10" s="7" t="inlineStr"/>
      <c r="X10" s="7" t="inlineStr">
        <is>
          <t>AG. MEDIÇÃO</t>
        </is>
      </c>
      <c r="Y10" s="11">
        <f>IF(AND(L10&lt;&gt;"", S10&lt;&gt;""), S10-L10, IF(L10&lt;&gt;"", TODAY()-L10, ""))</f>
        <v/>
      </c>
      <c r="Z10" s="7">
        <f>IF(Y10="", "", IF(Y10&lt;=3, "NO PRAZO", "ATRASADO"))</f>
        <v/>
      </c>
      <c r="AA10" s="8" t="inlineStr">
        <is>
          <t>100% - OK</t>
        </is>
      </c>
    </row>
    <row r="11" ht="20" customHeight="1">
      <c r="A11" s="7" t="inlineStr">
        <is>
          <t>RSCLER0009</t>
        </is>
      </c>
      <c r="B11" s="8" t="inlineStr">
        <is>
          <t>NOVO HAMBURGO</t>
        </is>
      </c>
      <c r="C11" s="7" t="inlineStr">
        <is>
          <t>CNTABB</t>
        </is>
      </c>
      <c r="D11" s="7" t="inlineStr"/>
      <c r="E11" s="7" t="inlineStr"/>
      <c r="F11" s="8" t="inlineStr">
        <is>
          <t>MURANO RESIDENCE</t>
        </is>
      </c>
      <c r="G11" s="8" t="inlineStr">
        <is>
          <t>RUA GOMES PORTINHO, 637</t>
        </is>
      </c>
      <c r="H11" s="7" t="inlineStr"/>
      <c r="I11" s="8" t="inlineStr">
        <is>
          <t>LANÇAMENTO DE 356m (12FO) E  E INSTALAÇÃO DE CAIXA NOVA</t>
        </is>
      </c>
      <c r="J11" s="8" t="inlineStr">
        <is>
          <t>GIOVANE</t>
        </is>
      </c>
      <c r="K11" s="8" t="inlineStr">
        <is>
          <t>ALEX DUTRA</t>
        </is>
      </c>
      <c r="L11" s="9" t="n">
        <v>44928</v>
      </c>
      <c r="M11" s="9" t="n">
        <v>44928</v>
      </c>
      <c r="N11" s="9" t="n">
        <v>44936</v>
      </c>
      <c r="O11" s="9" t="n">
        <v>44936</v>
      </c>
      <c r="P11" s="7" t="inlineStr">
        <is>
          <t>NÃO PRECISA</t>
        </is>
      </c>
      <c r="Q11" s="7" t="inlineStr">
        <is>
          <t>SIM</t>
        </is>
      </c>
      <c r="R11" s="7" t="inlineStr">
        <is>
          <t>Concluído Campo</t>
        </is>
      </c>
      <c r="S11" s="7" t="inlineStr"/>
      <c r="T11" s="10" t="inlineStr"/>
      <c r="U11" s="7" t="inlineStr"/>
      <c r="V11" s="7" t="inlineStr"/>
      <c r="W11" s="7" t="inlineStr"/>
      <c r="X11" s="7" t="inlineStr">
        <is>
          <t>AG. MEDIÇÃO</t>
        </is>
      </c>
      <c r="Y11" s="11">
        <f>IF(AND(L11&lt;&gt;"", S11&lt;&gt;""), S11-L11, IF(L11&lt;&gt;"", TODAY()-L11, ""))</f>
        <v/>
      </c>
      <c r="Z11" s="7">
        <f>IF(Y11="", "", IF(Y11&lt;=3, "NO PRAZO", "ATRASADO"))</f>
        <v/>
      </c>
      <c r="AA11" s="8" t="inlineStr">
        <is>
          <t>100% - OK</t>
        </is>
      </c>
    </row>
    <row r="12" ht="20" customHeight="1">
      <c r="A12" s="7" t="inlineStr">
        <is>
          <t>RSCLER0010</t>
        </is>
      </c>
      <c r="B12" s="8" t="inlineStr">
        <is>
          <t>NOVO HAMBURGO</t>
        </is>
      </c>
      <c r="C12" s="7" t="inlineStr">
        <is>
          <t>CNTADBB</t>
        </is>
      </c>
      <c r="D12" s="7" t="inlineStr"/>
      <c r="E12" s="7" t="inlineStr"/>
      <c r="F12" s="8" t="inlineStr">
        <is>
          <t>ED. JARDIM VILA ROSA</t>
        </is>
      </c>
      <c r="G12" s="8" t="inlineStr">
        <is>
          <t>RUA JOAQUIM MANOEL MACEDO, 33</t>
        </is>
      </c>
      <c r="H12" s="7" t="inlineStr"/>
      <c r="I12" s="8" t="inlineStr">
        <is>
          <t>LANÇAMENTO DE 171m (12FO) E  E INSTALAÇÃO DE CAIXA NOVA</t>
        </is>
      </c>
      <c r="J12" s="8" t="inlineStr">
        <is>
          <t>GIOVANE</t>
        </is>
      </c>
      <c r="K12" s="8" t="inlineStr">
        <is>
          <t>ALEX DUTRA</t>
        </is>
      </c>
      <c r="L12" s="9" t="n">
        <v>44928</v>
      </c>
      <c r="M12" s="9" t="n">
        <v>44928</v>
      </c>
      <c r="N12" s="9" t="n">
        <v>44938</v>
      </c>
      <c r="O12" s="9" t="n">
        <v>44938</v>
      </c>
      <c r="P12" s="7" t="inlineStr">
        <is>
          <t>NÃO PRECISA</t>
        </is>
      </c>
      <c r="Q12" s="7" t="inlineStr">
        <is>
          <t>SIM</t>
        </is>
      </c>
      <c r="R12" s="7" t="inlineStr">
        <is>
          <t>Concluído Campo</t>
        </is>
      </c>
      <c r="S12" s="7" t="inlineStr"/>
      <c r="T12" s="10" t="inlineStr"/>
      <c r="U12" s="7" t="inlineStr"/>
      <c r="V12" s="7" t="inlineStr"/>
      <c r="W12" s="7" t="inlineStr"/>
      <c r="X12" s="7" t="inlineStr">
        <is>
          <t>AG. MEDIÇÃO</t>
        </is>
      </c>
      <c r="Y12" s="11">
        <f>IF(AND(L12&lt;&gt;"", S12&lt;&gt;""), S12-L12, IF(L12&lt;&gt;"", TODAY()-L12, ""))</f>
        <v/>
      </c>
      <c r="Z12" s="7">
        <f>IF(Y12="", "", IF(Y12&lt;=3, "NO PRAZO", "ATRASADO"))</f>
        <v/>
      </c>
      <c r="AA12" s="8" t="inlineStr">
        <is>
          <t>100% - OK</t>
        </is>
      </c>
    </row>
    <row r="13" ht="20" customHeight="1">
      <c r="A13" s="7" t="inlineStr">
        <is>
          <t>RSCLER0011</t>
        </is>
      </c>
      <c r="B13" s="8" t="inlineStr">
        <is>
          <t>NOVO HAMBURGO</t>
        </is>
      </c>
      <c r="C13" s="7" t="inlineStr">
        <is>
          <t>SJOAFB</t>
        </is>
      </c>
      <c r="D13" s="7" t="inlineStr"/>
      <c r="E13" s="7" t="inlineStr"/>
      <c r="F13" s="8" t="inlineStr">
        <is>
          <t>RES. LONDON</t>
        </is>
      </c>
      <c r="G13" s="8" t="inlineStr">
        <is>
          <t>RUA JULIO BIRCKS, 620</t>
        </is>
      </c>
      <c r="H13" s="7" t="inlineStr"/>
      <c r="I13" s="8" t="inlineStr">
        <is>
          <t>2 ABERTURA E EFECHAMENTO,  6 FUSÕES, 5 TETES</t>
        </is>
      </c>
      <c r="J13" s="8" t="inlineStr"/>
      <c r="K13" s="8" t="inlineStr">
        <is>
          <t>DIOGO</t>
        </is>
      </c>
      <c r="L13" s="9" t="n">
        <v>44974</v>
      </c>
      <c r="M13" s="9" t="n">
        <v>44995</v>
      </c>
      <c r="N13" s="9" t="n">
        <v>44999</v>
      </c>
      <c r="O13" s="9" t="n">
        <v>44999</v>
      </c>
      <c r="P13" s="7" t="inlineStr">
        <is>
          <t>NÃO PRECISA</t>
        </is>
      </c>
      <c r="Q13" s="9" t="n">
        <v>45096</v>
      </c>
      <c r="R13" s="7" t="inlineStr">
        <is>
          <t>Concluído Campo</t>
        </is>
      </c>
      <c r="S13" s="7" t="inlineStr"/>
      <c r="T13" s="10" t="inlineStr"/>
      <c r="U13" s="7" t="inlineStr"/>
      <c r="V13" s="7" t="inlineStr"/>
      <c r="W13" s="7" t="inlineStr"/>
      <c r="X13" s="7" t="inlineStr">
        <is>
          <t>AG. MEDIÇÃO</t>
        </is>
      </c>
      <c r="Y13" s="11">
        <f>IF(AND(L13&lt;&gt;"", S13&lt;&gt;""), S13-L13, IF(L13&lt;&gt;"", TODAY()-L13, ""))</f>
        <v/>
      </c>
      <c r="Z13" s="7">
        <f>IF(Y13="", "", IF(Y13&lt;=3, "NO PRAZO", "ATRASADO"))</f>
        <v/>
      </c>
      <c r="AA13" s="8" t="inlineStr">
        <is>
          <t>100% - OK</t>
        </is>
      </c>
    </row>
    <row r="14" ht="20" customHeight="1">
      <c r="A14" s="7" t="inlineStr">
        <is>
          <t>RSCLER0012</t>
        </is>
      </c>
      <c r="B14" s="8" t="inlineStr">
        <is>
          <t>NOVO HAMBURGO</t>
        </is>
      </c>
      <c r="C14" s="7" t="inlineStr">
        <is>
          <t>CNTABB</t>
        </is>
      </c>
      <c r="D14" s="7" t="inlineStr"/>
      <c r="E14" s="7" t="inlineStr"/>
      <c r="F14" s="8" t="inlineStr">
        <is>
          <t>PREVIDENCIA</t>
        </is>
      </c>
      <c r="G14" s="8" t="inlineStr">
        <is>
          <t>RUA JULIO DE CASTILHO, 250</t>
        </is>
      </c>
      <c r="H14" s="7" t="inlineStr"/>
      <c r="I14" s="8" t="inlineStr">
        <is>
          <t>LANÇAMENTO DE 96m (12FO) E  E INSTALAÇÃO DE CAIXA NOVA</t>
        </is>
      </c>
      <c r="J14" s="8" t="inlineStr">
        <is>
          <t>GIOVANE</t>
        </is>
      </c>
      <c r="K14" s="8" t="inlineStr">
        <is>
          <t>ALEX DUTRA</t>
        </is>
      </c>
      <c r="L14" s="9" t="n">
        <v>44928</v>
      </c>
      <c r="M14" s="9" t="n">
        <v>44928</v>
      </c>
      <c r="N14" s="9" t="n">
        <v>44938</v>
      </c>
      <c r="O14" s="9" t="n">
        <v>44938</v>
      </c>
      <c r="P14" s="7" t="inlineStr">
        <is>
          <t>NÃO PRECISA</t>
        </is>
      </c>
      <c r="Q14" s="7" t="inlineStr">
        <is>
          <t>SIM</t>
        </is>
      </c>
      <c r="R14" s="7" t="inlineStr">
        <is>
          <t>Concluído Campo</t>
        </is>
      </c>
      <c r="S14" s="7" t="inlineStr"/>
      <c r="T14" s="10" t="inlineStr"/>
      <c r="U14" s="7" t="inlineStr"/>
      <c r="V14" s="7" t="inlineStr"/>
      <c r="W14" s="7" t="inlineStr"/>
      <c r="X14" s="7" t="inlineStr">
        <is>
          <t>AG. MEDIÇÃO</t>
        </is>
      </c>
      <c r="Y14" s="11">
        <f>IF(AND(L14&lt;&gt;"", S14&lt;&gt;""), S14-L14, IF(L14&lt;&gt;"", TODAY()-L14, ""))</f>
        <v/>
      </c>
      <c r="Z14" s="7">
        <f>IF(Y14="", "", IF(Y14&lt;=3, "NO PRAZO", "ATRASADO"))</f>
        <v/>
      </c>
      <c r="AA14" s="8" t="inlineStr">
        <is>
          <t>100% - OK</t>
        </is>
      </c>
    </row>
    <row r="15" ht="20" customHeight="1">
      <c r="A15" s="7" t="inlineStr">
        <is>
          <t>RSCLER0013</t>
        </is>
      </c>
      <c r="B15" s="8" t="inlineStr">
        <is>
          <t>NOVO HAMBURGO</t>
        </is>
      </c>
      <c r="C15" s="7" t="inlineStr">
        <is>
          <t>CNTABB</t>
        </is>
      </c>
      <c r="D15" s="7" t="inlineStr"/>
      <c r="E15" s="7" t="inlineStr"/>
      <c r="F15" s="8" t="inlineStr">
        <is>
          <t>GALERIA ACI-NHO</t>
        </is>
      </c>
      <c r="G15" s="8" t="inlineStr">
        <is>
          <t>RUA JULIO DE CASTILHO, 351</t>
        </is>
      </c>
      <c r="H15" s="7" t="inlineStr"/>
      <c r="I15" s="8" t="inlineStr">
        <is>
          <t>9.99999999999999e+34</t>
        </is>
      </c>
      <c r="J15" s="8" t="inlineStr"/>
      <c r="K15" s="8" t="inlineStr">
        <is>
          <t>ALEX DUTRA</t>
        </is>
      </c>
      <c r="L15" s="9" t="n">
        <v>44928</v>
      </c>
      <c r="M15" s="9" t="n">
        <v>44928</v>
      </c>
      <c r="N15" s="9" t="n">
        <v>44939</v>
      </c>
      <c r="O15" s="9" t="n">
        <v>44939</v>
      </c>
      <c r="P15" s="7" t="inlineStr">
        <is>
          <t>NÃO PRECISA</t>
        </is>
      </c>
      <c r="Q15" s="7" t="inlineStr">
        <is>
          <t>SIM</t>
        </is>
      </c>
      <c r="R15" s="7" t="inlineStr">
        <is>
          <t>Concluído Campo</t>
        </is>
      </c>
      <c r="S15" s="7" t="inlineStr"/>
      <c r="T15" s="10" t="inlineStr"/>
      <c r="U15" s="7" t="inlineStr"/>
      <c r="V15" s="7" t="inlineStr"/>
      <c r="W15" s="7" t="inlineStr"/>
      <c r="X15" s="7" t="inlineStr">
        <is>
          <t>AG. MEDIÇÃO</t>
        </is>
      </c>
      <c r="Y15" s="11">
        <f>IF(AND(L15&lt;&gt;"", S15&lt;&gt;""), S15-L15, IF(L15&lt;&gt;"", TODAY()-L15, ""))</f>
        <v/>
      </c>
      <c r="Z15" s="7">
        <f>IF(Y15="", "", IF(Y15&lt;=3, "NO PRAZO", "ATRASADO"))</f>
        <v/>
      </c>
      <c r="AA15" s="8" t="inlineStr">
        <is>
          <t>100% - OK</t>
        </is>
      </c>
    </row>
    <row r="16" ht="20" customHeight="1">
      <c r="A16" s="7" t="inlineStr">
        <is>
          <t>RSCLER0014</t>
        </is>
      </c>
      <c r="B16" s="8" t="inlineStr">
        <is>
          <t>NOVO HAMBURGO</t>
        </is>
      </c>
      <c r="C16" s="7" t="inlineStr">
        <is>
          <t>CNTABB</t>
        </is>
      </c>
      <c r="D16" s="7" t="inlineStr"/>
      <c r="E16" s="7" t="inlineStr"/>
      <c r="F16" s="8" t="inlineStr">
        <is>
          <t>TORRE CORAL</t>
        </is>
      </c>
      <c r="G16" s="8" t="inlineStr">
        <is>
          <t>RUA PEDRO ADAMS FILHO, 5757</t>
        </is>
      </c>
      <c r="H16" s="7" t="inlineStr"/>
      <c r="I16" s="8" t="inlineStr">
        <is>
          <t>LANÇAMENTO DE 151m (12FO) E  E INSTALAÇÃO DE CAIXA NOVA</t>
        </is>
      </c>
      <c r="J16" s="8" t="inlineStr">
        <is>
          <t>GIOVANE</t>
        </is>
      </c>
      <c r="K16" s="8" t="inlineStr">
        <is>
          <t>ALEX DUTRA</t>
        </is>
      </c>
      <c r="L16" s="9" t="n">
        <v>44928</v>
      </c>
      <c r="M16" s="9" t="n">
        <v>44928</v>
      </c>
      <c r="N16" s="9" t="n">
        <v>44938</v>
      </c>
      <c r="O16" s="9" t="n">
        <v>44938</v>
      </c>
      <c r="P16" s="7" t="inlineStr">
        <is>
          <t>NÃO PRECISA</t>
        </is>
      </c>
      <c r="Q16" s="7" t="inlineStr">
        <is>
          <t>SIM</t>
        </is>
      </c>
      <c r="R16" s="7" t="inlineStr">
        <is>
          <t>Concluído Campo</t>
        </is>
      </c>
      <c r="S16" s="7" t="inlineStr"/>
      <c r="T16" s="10" t="inlineStr"/>
      <c r="U16" s="7" t="inlineStr"/>
      <c r="V16" s="7" t="inlineStr"/>
      <c r="W16" s="7" t="inlineStr"/>
      <c r="X16" s="7" t="inlineStr">
        <is>
          <t>AG. MEDIÇÃO</t>
        </is>
      </c>
      <c r="Y16" s="11">
        <f>IF(AND(L16&lt;&gt;"", S16&lt;&gt;""), S16-L16, IF(L16&lt;&gt;"", TODAY()-L16, ""))</f>
        <v/>
      </c>
      <c r="Z16" s="7">
        <f>IF(Y16="", "", IF(Y16&lt;=3, "NO PRAZO", "ATRASADO"))</f>
        <v/>
      </c>
      <c r="AA16" s="8" t="inlineStr">
        <is>
          <t>100% - OK</t>
        </is>
      </c>
    </row>
    <row r="17" ht="20" customHeight="1">
      <c r="A17" s="7" t="inlineStr">
        <is>
          <t>RSCLER0015</t>
        </is>
      </c>
      <c r="B17" s="8" t="inlineStr">
        <is>
          <t>NOVO HAMBURGO</t>
        </is>
      </c>
      <c r="C17" s="7" t="inlineStr">
        <is>
          <t>CNTABB</t>
        </is>
      </c>
      <c r="D17" s="7" t="inlineStr"/>
      <c r="E17" s="7" t="inlineStr"/>
      <c r="F17" s="8" t="inlineStr">
        <is>
          <t>ED. SAINT PAUL</t>
        </is>
      </c>
      <c r="G17" s="8" t="inlineStr">
        <is>
          <t>RUA PEDRO ALVARES CABRAL, 590</t>
        </is>
      </c>
      <c r="H17" s="7" t="inlineStr"/>
      <c r="I17" s="8" t="inlineStr">
        <is>
          <t>LANÇAMENTO DE 342m (12FO) E  E INSTALAÇÃO DE CAIXA NOVA</t>
        </is>
      </c>
      <c r="J17" s="8" t="inlineStr">
        <is>
          <t>MARCOS</t>
        </is>
      </c>
      <c r="K17" s="8" t="inlineStr">
        <is>
          <t>ALEX DUTRA</t>
        </is>
      </c>
      <c r="L17" s="9" t="n">
        <v>44928</v>
      </c>
      <c r="M17" s="9" t="n">
        <v>44928</v>
      </c>
      <c r="N17" s="9" t="n">
        <v>44936</v>
      </c>
      <c r="O17" s="9" t="n">
        <v>44936</v>
      </c>
      <c r="P17" s="7" t="inlineStr">
        <is>
          <t>NÃO PRECISA</t>
        </is>
      </c>
      <c r="Q17" s="7" t="inlineStr">
        <is>
          <t>SIM</t>
        </is>
      </c>
      <c r="R17" s="7" t="inlineStr">
        <is>
          <t>Concluído Campo</t>
        </is>
      </c>
      <c r="S17" s="7" t="inlineStr"/>
      <c r="T17" s="10" t="inlineStr"/>
      <c r="U17" s="7" t="inlineStr"/>
      <c r="V17" s="7" t="inlineStr"/>
      <c r="W17" s="7" t="inlineStr"/>
      <c r="X17" s="7" t="inlineStr">
        <is>
          <t>AG. MEDIÇÃO</t>
        </is>
      </c>
      <c r="Y17" s="11">
        <f>IF(AND(L17&lt;&gt;"", S17&lt;&gt;""), S17-L17, IF(L17&lt;&gt;"", TODAY()-L17, ""))</f>
        <v/>
      </c>
      <c r="Z17" s="7">
        <f>IF(Y17="", "", IF(Y17&lt;=3, "NO PRAZO", "ATRASADO"))</f>
        <v/>
      </c>
      <c r="AA17" s="8" t="inlineStr">
        <is>
          <t>100% - OK</t>
        </is>
      </c>
    </row>
    <row r="18" ht="20" customHeight="1">
      <c r="A18" s="7" t="inlineStr">
        <is>
          <t>RSCLER0016</t>
        </is>
      </c>
      <c r="B18" s="8" t="inlineStr">
        <is>
          <t>NOVO HAMBURGO</t>
        </is>
      </c>
      <c r="C18" s="7" t="inlineStr">
        <is>
          <t>CNTABB</t>
        </is>
      </c>
      <c r="D18" s="7" t="inlineStr"/>
      <c r="E18" s="7" t="inlineStr"/>
      <c r="F18" s="8" t="inlineStr">
        <is>
          <t>COND. PEDRO ALVARES CABRAL</t>
        </is>
      </c>
      <c r="G18" s="8" t="inlineStr">
        <is>
          <t>RUA PEDRO ALVARES CABRAL, 608</t>
        </is>
      </c>
      <c r="H18" s="7" t="inlineStr"/>
      <c r="I18" s="8" t="inlineStr">
        <is>
          <t>ALINHAMENTO DE FIBRA</t>
        </is>
      </c>
      <c r="J18" s="8" t="inlineStr"/>
      <c r="K18" s="8" t="inlineStr">
        <is>
          <t>ALEX DUTRA</t>
        </is>
      </c>
      <c r="L18" s="9" t="n">
        <v>44928</v>
      </c>
      <c r="M18" s="9" t="n">
        <v>44928</v>
      </c>
      <c r="N18" s="9" t="n">
        <v>44936</v>
      </c>
      <c r="O18" s="9" t="n">
        <v>44936</v>
      </c>
      <c r="P18" s="7" t="inlineStr">
        <is>
          <t>NÃO PRECISA</t>
        </is>
      </c>
      <c r="Q18" s="7" t="inlineStr">
        <is>
          <t>SIM</t>
        </is>
      </c>
      <c r="R18" s="7" t="inlineStr">
        <is>
          <t>Concluído Campo</t>
        </is>
      </c>
      <c r="S18" s="7" t="inlineStr"/>
      <c r="T18" s="10" t="inlineStr"/>
      <c r="U18" s="7" t="inlineStr"/>
      <c r="V18" s="7" t="inlineStr"/>
      <c r="W18" s="7" t="inlineStr"/>
      <c r="X18" s="7" t="inlineStr">
        <is>
          <t>AG. MEDIÇÃO</t>
        </is>
      </c>
      <c r="Y18" s="11">
        <f>IF(AND(L18&lt;&gt;"", S18&lt;&gt;""), S18-L18, IF(L18&lt;&gt;"", TODAY()-L18, ""))</f>
        <v/>
      </c>
      <c r="Z18" s="7">
        <f>IF(Y18="", "", IF(Y18&lt;=3, "NO PRAZO", "ATRASADO"))</f>
        <v/>
      </c>
      <c r="AA18" s="8" t="inlineStr">
        <is>
          <t>100% - OK</t>
        </is>
      </c>
    </row>
    <row r="19" ht="20" customHeight="1">
      <c r="A19" s="7" t="inlineStr">
        <is>
          <t>RSCLER0017</t>
        </is>
      </c>
      <c r="B19" s="8" t="inlineStr">
        <is>
          <t>NOVO HAMBURGO</t>
        </is>
      </c>
      <c r="C19" s="7" t="inlineStr">
        <is>
          <t>CNTABB</t>
        </is>
      </c>
      <c r="D19" s="7" t="inlineStr"/>
      <c r="E19" s="7" t="inlineStr"/>
      <c r="F19" s="8" t="inlineStr">
        <is>
          <t>EDIFICO SÃO GABRIEL</t>
        </is>
      </c>
      <c r="G19" s="8" t="inlineStr">
        <is>
          <t>RUA PEDRO ALVARES CABRAL, 638</t>
        </is>
      </c>
      <c r="H19" s="7" t="inlineStr"/>
      <c r="I19" s="8" t="inlineStr">
        <is>
          <t>ALINHAMENTO DE FIBRA</t>
        </is>
      </c>
      <c r="J19" s="8" t="inlineStr"/>
      <c r="K19" s="8" t="inlineStr">
        <is>
          <t>ALEX DUTRA</t>
        </is>
      </c>
      <c r="L19" s="9" t="n">
        <v>44928</v>
      </c>
      <c r="M19" s="9" t="n">
        <v>44928</v>
      </c>
      <c r="N19" s="9" t="n">
        <v>44936</v>
      </c>
      <c r="O19" s="9" t="n">
        <v>44936</v>
      </c>
      <c r="P19" s="7" t="inlineStr">
        <is>
          <t>NÃO PRECISA</t>
        </is>
      </c>
      <c r="Q19" s="7" t="inlineStr">
        <is>
          <t>SIM</t>
        </is>
      </c>
      <c r="R19" s="7" t="inlineStr">
        <is>
          <t>Concluído Campo</t>
        </is>
      </c>
      <c r="S19" s="7" t="inlineStr"/>
      <c r="T19" s="10" t="inlineStr"/>
      <c r="U19" s="7" t="inlineStr"/>
      <c r="V19" s="7" t="inlineStr"/>
      <c r="W19" s="7" t="inlineStr"/>
      <c r="X19" s="7" t="inlineStr">
        <is>
          <t>AG. MEDIÇÃO</t>
        </is>
      </c>
      <c r="Y19" s="11">
        <f>IF(AND(L19&lt;&gt;"", S19&lt;&gt;""), S19-L19, IF(L19&lt;&gt;"", TODAY()-L19, ""))</f>
        <v/>
      </c>
      <c r="Z19" s="7">
        <f>IF(Y19="", "", IF(Y19&lt;=3, "NO PRAZO", "ATRASADO"))</f>
        <v/>
      </c>
      <c r="AA19" s="8" t="inlineStr">
        <is>
          <t>100% - OK</t>
        </is>
      </c>
    </row>
    <row r="20" ht="20" customHeight="1">
      <c r="A20" s="7" t="inlineStr">
        <is>
          <t>RSCLER0018</t>
        </is>
      </c>
      <c r="B20" s="8" t="inlineStr">
        <is>
          <t>PORTO ALEGRE</t>
        </is>
      </c>
      <c r="C20" s="7" t="inlineStr">
        <is>
          <t>BVSALA</t>
        </is>
      </c>
      <c r="D20" s="7" t="inlineStr"/>
      <c r="E20" s="7" t="inlineStr"/>
      <c r="F20" s="8" t="inlineStr">
        <is>
          <t>COND. SÃO MATHEUS II</t>
        </is>
      </c>
      <c r="G20" s="8" t="inlineStr">
        <is>
          <t>RUA SÃO MATHEUS, 456</t>
        </is>
      </c>
      <c r="H20" s="7" t="inlineStr"/>
      <c r="I20" s="8" t="inlineStr">
        <is>
          <t>ALINHAMENTO DE FIBRA</t>
        </is>
      </c>
      <c r="J20" s="8" t="inlineStr"/>
      <c r="K20" s="8" t="inlineStr">
        <is>
          <t>DIOGO</t>
        </is>
      </c>
      <c r="L20" s="9" t="n">
        <v>44928</v>
      </c>
      <c r="M20" s="9" t="n">
        <v>44928</v>
      </c>
      <c r="N20" s="9" t="n">
        <v>44942</v>
      </c>
      <c r="O20" s="9" t="n">
        <v>44942</v>
      </c>
      <c r="P20" s="7" t="inlineStr">
        <is>
          <t>NÃO PRECISA</t>
        </is>
      </c>
      <c r="Q20" s="7" t="inlineStr">
        <is>
          <t>SIM</t>
        </is>
      </c>
      <c r="R20" s="7" t="inlineStr">
        <is>
          <t>Concluído Campo</t>
        </is>
      </c>
      <c r="S20" s="7" t="inlineStr"/>
      <c r="T20" s="10" t="inlineStr"/>
      <c r="U20" s="7" t="inlineStr"/>
      <c r="V20" s="7" t="inlineStr"/>
      <c r="W20" s="7" t="inlineStr"/>
      <c r="X20" s="7" t="inlineStr">
        <is>
          <t>AG. MEDIÇÃO</t>
        </is>
      </c>
      <c r="Y20" s="11">
        <f>IF(AND(L20&lt;&gt;"", S20&lt;&gt;""), S20-L20, IF(L20&lt;&gt;"", TODAY()-L20, ""))</f>
        <v/>
      </c>
      <c r="Z20" s="7">
        <f>IF(Y20="", "", IF(Y20&lt;=3, "NO PRAZO", "ATRASADO"))</f>
        <v/>
      </c>
      <c r="AA20" s="8" t="inlineStr">
        <is>
          <t>100% - OK</t>
        </is>
      </c>
    </row>
    <row r="21" ht="20" customHeight="1">
      <c r="A21" s="7" t="inlineStr">
        <is>
          <t>RSCLER0019</t>
        </is>
      </c>
      <c r="B21" s="8" t="inlineStr">
        <is>
          <t>PORTO ALEGRE</t>
        </is>
      </c>
      <c r="C21" s="7" t="inlineStr">
        <is>
          <t>MNDAN</t>
        </is>
      </c>
      <c r="D21" s="7" t="inlineStr"/>
      <c r="E21" s="7" t="inlineStr"/>
      <c r="F21" s="8" t="inlineStr">
        <is>
          <t>COND. ATILA PAIVA</t>
        </is>
      </c>
      <c r="G21" s="8" t="inlineStr">
        <is>
          <t>RUA SILVERIO, 373</t>
        </is>
      </c>
      <c r="H21" s="7" t="inlineStr"/>
      <c r="I21" s="8" t="inlineStr">
        <is>
          <t>ALINHAMENTO DE FIBRA</t>
        </is>
      </c>
      <c r="J21" s="8" t="inlineStr"/>
      <c r="K21" s="8" t="inlineStr">
        <is>
          <t>DIOGO</t>
        </is>
      </c>
      <c r="L21" s="9" t="n">
        <v>44928</v>
      </c>
      <c r="M21" s="9" t="n">
        <v>44928</v>
      </c>
      <c r="N21" s="9" t="n">
        <v>44942</v>
      </c>
      <c r="O21" s="9" t="n">
        <v>44942</v>
      </c>
      <c r="P21" s="7" t="inlineStr">
        <is>
          <t>NÃO PRECISA</t>
        </is>
      </c>
      <c r="Q21" s="7" t="inlineStr">
        <is>
          <t>SIM</t>
        </is>
      </c>
      <c r="R21" s="7" t="inlineStr">
        <is>
          <t>Concluído Campo</t>
        </is>
      </c>
      <c r="S21" s="7" t="inlineStr"/>
      <c r="T21" s="10" t="inlineStr"/>
      <c r="U21" s="7" t="inlineStr"/>
      <c r="V21" s="7" t="inlineStr"/>
      <c r="W21" s="7" t="inlineStr"/>
      <c r="X21" s="7" t="inlineStr">
        <is>
          <t>AG. MEDIÇÃO</t>
        </is>
      </c>
      <c r="Y21" s="11">
        <f>IF(AND(L21&lt;&gt;"", S21&lt;&gt;""), S21-L21, IF(L21&lt;&gt;"", TODAY()-L21, ""))</f>
        <v/>
      </c>
      <c r="Z21" s="7">
        <f>IF(Y21="", "", IF(Y21&lt;=3, "NO PRAZO", "ATRASADO"))</f>
        <v/>
      </c>
      <c r="AA21" s="8" t="inlineStr">
        <is>
          <t>100% - OK</t>
        </is>
      </c>
    </row>
    <row r="22" ht="20" customHeight="1">
      <c r="A22" s="7" t="inlineStr">
        <is>
          <t>RSCLER0020</t>
        </is>
      </c>
      <c r="B22" s="8" t="inlineStr">
        <is>
          <t>NOVO HAMBURGO</t>
        </is>
      </c>
      <c r="C22" s="7" t="inlineStr">
        <is>
          <t>CNTABB</t>
        </is>
      </c>
      <c r="D22" s="7" t="inlineStr"/>
      <c r="E22" s="7" t="inlineStr"/>
      <c r="F22" s="8" t="inlineStr">
        <is>
          <t>PARQUE PORTO MARABELLA</t>
        </is>
      </c>
      <c r="G22" s="8" t="inlineStr">
        <is>
          <t>RUA VISCONDE DE SÃO LEOPOLDO, 266</t>
        </is>
      </c>
      <c r="H22" s="7" t="inlineStr"/>
      <c r="I22" s="8" t="inlineStr">
        <is>
          <t>LANÇAMENTO DE 400m (12FO) E  E INSTALAÇÃO DE CAIXA NOVA</t>
        </is>
      </c>
      <c r="J22" s="8" t="inlineStr">
        <is>
          <t>JORGE MATHEUS</t>
        </is>
      </c>
      <c r="K22" s="8" t="inlineStr">
        <is>
          <t>ALEX DUTRA</t>
        </is>
      </c>
      <c r="L22" s="9" t="n">
        <v>44928</v>
      </c>
      <c r="M22" s="9" t="n">
        <v>44928</v>
      </c>
      <c r="N22" s="9" t="n">
        <v>44935</v>
      </c>
      <c r="O22" s="9" t="n">
        <v>44935</v>
      </c>
      <c r="P22" s="7" t="inlineStr">
        <is>
          <t>NÃO PRECISA</t>
        </is>
      </c>
      <c r="Q22" s="7" t="inlineStr">
        <is>
          <t>SIM</t>
        </is>
      </c>
      <c r="R22" s="7" t="inlineStr">
        <is>
          <t>Concluído Campo</t>
        </is>
      </c>
      <c r="S22" s="7" t="inlineStr"/>
      <c r="T22" s="10" t="inlineStr"/>
      <c r="U22" s="7" t="inlineStr"/>
      <c r="V22" s="7" t="inlineStr"/>
      <c r="W22" s="7" t="inlineStr"/>
      <c r="X22" s="7" t="inlineStr">
        <is>
          <t>AG. MEDIÇÃO</t>
        </is>
      </c>
      <c r="Y22" s="11">
        <f>IF(AND(L22&lt;&gt;"", S22&lt;&gt;""), S22-L22, IF(L22&lt;&gt;"", TODAY()-L22, ""))</f>
        <v/>
      </c>
      <c r="Z22" s="7">
        <f>IF(Y22="", "", IF(Y22&lt;=3, "NO PRAZO", "ATRASADO"))</f>
        <v/>
      </c>
      <c r="AA22" s="8" t="inlineStr">
        <is>
          <t>100% - OK</t>
        </is>
      </c>
    </row>
    <row r="23" ht="20" customHeight="1">
      <c r="A23" s="7" t="inlineStr">
        <is>
          <t>RSCLER0021</t>
        </is>
      </c>
      <c r="B23" s="8" t="inlineStr">
        <is>
          <t>PORTO ALEGRE</t>
        </is>
      </c>
      <c r="C23" s="7" t="inlineStr">
        <is>
          <t>FLOAA</t>
        </is>
      </c>
      <c r="D23" s="7" t="inlineStr"/>
      <c r="E23" s="7" t="inlineStr"/>
      <c r="F23" s="8" t="inlineStr">
        <is>
          <t>COTIZA FLORESTA</t>
        </is>
      </c>
      <c r="G23" s="8" t="inlineStr">
        <is>
          <t>AVENIDA CRISTOVÃO COLOMBO, 1800</t>
        </is>
      </c>
      <c r="H23" s="7" t="inlineStr"/>
      <c r="I23" s="8" t="inlineStr">
        <is>
          <t>3 ABERTURA E FECHAMENTO, 3 FUSÕES, 2 TESTE, 1 TESTE  COM OTDR, 1  CEO, 1 DERIVAÇÃO. ( FIBRA ESTAVA PARADA NO CAMINHO0.</t>
        </is>
      </c>
      <c r="J23" s="8" t="inlineStr"/>
      <c r="K23" s="8" t="inlineStr">
        <is>
          <t>LUCAS</t>
        </is>
      </c>
      <c r="L23" s="9" t="n">
        <v>45000</v>
      </c>
      <c r="M23" s="9" t="n">
        <v>45001</v>
      </c>
      <c r="N23" s="9" t="n">
        <v>45012</v>
      </c>
      <c r="O23" s="9" t="n">
        <v>45012</v>
      </c>
      <c r="P23" s="7" t="inlineStr">
        <is>
          <t>NÃO PRECISA</t>
        </is>
      </c>
      <c r="Q23" s="9" t="n">
        <v>45096</v>
      </c>
      <c r="R23" s="7" t="inlineStr">
        <is>
          <t>Concluído Campo</t>
        </is>
      </c>
      <c r="S23" s="7" t="inlineStr"/>
      <c r="T23" s="10" t="inlineStr"/>
      <c r="U23" s="7" t="inlineStr"/>
      <c r="V23" s="7" t="inlineStr"/>
      <c r="W23" s="7" t="inlineStr"/>
      <c r="X23" s="7" t="inlineStr">
        <is>
          <t>AG. MEDIÇÃO</t>
        </is>
      </c>
      <c r="Y23" s="11">
        <f>IF(AND(L23&lt;&gt;"", S23&lt;&gt;""), S23-L23, IF(L23&lt;&gt;"", TODAY()-L23, ""))</f>
        <v/>
      </c>
      <c r="Z23" s="7">
        <f>IF(Y23="", "", IF(Y23&lt;=3, "NO PRAZO", "ATRASADO"))</f>
        <v/>
      </c>
      <c r="AA23" s="8" t="inlineStr">
        <is>
          <t>100% - OK</t>
        </is>
      </c>
    </row>
    <row r="24" ht="20" customHeight="1">
      <c r="A24" s="7" t="inlineStr">
        <is>
          <t>RSCLER0022</t>
        </is>
      </c>
      <c r="B24" s="8" t="inlineStr">
        <is>
          <t>PORTO ALEGRE</t>
        </is>
      </c>
      <c r="C24" s="7" t="inlineStr">
        <is>
          <t>CLTAA</t>
        </is>
      </c>
      <c r="D24" s="7" t="inlineStr"/>
      <c r="E24" s="7" t="inlineStr"/>
      <c r="F24" s="8" t="inlineStr">
        <is>
          <t>RESCIDENCE DU LAC</t>
        </is>
      </c>
      <c r="G24" s="8" t="inlineStr">
        <is>
          <t>AVENIDA DIÁRIO DE NOTICIAS, 200</t>
        </is>
      </c>
      <c r="H24" s="7" t="inlineStr"/>
      <c r="I24" s="8" t="inlineStr">
        <is>
          <t>INSTALAÇÃO DE CAIXA NOVA</t>
        </is>
      </c>
      <c r="J24" s="8" t="inlineStr">
        <is>
          <t>TELMO PEREIRA</t>
        </is>
      </c>
      <c r="K24" s="8" t="inlineStr">
        <is>
          <t>RODRIGO PEREIRA</t>
        </is>
      </c>
      <c r="L24" s="9" t="n">
        <v>45000</v>
      </c>
      <c r="M24" s="9" t="n">
        <v>45001</v>
      </c>
      <c r="N24" s="9" t="n">
        <v>45005</v>
      </c>
      <c r="O24" s="9" t="n">
        <v>45005</v>
      </c>
      <c r="P24" s="7" t="inlineStr">
        <is>
          <t>NÃO PRECISA</t>
        </is>
      </c>
      <c r="Q24" s="9" t="n">
        <v>45066</v>
      </c>
      <c r="R24" s="7" t="inlineStr">
        <is>
          <t>Concluído Campo</t>
        </is>
      </c>
      <c r="S24" s="7" t="inlineStr"/>
      <c r="T24" s="10" t="inlineStr"/>
      <c r="U24" s="7" t="inlineStr"/>
      <c r="V24" s="7" t="inlineStr"/>
      <c r="W24" s="7" t="inlineStr"/>
      <c r="X24" s="7" t="inlineStr">
        <is>
          <t>AG. MEDIÇÃO</t>
        </is>
      </c>
      <c r="Y24" s="11">
        <f>IF(AND(L24&lt;&gt;"", S24&lt;&gt;""), S24-L24, IF(L24&lt;&gt;"", TODAY()-L24, ""))</f>
        <v/>
      </c>
      <c r="Z24" s="7">
        <f>IF(Y24="", "", IF(Y24&lt;=3, "NO PRAZO", "ATRASADO"))</f>
        <v/>
      </c>
      <c r="AA24" s="8" t="inlineStr">
        <is>
          <t>100% - OK</t>
        </is>
      </c>
    </row>
    <row r="25" ht="20" customHeight="1">
      <c r="A25" s="7" t="inlineStr">
        <is>
          <t>RSCLER0023</t>
        </is>
      </c>
      <c r="B25" s="8" t="inlineStr">
        <is>
          <t>PORTO ALEGRE</t>
        </is>
      </c>
      <c r="C25" s="7" t="inlineStr">
        <is>
          <t>CLTAA</t>
        </is>
      </c>
      <c r="D25" s="7" t="inlineStr"/>
      <c r="E25" s="7" t="inlineStr"/>
      <c r="F25" s="8" t="inlineStr">
        <is>
          <t>RESCIDENCE DU LAC</t>
        </is>
      </c>
      <c r="G25" s="8" t="inlineStr">
        <is>
          <t>AVENIDA DIÁRIO DE NOTICIAS, 400</t>
        </is>
      </c>
      <c r="H25" s="7" t="inlineStr"/>
      <c r="I25" s="8" t="inlineStr">
        <is>
          <t>LANÇAMENTO DE 1900m (24FO) E INSTALAÇÃO DE CAIXA NOVA</t>
        </is>
      </c>
      <c r="J25" s="8" t="inlineStr">
        <is>
          <t>TELMO PEREIRA</t>
        </is>
      </c>
      <c r="K25" s="8" t="inlineStr">
        <is>
          <t>RODRIGO PEREIRA</t>
        </is>
      </c>
      <c r="L25" s="9" t="n">
        <v>45000</v>
      </c>
      <c r="M25" s="9" t="n">
        <v>45001</v>
      </c>
      <c r="N25" s="9" t="n">
        <v>45005</v>
      </c>
      <c r="O25" s="9" t="n">
        <v>45005</v>
      </c>
      <c r="P25" s="7" t="inlineStr">
        <is>
          <t>NÃO PRECISA</t>
        </is>
      </c>
      <c r="Q25" s="9" t="n">
        <v>45066</v>
      </c>
      <c r="R25" s="7" t="inlineStr">
        <is>
          <t>Concluído Campo</t>
        </is>
      </c>
      <c r="S25" s="7" t="inlineStr"/>
      <c r="T25" s="10" t="inlineStr"/>
      <c r="U25" s="7" t="inlineStr"/>
      <c r="V25" s="7" t="inlineStr"/>
      <c r="W25" s="7" t="inlineStr"/>
      <c r="X25" s="7" t="inlineStr">
        <is>
          <t>AG. MEDIÇÃO</t>
        </is>
      </c>
      <c r="Y25" s="11">
        <f>IF(AND(L25&lt;&gt;"", S25&lt;&gt;""), S25-L25, IF(L25&lt;&gt;"", TODAY()-L25, ""))</f>
        <v/>
      </c>
      <c r="Z25" s="7">
        <f>IF(Y25="", "", IF(Y25&lt;=3, "NO PRAZO", "ATRASADO"))</f>
        <v/>
      </c>
      <c r="AA25" s="8" t="inlineStr">
        <is>
          <t>100% - OK</t>
        </is>
      </c>
    </row>
    <row r="26" ht="20" customHeight="1">
      <c r="A26" s="7" t="inlineStr">
        <is>
          <t>RSCLER0024</t>
        </is>
      </c>
      <c r="B26" s="8" t="inlineStr">
        <is>
          <t>PORTO ALEGRE</t>
        </is>
      </c>
      <c r="C26" s="7" t="inlineStr">
        <is>
          <t>CLTAA</t>
        </is>
      </c>
      <c r="D26" s="7" t="inlineStr"/>
      <c r="E26" s="7" t="inlineStr"/>
      <c r="F26" s="8" t="inlineStr">
        <is>
          <t>RESCIDENCE DU LAC</t>
        </is>
      </c>
      <c r="G26" s="8" t="inlineStr">
        <is>
          <t>AVENIDA DIÁRIO DE NOTICIAS, 500</t>
        </is>
      </c>
      <c r="H26" s="7" t="inlineStr"/>
      <c r="I26" s="8" t="inlineStr">
        <is>
          <t>LANÇAMENTO DE 250m (24FO)  E INSTALAÇÃO DE CAIXA NOVA</t>
        </is>
      </c>
      <c r="J26" s="8" t="inlineStr">
        <is>
          <t>TELMO PEREIRA</t>
        </is>
      </c>
      <c r="K26" s="8" t="inlineStr">
        <is>
          <t>RODRIGO PEREIRA</t>
        </is>
      </c>
      <c r="L26" s="9" t="n">
        <v>45000</v>
      </c>
      <c r="M26" s="9" t="n">
        <v>45001</v>
      </c>
      <c r="N26" s="9" t="n">
        <v>45005</v>
      </c>
      <c r="O26" s="9" t="n">
        <v>45005</v>
      </c>
      <c r="P26" s="7" t="inlineStr">
        <is>
          <t>NÃO PRECISA</t>
        </is>
      </c>
      <c r="Q26" s="9" t="n">
        <v>45066</v>
      </c>
      <c r="R26" s="7" t="inlineStr">
        <is>
          <t>Concluído Campo</t>
        </is>
      </c>
      <c r="S26" s="7" t="inlineStr"/>
      <c r="T26" s="10" t="inlineStr"/>
      <c r="U26" s="7" t="inlineStr"/>
      <c r="V26" s="7" t="inlineStr"/>
      <c r="W26" s="7" t="inlineStr"/>
      <c r="X26" s="7" t="inlineStr">
        <is>
          <t>AG. MEDIÇÃO</t>
        </is>
      </c>
      <c r="Y26" s="11">
        <f>IF(AND(L26&lt;&gt;"", S26&lt;&gt;""), S26-L26, IF(L26&lt;&gt;"", TODAY()-L26, ""))</f>
        <v/>
      </c>
      <c r="Z26" s="7">
        <f>IF(Y26="", "", IF(Y26&lt;=3, "NO PRAZO", "ATRASADO"))</f>
        <v/>
      </c>
      <c r="AA26" s="8" t="inlineStr">
        <is>
          <t>100% - OK</t>
        </is>
      </c>
    </row>
    <row r="27" ht="20" customHeight="1">
      <c r="A27" s="7" t="inlineStr">
        <is>
          <t>RSCLER0025</t>
        </is>
      </c>
      <c r="B27" s="8" t="inlineStr">
        <is>
          <t>PORTO ALEGRE</t>
        </is>
      </c>
      <c r="C27" s="7" t="inlineStr">
        <is>
          <t>RBRAA</t>
        </is>
      </c>
      <c r="D27" s="7" t="inlineStr"/>
      <c r="E27" s="7" t="inlineStr"/>
      <c r="F27" s="8" t="inlineStr">
        <is>
          <t>ED. DIAMANTINA</t>
        </is>
      </c>
      <c r="G27" s="8" t="inlineStr">
        <is>
          <t>AVENIDA MARIANTE, 1076</t>
        </is>
      </c>
      <c r="H27" s="7" t="inlineStr"/>
      <c r="I27" s="8" t="inlineStr">
        <is>
          <t>ALINHAMENTO DE FIBRA</t>
        </is>
      </c>
      <c r="J27" s="8" t="inlineStr"/>
      <c r="K27" s="8" t="inlineStr">
        <is>
          <t>PAULO GOMES</t>
        </is>
      </c>
      <c r="L27" s="9" t="n">
        <v>44974</v>
      </c>
      <c r="M27" s="9" t="n">
        <v>44995</v>
      </c>
      <c r="N27" s="9" t="n">
        <v>44999</v>
      </c>
      <c r="O27" s="9" t="n">
        <v>44999</v>
      </c>
      <c r="P27" s="7" t="inlineStr">
        <is>
          <t>NÃO PRECISA</t>
        </is>
      </c>
      <c r="Q27" s="9" t="n">
        <v>45066</v>
      </c>
      <c r="R27" s="7" t="inlineStr">
        <is>
          <t>Concluído Campo</t>
        </is>
      </c>
      <c r="S27" s="7" t="inlineStr"/>
      <c r="T27" s="10" t="inlineStr"/>
      <c r="U27" s="7" t="inlineStr"/>
      <c r="V27" s="7" t="inlineStr"/>
      <c r="W27" s="7" t="inlineStr"/>
      <c r="X27" s="7" t="inlineStr">
        <is>
          <t>AG. MEDIÇÃO</t>
        </is>
      </c>
      <c r="Y27" s="11">
        <f>IF(AND(L27&lt;&gt;"", S27&lt;&gt;""), S27-L27, IF(L27&lt;&gt;"", TODAY()-L27, ""))</f>
        <v/>
      </c>
      <c r="Z27" s="7">
        <f>IF(Y27="", "", IF(Y27&lt;=3, "NO PRAZO", "ATRASADO"))</f>
        <v/>
      </c>
      <c r="AA27" s="8" t="inlineStr">
        <is>
          <t>100% - OK</t>
        </is>
      </c>
    </row>
    <row r="28" ht="20" customHeight="1">
      <c r="A28" s="7" t="inlineStr">
        <is>
          <t>RSCLER0026</t>
        </is>
      </c>
      <c r="B28" s="8" t="inlineStr">
        <is>
          <t>NOVO HAMBURGO</t>
        </is>
      </c>
      <c r="C28" s="7" t="inlineStr">
        <is>
          <t>CNTAA</t>
        </is>
      </c>
      <c r="D28" s="7" t="inlineStr"/>
      <c r="E28" s="7" t="inlineStr"/>
      <c r="F28" s="8" t="inlineStr">
        <is>
          <t>RES. FOUR SEASONS RESIDENCE</t>
        </is>
      </c>
      <c r="G28" s="8" t="inlineStr">
        <is>
          <t>AVENIDA MAURICIO CARDOSO, 2002</t>
        </is>
      </c>
      <c r="H28" s="7" t="inlineStr"/>
      <c r="I28" s="8" t="inlineStr">
        <is>
          <t>1 ABERTURA E FECHAMENTO, 8 FUSÕES, 1 DERIVAÇÃO , 1  INST. CEO  4 TESTES, 250M 12FO - NECESSÁRIO FAZER AS BUILT</t>
        </is>
      </c>
      <c r="J28" s="8" t="inlineStr">
        <is>
          <t>MARCOS EMILIANO</t>
        </is>
      </c>
      <c r="K28" s="8" t="inlineStr">
        <is>
          <t>BRUNO</t>
        </is>
      </c>
      <c r="L28" s="9" t="n">
        <v>45001</v>
      </c>
      <c r="M28" s="9" t="n">
        <v>45001</v>
      </c>
      <c r="N28" s="9" t="n">
        <v>45012</v>
      </c>
      <c r="O28" s="9" t="n">
        <v>45012</v>
      </c>
      <c r="P28" s="7" t="inlineStr">
        <is>
          <t>NÃO PRECISA</t>
        </is>
      </c>
      <c r="Q28" s="9" t="n">
        <v>45082</v>
      </c>
      <c r="R28" s="7" t="inlineStr">
        <is>
          <t>Concluído Campo</t>
        </is>
      </c>
      <c r="S28" s="7" t="inlineStr"/>
      <c r="T28" s="10" t="inlineStr"/>
      <c r="U28" s="7" t="inlineStr"/>
      <c r="V28" s="7" t="inlineStr"/>
      <c r="W28" s="7" t="inlineStr"/>
      <c r="X28" s="7" t="inlineStr">
        <is>
          <t>AG. MEDIÇÃO</t>
        </is>
      </c>
      <c r="Y28" s="11">
        <f>IF(AND(L28&lt;&gt;"", S28&lt;&gt;""), S28-L28, IF(L28&lt;&gt;"", TODAY()-L28, ""))</f>
        <v/>
      </c>
      <c r="Z28" s="7">
        <f>IF(Y28="", "", IF(Y28&lt;=3, "NO PRAZO", "ATRASADO"))</f>
        <v/>
      </c>
      <c r="AA28" s="8" t="inlineStr">
        <is>
          <t>100% - OK</t>
        </is>
      </c>
    </row>
    <row r="29" ht="20" customHeight="1">
      <c r="A29" s="7" t="inlineStr">
        <is>
          <t>RSCLER0027</t>
        </is>
      </c>
      <c r="B29" s="8" t="inlineStr">
        <is>
          <t>PORTO ALEGRE</t>
        </is>
      </c>
      <c r="C29" s="7" t="inlineStr">
        <is>
          <t>RBTAA</t>
        </is>
      </c>
      <c r="D29" s="7" t="inlineStr"/>
      <c r="E29" s="7" t="inlineStr"/>
      <c r="F29" s="8" t="inlineStr">
        <is>
          <t>COND. VIVENDA ECOVILLE</t>
        </is>
      </c>
      <c r="G29" s="8" t="inlineStr">
        <is>
          <t>AVENIDA WILLY EUGÊNIO FLECK, 1500</t>
        </is>
      </c>
      <c r="H29" s="7" t="inlineStr"/>
      <c r="I29" s="8" t="inlineStr">
        <is>
          <t>1 ABERTURA E FECHAMENTO, 12 FUSÕES, 1 INST. CEO, 6 TESTES, 980M 12FO</t>
        </is>
      </c>
      <c r="J29" s="8" t="inlineStr">
        <is>
          <t>IVANIR - NEYMAR</t>
        </is>
      </c>
      <c r="K29" s="8" t="inlineStr">
        <is>
          <t>MAICON NUNES</t>
        </is>
      </c>
      <c r="L29" s="9" t="n">
        <v>44974</v>
      </c>
      <c r="M29" s="9" t="n">
        <v>44995</v>
      </c>
      <c r="N29" s="9" t="n">
        <v>45016</v>
      </c>
      <c r="O29" s="9" t="n">
        <v>45014</v>
      </c>
      <c r="P29" s="7" t="inlineStr">
        <is>
          <t>NÃO PRECISA</t>
        </is>
      </c>
      <c r="Q29" s="9" t="n">
        <v>45082</v>
      </c>
      <c r="R29" s="7" t="inlineStr">
        <is>
          <t>Concluído Campo</t>
        </is>
      </c>
      <c r="S29" s="7" t="inlineStr"/>
      <c r="T29" s="10" t="inlineStr"/>
      <c r="U29" s="7" t="inlineStr"/>
      <c r="V29" s="7" t="inlineStr"/>
      <c r="W29" s="7" t="inlineStr"/>
      <c r="X29" s="7" t="inlineStr">
        <is>
          <t>AG. MEDIÇÃO</t>
        </is>
      </c>
      <c r="Y29" s="11">
        <f>IF(AND(L29&lt;&gt;"", S29&lt;&gt;""), S29-L29, IF(L29&lt;&gt;"", TODAY()-L29, ""))</f>
        <v/>
      </c>
      <c r="Z29" s="7">
        <f>IF(Y29="", "", IF(Y29&lt;=3, "NO PRAZO", "ATRASADO"))</f>
        <v/>
      </c>
      <c r="AA29" s="8" t="inlineStr">
        <is>
          <t>100% - OK</t>
        </is>
      </c>
    </row>
    <row r="30" ht="20" customHeight="1">
      <c r="A30" s="7" t="inlineStr">
        <is>
          <t>RSCLER0028</t>
        </is>
      </c>
      <c r="B30" s="8" t="inlineStr">
        <is>
          <t>PORTO ALEGRE</t>
        </is>
      </c>
      <c r="C30" s="7" t="inlineStr">
        <is>
          <t>BVSAB</t>
        </is>
      </c>
      <c r="D30" s="7" t="inlineStr"/>
      <c r="E30" s="7" t="inlineStr"/>
      <c r="F30" s="8" t="inlineStr">
        <is>
          <t>CLUBE FARRAPOS</t>
        </is>
      </c>
      <c r="G30" s="8" t="inlineStr">
        <is>
          <t>CRISTIANO FISCHER, 1331</t>
        </is>
      </c>
      <c r="H30" s="7" t="inlineStr"/>
      <c r="I30" s="8" t="inlineStr">
        <is>
          <t>LANÇAMENTO DE 850m (12FO) E INSTALAÇÃO DE CAIXA NOVA</t>
        </is>
      </c>
      <c r="J30" s="8" t="inlineStr">
        <is>
          <t>TELMO PEREIRA</t>
        </is>
      </c>
      <c r="K30" s="8" t="inlineStr">
        <is>
          <t>MAICON NUNES</t>
        </is>
      </c>
      <c r="L30" s="9" t="n">
        <v>44998</v>
      </c>
      <c r="M30" s="9" t="n">
        <v>45001</v>
      </c>
      <c r="N30" s="9" t="n">
        <v>45005</v>
      </c>
      <c r="O30" s="9" t="n">
        <v>45001</v>
      </c>
      <c r="P30" s="7" t="inlineStr">
        <is>
          <t>NÃO PRECISA</t>
        </is>
      </c>
      <c r="Q30" s="9" t="n">
        <v>45066</v>
      </c>
      <c r="R30" s="7" t="inlineStr">
        <is>
          <t>Concluído Campo</t>
        </is>
      </c>
      <c r="S30" s="7" t="inlineStr"/>
      <c r="T30" s="10" t="inlineStr"/>
      <c r="U30" s="7" t="inlineStr"/>
      <c r="V30" s="7" t="inlineStr"/>
      <c r="W30" s="7" t="inlineStr"/>
      <c r="X30" s="7" t="inlineStr">
        <is>
          <t>AG. MEDIÇÃO</t>
        </is>
      </c>
      <c r="Y30" s="11">
        <f>IF(AND(L30&lt;&gt;"", S30&lt;&gt;""), S30-L30, IF(L30&lt;&gt;"", TODAY()-L30, ""))</f>
        <v/>
      </c>
      <c r="Z30" s="7">
        <f>IF(Y30="", "", IF(Y30&lt;=3, "NO PRAZO", "ATRASADO"))</f>
        <v/>
      </c>
      <c r="AA30" s="8" t="inlineStr">
        <is>
          <t>100% - OK</t>
        </is>
      </c>
    </row>
    <row r="31" ht="20" customHeight="1">
      <c r="A31" s="7" t="inlineStr">
        <is>
          <t>RSCLER0029</t>
        </is>
      </c>
      <c r="B31" s="8" t="inlineStr">
        <is>
          <t>PORTO ALEGRE</t>
        </is>
      </c>
      <c r="C31" s="7" t="inlineStr">
        <is>
          <t>CMQAJ</t>
        </is>
      </c>
      <c r="D31" s="7" t="inlineStr"/>
      <c r="E31" s="7" t="inlineStr"/>
      <c r="F31" s="8" t="inlineStr">
        <is>
          <t>COND. THE SUN</t>
        </is>
      </c>
      <c r="G31" s="8" t="inlineStr">
        <is>
          <t>DR. BARCELOS, 2434</t>
        </is>
      </c>
      <c r="H31" s="7" t="inlineStr"/>
      <c r="I31" s="8" t="inlineStr">
        <is>
          <t>1 ABERTURA E FECHAMENTO, 4 FUSÕES, 2 DERIVAÇÃO, 1 INST. CEO, 4 TESTES, 1 TESTE COM OTDR, 250M 12FO</t>
        </is>
      </c>
      <c r="J31" s="8" t="inlineStr">
        <is>
          <t>NEIMAR LUCERO</t>
        </is>
      </c>
      <c r="K31" s="8" t="inlineStr">
        <is>
          <t>PAULO GOMES</t>
        </is>
      </c>
      <c r="L31" s="9" t="n">
        <v>45005</v>
      </c>
      <c r="M31" s="9" t="n">
        <v>45005</v>
      </c>
      <c r="N31" s="9" t="n">
        <v>45015</v>
      </c>
      <c r="O31" s="9" t="n">
        <v>45014</v>
      </c>
      <c r="P31" s="7" t="inlineStr">
        <is>
          <t>NÃO PRECISA</t>
        </is>
      </c>
      <c r="Q31" s="9" t="n">
        <v>45082</v>
      </c>
      <c r="R31" s="7" t="inlineStr">
        <is>
          <t>Concluído Campo</t>
        </is>
      </c>
      <c r="S31" s="7" t="inlineStr"/>
      <c r="T31" s="10" t="inlineStr"/>
      <c r="U31" s="7" t="inlineStr"/>
      <c r="V31" s="7" t="inlineStr"/>
      <c r="W31" s="7" t="inlineStr"/>
      <c r="X31" s="7" t="inlineStr">
        <is>
          <t>AG. MEDIÇÃO</t>
        </is>
      </c>
      <c r="Y31" s="11">
        <f>IF(AND(L31&lt;&gt;"", S31&lt;&gt;""), S31-L31, IF(L31&lt;&gt;"", TODAY()-L31, ""))</f>
        <v/>
      </c>
      <c r="Z31" s="7">
        <f>IF(Y31="", "", IF(Y31&lt;=3, "NO PRAZO", "ATRASADO"))</f>
        <v/>
      </c>
      <c r="AA31" s="8" t="inlineStr">
        <is>
          <t>100% - OK</t>
        </is>
      </c>
    </row>
    <row r="32" ht="20" customHeight="1">
      <c r="A32" s="7" t="inlineStr">
        <is>
          <t>RSCLER0030</t>
        </is>
      </c>
      <c r="B32" s="8" t="inlineStr">
        <is>
          <t>PORTO ALEGRE</t>
        </is>
      </c>
      <c r="C32" s="7" t="inlineStr">
        <is>
          <t>MTSAOB</t>
        </is>
      </c>
      <c r="D32" s="7" t="inlineStr"/>
      <c r="E32" s="7" t="inlineStr"/>
      <c r="F32" s="8" t="inlineStr">
        <is>
          <t>ED. ROVENA</t>
        </is>
      </c>
      <c r="G32" s="8" t="inlineStr">
        <is>
          <t>DR. NILO PEÇANHA, 550</t>
        </is>
      </c>
      <c r="H32" s="7" t="inlineStr">
        <is>
          <t>MTSAA.152.M060</t>
        </is>
      </c>
      <c r="I32" s="8" t="inlineStr">
        <is>
          <t>LANÇAMENTO DE 496m (12FO) E INSTALAÇÃO DE CAIXA NOVA</t>
        </is>
      </c>
      <c r="J32" s="8" t="inlineStr"/>
      <c r="K32" s="8" t="inlineStr"/>
      <c r="L32" s="9" t="n">
        <v>45002</v>
      </c>
      <c r="M32" s="9" t="n">
        <v>45006</v>
      </c>
      <c r="N32" s="9" t="n">
        <v>45008</v>
      </c>
      <c r="O32" s="9" t="n">
        <v>45007</v>
      </c>
      <c r="P32" s="7" t="inlineStr">
        <is>
          <t>NÃO PRECISA</t>
        </is>
      </c>
      <c r="Q32" s="9" t="n">
        <v>45066</v>
      </c>
      <c r="R32" s="7" t="inlineStr">
        <is>
          <t>Concluído Campo</t>
        </is>
      </c>
      <c r="S32" s="7" t="inlineStr"/>
      <c r="T32" s="10" t="inlineStr"/>
      <c r="U32" s="7" t="inlineStr"/>
      <c r="V32" s="7" t="inlineStr"/>
      <c r="W32" s="7" t="inlineStr"/>
      <c r="X32" s="7" t="inlineStr">
        <is>
          <t>AG. MEDIÇÃO</t>
        </is>
      </c>
      <c r="Y32" s="11">
        <f>IF(AND(L32&lt;&gt;"", S32&lt;&gt;""), S32-L32, IF(L32&lt;&gt;"", TODAY()-L32, ""))</f>
        <v/>
      </c>
      <c r="Z32" s="7">
        <f>IF(Y32="", "", IF(Y32&lt;=3, "NO PRAZO", "ATRASADO"))</f>
        <v/>
      </c>
      <c r="AA32" s="8" t="inlineStr">
        <is>
          <t>100% - OK</t>
        </is>
      </c>
    </row>
    <row r="33" ht="20" customHeight="1">
      <c r="A33" s="7" t="inlineStr">
        <is>
          <t>RSCLER0031</t>
        </is>
      </c>
      <c r="B33" s="8" t="inlineStr">
        <is>
          <t>PORTO ALEGRE</t>
        </is>
      </c>
      <c r="C33" s="7" t="inlineStr">
        <is>
          <t>AZNAF</t>
        </is>
      </c>
      <c r="D33" s="7" t="inlineStr"/>
      <c r="E33" s="7" t="inlineStr"/>
      <c r="F33" s="8" t="inlineStr">
        <is>
          <t>RES. MARIO QUINTANA</t>
        </is>
      </c>
      <c r="G33" s="8" t="inlineStr">
        <is>
          <t>ENG. FERNANDO MENDES RIBEIRO. 250</t>
        </is>
      </c>
      <c r="H33" s="7" t="inlineStr"/>
      <c r="I33" s="8" t="inlineStr">
        <is>
          <t>LANÇAMENTO DE 296m (12FO) E INSTALAÇÃO DE CAIXA NOVA</t>
        </is>
      </c>
      <c r="J33" s="8" t="inlineStr">
        <is>
          <t>NEIMAR LUCERO</t>
        </is>
      </c>
      <c r="K33" s="8" t="inlineStr">
        <is>
          <t>PAULO GOMES</t>
        </is>
      </c>
      <c r="L33" s="9" t="n">
        <v>44640</v>
      </c>
      <c r="M33" s="9" t="n">
        <v>45007</v>
      </c>
      <c r="N33" s="9" t="n">
        <v>45012</v>
      </c>
      <c r="O33" s="9" t="n">
        <v>45012</v>
      </c>
      <c r="P33" s="7" t="inlineStr">
        <is>
          <t>NÃO PRECISA</t>
        </is>
      </c>
      <c r="Q33" s="9" t="n">
        <v>45066</v>
      </c>
      <c r="R33" s="7" t="inlineStr">
        <is>
          <t>Concluído Campo</t>
        </is>
      </c>
      <c r="S33" s="7" t="inlineStr"/>
      <c r="T33" s="10" t="inlineStr"/>
      <c r="U33" s="7" t="inlineStr"/>
      <c r="V33" s="7" t="inlineStr"/>
      <c r="W33" s="7" t="inlineStr"/>
      <c r="X33" s="7" t="inlineStr">
        <is>
          <t>AG. MEDIÇÃO</t>
        </is>
      </c>
      <c r="Y33" s="11">
        <f>IF(AND(L33&lt;&gt;"", S33&lt;&gt;""), S33-L33, IF(L33&lt;&gt;"", TODAY()-L33, ""))</f>
        <v/>
      </c>
      <c r="Z33" s="7">
        <f>IF(Y33="", "", IF(Y33&lt;=3, "NO PRAZO", "ATRASADO"))</f>
        <v/>
      </c>
      <c r="AA33" s="8" t="inlineStr">
        <is>
          <t>100% - OK</t>
        </is>
      </c>
    </row>
    <row r="34" ht="20" customHeight="1">
      <c r="A34" s="7" t="inlineStr">
        <is>
          <t>RSCLER0032</t>
        </is>
      </c>
      <c r="B34" s="8" t="inlineStr">
        <is>
          <t>NOVO HAMBURGO</t>
        </is>
      </c>
      <c r="C34" s="7" t="inlineStr">
        <is>
          <t>CNTAG</t>
        </is>
      </c>
      <c r="D34" s="7" t="inlineStr"/>
      <c r="E34" s="7" t="inlineStr"/>
      <c r="F34" s="8" t="inlineStr">
        <is>
          <t>RES. PARTHENON</t>
        </is>
      </c>
      <c r="G34" s="8" t="inlineStr">
        <is>
          <t>JOAQUIM PEDRO SORARES, 175</t>
        </is>
      </c>
      <c r="H34" s="7" t="inlineStr"/>
      <c r="I34" s="8" t="inlineStr">
        <is>
          <t>3 ABERTURA E FECHAMENTO, 5 FUSÕES, 1 DERIVAÇÃO, 1 CEO, 5 TESTES, 2 TESTES COM OTDR, 339M 12FO. ( FOI TESTADO COM OTDR, FIBRA ESTAVA ABERTA E QUEBRADA NA ESTÇÃO</t>
        </is>
      </c>
      <c r="J34" s="8" t="inlineStr">
        <is>
          <t>GIOVANE</t>
        </is>
      </c>
      <c r="K34" s="8" t="inlineStr">
        <is>
          <t>FABIO AMARILIO</t>
        </is>
      </c>
      <c r="L34" s="9" t="n">
        <v>45001</v>
      </c>
      <c r="M34" s="9" t="n">
        <v>45001</v>
      </c>
      <c r="N34" s="9" t="n">
        <v>45001</v>
      </c>
      <c r="O34" s="9" t="n">
        <v>45001</v>
      </c>
      <c r="P34" s="7" t="inlineStr">
        <is>
          <t>NÃO PRECISA</t>
        </is>
      </c>
      <c r="Q34" s="9" t="n">
        <v>45083</v>
      </c>
      <c r="R34" s="7" t="inlineStr">
        <is>
          <t>Concluído Campo</t>
        </is>
      </c>
      <c r="S34" s="7" t="inlineStr"/>
      <c r="T34" s="10" t="inlineStr"/>
      <c r="U34" s="7" t="inlineStr"/>
      <c r="V34" s="7" t="inlineStr"/>
      <c r="W34" s="7" t="inlineStr"/>
      <c r="X34" s="7" t="inlineStr">
        <is>
          <t>AG. MEDIÇÃO</t>
        </is>
      </c>
      <c r="Y34" s="11">
        <f>IF(AND(L34&lt;&gt;"", S34&lt;&gt;""), S34-L34, IF(L34&lt;&gt;"", TODAY()-L34, ""))</f>
        <v/>
      </c>
      <c r="Z34" s="7">
        <f>IF(Y34="", "", IF(Y34&lt;=3, "NO PRAZO", "ATRASADO"))</f>
        <v/>
      </c>
      <c r="AA34" s="8" t="inlineStr">
        <is>
          <t>100% - OK</t>
        </is>
      </c>
    </row>
    <row r="35" ht="20" customHeight="1">
      <c r="A35" s="7" t="inlineStr">
        <is>
          <t>RSCLER0033</t>
        </is>
      </c>
      <c r="B35" s="8" t="inlineStr">
        <is>
          <t>NOVO HAMBURGO</t>
        </is>
      </c>
      <c r="C35" s="7" t="inlineStr">
        <is>
          <t>CNTAG</t>
        </is>
      </c>
      <c r="D35" s="7" t="inlineStr"/>
      <c r="E35" s="7" t="inlineStr"/>
      <c r="F35" s="8" t="inlineStr">
        <is>
          <t>CARLOS KONRDORFER</t>
        </is>
      </c>
      <c r="G35" s="8" t="inlineStr">
        <is>
          <t>JOAQUIM PEDRO SORARES, 246</t>
        </is>
      </c>
      <c r="H35" s="7" t="inlineStr"/>
      <c r="I35" s="8" t="inlineStr">
        <is>
          <t>1 ABERTURA E FECHAMENTO, 3 FUSÕES, 3 TESTES</t>
        </is>
      </c>
      <c r="J35" s="8" t="inlineStr">
        <is>
          <t>GIOVANE</t>
        </is>
      </c>
      <c r="K35" s="8" t="inlineStr">
        <is>
          <t>FABIO AMARILIO</t>
        </is>
      </c>
      <c r="L35" s="9" t="n">
        <v>45001</v>
      </c>
      <c r="M35" s="9" t="n">
        <v>45001</v>
      </c>
      <c r="N35" s="9" t="n">
        <v>45001</v>
      </c>
      <c r="O35" s="9" t="n">
        <v>45001</v>
      </c>
      <c r="P35" s="7" t="inlineStr">
        <is>
          <t>NÃO PRECISA</t>
        </is>
      </c>
      <c r="Q35" s="9" t="n">
        <v>45083</v>
      </c>
      <c r="R35" s="7" t="inlineStr">
        <is>
          <t>Concluído Campo</t>
        </is>
      </c>
      <c r="S35" s="7" t="inlineStr"/>
      <c r="T35" s="10" t="inlineStr"/>
      <c r="U35" s="7" t="inlineStr"/>
      <c r="V35" s="7" t="inlineStr"/>
      <c r="W35" s="7" t="inlineStr"/>
      <c r="X35" s="7" t="inlineStr">
        <is>
          <t>AG. MEDIÇÃO</t>
        </is>
      </c>
      <c r="Y35" s="11">
        <f>IF(AND(L35&lt;&gt;"", S35&lt;&gt;""), S35-L35, IF(L35&lt;&gt;"", TODAY()-L35, ""))</f>
        <v/>
      </c>
      <c r="Z35" s="7">
        <f>IF(Y35="", "", IF(Y35&lt;=3, "NO PRAZO", "ATRASADO"))</f>
        <v/>
      </c>
      <c r="AA35" s="8" t="inlineStr">
        <is>
          <t>100% - OK</t>
        </is>
      </c>
    </row>
    <row r="36" ht="20" customHeight="1">
      <c r="A36" s="7" t="inlineStr">
        <is>
          <t>RSCLER0034</t>
        </is>
      </c>
      <c r="B36" s="8" t="inlineStr">
        <is>
          <t>NOVO HAMBURGO</t>
        </is>
      </c>
      <c r="C36" s="7" t="inlineStr">
        <is>
          <t>CNTAA</t>
        </is>
      </c>
      <c r="D36" s="7" t="inlineStr"/>
      <c r="E36" s="7" t="inlineStr"/>
      <c r="F36" s="8" t="inlineStr">
        <is>
          <t>CALÇADÃO OSVALDO CRUZ (GAL. NETO)</t>
        </is>
      </c>
      <c r="G36" s="8" t="inlineStr">
        <is>
          <t>PASSEIO CALÇADÃO OSVALDO CRUZ, 26</t>
        </is>
      </c>
      <c r="H36" s="7" t="inlineStr"/>
      <c r="I36" s="8" t="inlineStr">
        <is>
          <t>TESTE DE FIBRA</t>
        </is>
      </c>
      <c r="J36" s="8" t="inlineStr"/>
      <c r="K36" s="8" t="inlineStr"/>
      <c r="L36" s="9" t="n">
        <v>45001</v>
      </c>
      <c r="M36" s="9" t="n">
        <v>45001</v>
      </c>
      <c r="N36" s="9" t="n">
        <v>45012</v>
      </c>
      <c r="O36" s="9" t="n">
        <v>45006</v>
      </c>
      <c r="P36" s="7" t="inlineStr">
        <is>
          <t>NÃO PRECISA</t>
        </is>
      </c>
      <c r="Q36" s="9" t="n">
        <v>45066</v>
      </c>
      <c r="R36" s="7" t="inlineStr">
        <is>
          <t>Concluído Campo</t>
        </is>
      </c>
      <c r="S36" s="7" t="inlineStr"/>
      <c r="T36" s="10" t="inlineStr"/>
      <c r="U36" s="7" t="inlineStr"/>
      <c r="V36" s="7" t="inlineStr"/>
      <c r="W36" s="7" t="inlineStr"/>
      <c r="X36" s="7" t="inlineStr">
        <is>
          <t>AG. MEDIÇÃO</t>
        </is>
      </c>
      <c r="Y36" s="11">
        <f>IF(AND(L36&lt;&gt;"", S36&lt;&gt;""), S36-L36, IF(L36&lt;&gt;"", TODAY()-L36, ""))</f>
        <v/>
      </c>
      <c r="Z36" s="7">
        <f>IF(Y36="", "", IF(Y36&lt;=3, "NO PRAZO", "ATRASADO"))</f>
        <v/>
      </c>
      <c r="AA36" s="8" t="inlineStr">
        <is>
          <t>100% - OK</t>
        </is>
      </c>
    </row>
    <row r="37" ht="20" customHeight="1">
      <c r="A37" s="7" t="inlineStr">
        <is>
          <t>RSCLER0035</t>
        </is>
      </c>
      <c r="B37" s="8" t="inlineStr">
        <is>
          <t>NOVO HAMBURGO</t>
        </is>
      </c>
      <c r="C37" s="7" t="inlineStr">
        <is>
          <t>CNTAA</t>
        </is>
      </c>
      <c r="D37" s="7" t="inlineStr"/>
      <c r="E37" s="7" t="inlineStr"/>
      <c r="F37" s="8" t="inlineStr">
        <is>
          <t>CALÇADÃO OSVALDO CRUZ (GAL. NETO)</t>
        </is>
      </c>
      <c r="G37" s="8" t="inlineStr">
        <is>
          <t>PASSEIO CALÇADÃO OSVALDO CRUZ, 39</t>
        </is>
      </c>
      <c r="H37" s="7" t="inlineStr"/>
      <c r="I37" s="8" t="inlineStr">
        <is>
          <t>TESTE DE FIBRA</t>
        </is>
      </c>
      <c r="J37" s="8" t="inlineStr"/>
      <c r="K37" s="8" t="inlineStr"/>
      <c r="L37" s="9" t="n">
        <v>45001</v>
      </c>
      <c r="M37" s="9" t="n">
        <v>45001</v>
      </c>
      <c r="N37" s="9" t="n">
        <v>45012</v>
      </c>
      <c r="O37" s="9" t="n">
        <v>45006</v>
      </c>
      <c r="P37" s="7" t="inlineStr">
        <is>
          <t>NÃO PRECISA</t>
        </is>
      </c>
      <c r="Q37" s="9" t="n">
        <v>45066</v>
      </c>
      <c r="R37" s="7" t="inlineStr">
        <is>
          <t>Concluído Campo</t>
        </is>
      </c>
      <c r="S37" s="7" t="inlineStr"/>
      <c r="T37" s="10" t="inlineStr"/>
      <c r="U37" s="7" t="inlineStr"/>
      <c r="V37" s="7" t="inlineStr"/>
      <c r="W37" s="7" t="inlineStr"/>
      <c r="X37" s="7" t="inlineStr">
        <is>
          <t>AG. MEDIÇÃO</t>
        </is>
      </c>
      <c r="Y37" s="11">
        <f>IF(AND(L37&lt;&gt;"", S37&lt;&gt;""), S37-L37, IF(L37&lt;&gt;"", TODAY()-L37, ""))</f>
        <v/>
      </c>
      <c r="Z37" s="7">
        <f>IF(Y37="", "", IF(Y37&lt;=3, "NO PRAZO", "ATRASADO"))</f>
        <v/>
      </c>
      <c r="AA37" s="8" t="inlineStr">
        <is>
          <t>100% - OK</t>
        </is>
      </c>
    </row>
    <row r="38" ht="20" customHeight="1">
      <c r="A38" s="7" t="inlineStr">
        <is>
          <t>RSCLER0036</t>
        </is>
      </c>
      <c r="B38" s="8" t="inlineStr">
        <is>
          <t>NOVO HAMBURGO</t>
        </is>
      </c>
      <c r="C38" s="7" t="inlineStr">
        <is>
          <t>CNTAA</t>
        </is>
      </c>
      <c r="D38" s="7" t="inlineStr"/>
      <c r="E38" s="7" t="inlineStr"/>
      <c r="F38" s="8" t="inlineStr">
        <is>
          <t>CALÇADÃO OSVALDO CRUZ (GAL. NETO)</t>
        </is>
      </c>
      <c r="G38" s="8" t="inlineStr">
        <is>
          <t>PASSEIO CALÇADÃO OSVALDO CRUZ, 40</t>
        </is>
      </c>
      <c r="H38" s="7" t="inlineStr"/>
      <c r="I38" s="8" t="inlineStr">
        <is>
          <t>TESTE DE FIBRA</t>
        </is>
      </c>
      <c r="J38" s="8" t="inlineStr"/>
      <c r="K38" s="8" t="inlineStr"/>
      <c r="L38" s="9" t="n">
        <v>45001</v>
      </c>
      <c r="M38" s="9" t="n">
        <v>45001</v>
      </c>
      <c r="N38" s="9" t="n">
        <v>45012</v>
      </c>
      <c r="O38" s="9" t="n">
        <v>45006</v>
      </c>
      <c r="P38" s="7" t="inlineStr">
        <is>
          <t>NÃO PRECISA</t>
        </is>
      </c>
      <c r="Q38" s="9" t="n">
        <v>45066</v>
      </c>
      <c r="R38" s="7" t="inlineStr">
        <is>
          <t>Concluído Campo</t>
        </is>
      </c>
      <c r="S38" s="7" t="inlineStr"/>
      <c r="T38" s="10" t="inlineStr"/>
      <c r="U38" s="7" t="inlineStr"/>
      <c r="V38" s="7" t="inlineStr"/>
      <c r="W38" s="7" t="inlineStr"/>
      <c r="X38" s="7" t="inlineStr">
        <is>
          <t>AG. MEDIÇÃO</t>
        </is>
      </c>
      <c r="Y38" s="11">
        <f>IF(AND(L38&lt;&gt;"", S38&lt;&gt;""), S38-L38, IF(L38&lt;&gt;"", TODAY()-L38, ""))</f>
        <v/>
      </c>
      <c r="Z38" s="7">
        <f>IF(Y38="", "", IF(Y38&lt;=3, "NO PRAZO", "ATRASADO"))</f>
        <v/>
      </c>
      <c r="AA38" s="8" t="inlineStr">
        <is>
          <t>100% - OK</t>
        </is>
      </c>
    </row>
    <row r="39" ht="20" customHeight="1">
      <c r="A39" s="7" t="inlineStr">
        <is>
          <t>RSCLER0037</t>
        </is>
      </c>
      <c r="B39" s="8" t="inlineStr">
        <is>
          <t>NOVO HAMBURGO</t>
        </is>
      </c>
      <c r="C39" s="7" t="inlineStr">
        <is>
          <t>CNTAA</t>
        </is>
      </c>
      <c r="D39" s="7" t="inlineStr"/>
      <c r="E39" s="7" t="inlineStr"/>
      <c r="F39" s="8" t="inlineStr">
        <is>
          <t>CALÇADÃO OSVALDO CRUZ (GAL. NETO)</t>
        </is>
      </c>
      <c r="G39" s="8" t="inlineStr">
        <is>
          <t>PASSEIO CALÇADÃO OSVALDO CRUZ, 54</t>
        </is>
      </c>
      <c r="H39" s="7" t="inlineStr"/>
      <c r="I39" s="8" t="inlineStr">
        <is>
          <t>LANÇAMENTO DE 200m (12FO) E INSTALAÇÃO DE CAIXA NOVA</t>
        </is>
      </c>
      <c r="J39" s="8" t="inlineStr">
        <is>
          <t>JLE</t>
        </is>
      </c>
      <c r="K39" s="8" t="inlineStr">
        <is>
          <t>JLE</t>
        </is>
      </c>
      <c r="L39" s="9" t="n">
        <v>45001</v>
      </c>
      <c r="M39" s="9" t="n">
        <v>45001</v>
      </c>
      <c r="N39" s="9" t="n">
        <v>45012</v>
      </c>
      <c r="O39" s="9" t="n">
        <v>45006</v>
      </c>
      <c r="P39" s="7" t="inlineStr">
        <is>
          <t>NÃO PRECISA</t>
        </is>
      </c>
      <c r="Q39" s="9" t="n">
        <v>45066</v>
      </c>
      <c r="R39" s="7" t="inlineStr">
        <is>
          <t>Concluído Campo</t>
        </is>
      </c>
      <c r="S39" s="7" t="inlineStr"/>
      <c r="T39" s="10" t="inlineStr"/>
      <c r="U39" s="7" t="inlineStr"/>
      <c r="V39" s="7" t="inlineStr"/>
      <c r="W39" s="7" t="inlineStr"/>
      <c r="X39" s="7" t="inlineStr">
        <is>
          <t>AG. MEDIÇÃO</t>
        </is>
      </c>
      <c r="Y39" s="11">
        <f>IF(AND(L39&lt;&gt;"", S39&lt;&gt;""), S39-L39, IF(L39&lt;&gt;"", TODAY()-L39, ""))</f>
        <v/>
      </c>
      <c r="Z39" s="7">
        <f>IF(Y39="", "", IF(Y39&lt;=3, "NO PRAZO", "ATRASADO"))</f>
        <v/>
      </c>
      <c r="AA39" s="8" t="inlineStr">
        <is>
          <t>100% - OK</t>
        </is>
      </c>
    </row>
    <row r="40" ht="20" customHeight="1">
      <c r="A40" s="7" t="inlineStr">
        <is>
          <t>RSCLER0038</t>
        </is>
      </c>
      <c r="B40" s="8" t="inlineStr">
        <is>
          <t>PORTO ALEGRE</t>
        </is>
      </c>
      <c r="C40" s="7" t="inlineStr">
        <is>
          <t>MNDAA</t>
        </is>
      </c>
      <c r="D40" s="7" t="inlineStr"/>
      <c r="E40" s="7" t="inlineStr"/>
      <c r="F40" s="8" t="inlineStr">
        <is>
          <t>COND. AUGUSTO MEIRELES DE CARVALHO</t>
        </is>
      </c>
      <c r="G40" s="8" t="inlineStr">
        <is>
          <t>RUA ANITA GARIBALDI, 2541</t>
        </is>
      </c>
      <c r="H40" s="7" t="inlineStr"/>
      <c r="I40" s="8" t="inlineStr">
        <is>
          <t>LANÇAMENTO DE 220m (12FO)  E FUSÕES EM CAIXAS EXISTENTES</t>
        </is>
      </c>
      <c r="J40" s="8" t="inlineStr">
        <is>
          <t>IVANIR  DE OLIVEIRA</t>
        </is>
      </c>
      <c r="K40" s="8" t="inlineStr">
        <is>
          <t>PAULO GOMES</t>
        </is>
      </c>
      <c r="L40" s="9" t="n">
        <v>44974</v>
      </c>
      <c r="M40" s="9" t="n">
        <v>44995</v>
      </c>
      <c r="N40" s="9" t="n">
        <v>44999</v>
      </c>
      <c r="O40" s="9" t="n">
        <v>45005</v>
      </c>
      <c r="P40" s="7" t="inlineStr">
        <is>
          <t>NÃO PRECISA</t>
        </is>
      </c>
      <c r="Q40" s="9" t="n">
        <v>45066</v>
      </c>
      <c r="R40" s="7" t="inlineStr">
        <is>
          <t>Concluído Campo</t>
        </is>
      </c>
      <c r="S40" s="7" t="inlineStr"/>
      <c r="T40" s="10" t="inlineStr"/>
      <c r="U40" s="7" t="inlineStr"/>
      <c r="V40" s="7" t="inlineStr"/>
      <c r="W40" s="7" t="inlineStr"/>
      <c r="X40" s="7" t="inlineStr">
        <is>
          <t>AG. MEDIÇÃO</t>
        </is>
      </c>
      <c r="Y40" s="11">
        <f>IF(AND(L40&lt;&gt;"", S40&lt;&gt;""), S40-L40, IF(L40&lt;&gt;"", TODAY()-L40, ""))</f>
        <v/>
      </c>
      <c r="Z40" s="7">
        <f>IF(Y40="", "", IF(Y40&lt;=3, "NO PRAZO", "ATRASADO"))</f>
        <v/>
      </c>
      <c r="AA40" s="8" t="inlineStr">
        <is>
          <t>100% - OK</t>
        </is>
      </c>
    </row>
    <row r="41" ht="20" customHeight="1">
      <c r="A41" s="7" t="inlineStr">
        <is>
          <t>RSCLER0039</t>
        </is>
      </c>
      <c r="B41" s="8" t="inlineStr">
        <is>
          <t>NOVO HAMBURGO</t>
        </is>
      </c>
      <c r="C41" s="7" t="inlineStr">
        <is>
          <t>CNTAG</t>
        </is>
      </c>
      <c r="D41" s="7" t="inlineStr"/>
      <c r="E41" s="7" t="inlineStr"/>
      <c r="F41" s="8" t="inlineStr">
        <is>
          <t>BAGÉ</t>
        </is>
      </c>
      <c r="G41" s="8" t="inlineStr">
        <is>
          <t>RUA BAGÉ, 81</t>
        </is>
      </c>
      <c r="H41" s="7" t="inlineStr"/>
      <c r="I41" s="8" t="inlineStr">
        <is>
          <t>2 ABERTURA E FECHAMENTO, 6 FUSÕES, 3 TESTES, 1 TESTE COM OTDR</t>
        </is>
      </c>
      <c r="J41" s="8" t="inlineStr"/>
      <c r="K41" s="8" t="inlineStr">
        <is>
          <t>LUCAS HOBERT</t>
        </is>
      </c>
      <c r="L41" s="9" t="n">
        <v>45083</v>
      </c>
      <c r="M41" s="7" t="inlineStr"/>
      <c r="N41" s="7" t="inlineStr"/>
      <c r="O41" s="7" t="inlineStr"/>
      <c r="P41" s="7" t="inlineStr">
        <is>
          <t>NÃO PRECISA</t>
        </is>
      </c>
      <c r="Q41" s="9" t="n">
        <v>45083</v>
      </c>
      <c r="R41" s="7" t="inlineStr">
        <is>
          <t>Concluído Campo</t>
        </is>
      </c>
      <c r="S41" s="7" t="inlineStr"/>
      <c r="T41" s="10" t="inlineStr"/>
      <c r="U41" s="7" t="inlineStr"/>
      <c r="V41" s="7" t="inlineStr"/>
      <c r="W41" s="7" t="inlineStr"/>
      <c r="X41" s="7" t="inlineStr">
        <is>
          <t>AG. MEDIÇÃO</t>
        </is>
      </c>
      <c r="Y41" s="11">
        <f>IF(AND(L41&lt;&gt;"", S41&lt;&gt;""), S41-L41, IF(L41&lt;&gt;"", TODAY()-L41, ""))</f>
        <v/>
      </c>
      <c r="Z41" s="7">
        <f>IF(Y41="", "", IF(Y41&lt;=3, "NO PRAZO", "ATRASADO"))</f>
        <v/>
      </c>
      <c r="AA41" s="8" t="inlineStr">
        <is>
          <t>100% - OK</t>
        </is>
      </c>
    </row>
    <row r="42" ht="20" customHeight="1">
      <c r="A42" s="7" t="inlineStr">
        <is>
          <t>RSCLER0040</t>
        </is>
      </c>
      <c r="B42" s="8" t="inlineStr">
        <is>
          <t>PORTO ALEGRE</t>
        </is>
      </c>
      <c r="C42" s="7" t="inlineStr">
        <is>
          <t>CMQAN</t>
        </is>
      </c>
      <c r="D42" s="7" t="inlineStr"/>
      <c r="E42" s="7" t="inlineStr"/>
      <c r="F42" s="8" t="inlineStr">
        <is>
          <t>COND. CRISTAL DA LAGOA</t>
        </is>
      </c>
      <c r="G42" s="8" t="inlineStr">
        <is>
          <t>RUA CEL. MASSOT, 520</t>
        </is>
      </c>
      <c r="H42" s="7" t="inlineStr"/>
      <c r="I42" s="8" t="inlineStr">
        <is>
          <t>LANÇAMENTO DE 600m (12FO) E INSTALAÇÃO DE CAIXA NOVA</t>
        </is>
      </c>
      <c r="J42" s="8" t="inlineStr">
        <is>
          <t>IVANIR  DE OLIVEIRA</t>
        </is>
      </c>
      <c r="K42" s="8" t="inlineStr">
        <is>
          <t>FÁBIO AMARILIO</t>
        </is>
      </c>
      <c r="L42" s="9" t="n">
        <v>44974</v>
      </c>
      <c r="M42" s="9" t="n">
        <v>44995</v>
      </c>
      <c r="N42" s="9" t="n">
        <v>44999</v>
      </c>
      <c r="O42" s="9" t="n">
        <v>44999</v>
      </c>
      <c r="P42" s="7" t="inlineStr">
        <is>
          <t>NÃO PRECISA</t>
        </is>
      </c>
      <c r="Q42" s="9" t="n">
        <v>45066</v>
      </c>
      <c r="R42" s="7" t="inlineStr">
        <is>
          <t>Concluído Campo</t>
        </is>
      </c>
      <c r="S42" s="7" t="inlineStr"/>
      <c r="T42" s="10" t="inlineStr"/>
      <c r="U42" s="7" t="inlineStr"/>
      <c r="V42" s="7" t="inlineStr"/>
      <c r="W42" s="7" t="inlineStr"/>
      <c r="X42" s="7" t="inlineStr">
        <is>
          <t>AG. MEDIÇÃO</t>
        </is>
      </c>
      <c r="Y42" s="11">
        <f>IF(AND(L42&lt;&gt;"", S42&lt;&gt;""), S42-L42, IF(L42&lt;&gt;"", TODAY()-L42, ""))</f>
        <v/>
      </c>
      <c r="Z42" s="7">
        <f>IF(Y42="", "", IF(Y42&lt;=3, "NO PRAZO", "ATRASADO"))</f>
        <v/>
      </c>
      <c r="AA42" s="8" t="inlineStr">
        <is>
          <t>100% - OK</t>
        </is>
      </c>
    </row>
    <row r="43" ht="20" customHeight="1">
      <c r="A43" s="7" t="inlineStr">
        <is>
          <t>RSCLER0041</t>
        </is>
      </c>
      <c r="B43" s="8" t="inlineStr">
        <is>
          <t>PORTO ALEGRE</t>
        </is>
      </c>
      <c r="C43" s="7" t="inlineStr">
        <is>
          <t>BVSAB</t>
        </is>
      </c>
      <c r="D43" s="7" t="inlineStr"/>
      <c r="E43" s="7" t="inlineStr"/>
      <c r="F43" s="8" t="inlineStr">
        <is>
          <t>COND. YELLOW RESIDENCE</t>
        </is>
      </c>
      <c r="G43" s="8" t="inlineStr">
        <is>
          <t>RUA CRISTIANO FISCHER, 1362</t>
        </is>
      </c>
      <c r="H43" s="7" t="inlineStr"/>
      <c r="I43" s="8" t="inlineStr">
        <is>
          <t>LANÇAMENTO DE 200m (12FO)  E INSTALAÇÃO DE CAIXA NOVA</t>
        </is>
      </c>
      <c r="J43" s="8" t="inlineStr">
        <is>
          <t>NEIMAR LUCERO - VANIR DE OLIVEIRA</t>
        </is>
      </c>
      <c r="K43" s="8" t="inlineStr">
        <is>
          <t>PAULO GOMES</t>
        </is>
      </c>
      <c r="L43" s="9" t="n">
        <v>45000</v>
      </c>
      <c r="M43" s="9" t="n">
        <v>45001</v>
      </c>
      <c r="N43" s="9" t="n">
        <v>45016</v>
      </c>
      <c r="O43" s="9" t="n">
        <v>45016</v>
      </c>
      <c r="P43" s="7" t="inlineStr">
        <is>
          <t>NÃO PRECISA</t>
        </is>
      </c>
      <c r="Q43" s="9" t="n">
        <v>45066</v>
      </c>
      <c r="R43" s="7" t="inlineStr">
        <is>
          <t>Concluído Campo</t>
        </is>
      </c>
      <c r="S43" s="7" t="inlineStr"/>
      <c r="T43" s="10" t="inlineStr"/>
      <c r="U43" s="7" t="inlineStr"/>
      <c r="V43" s="7" t="inlineStr"/>
      <c r="W43" s="7" t="inlineStr"/>
      <c r="X43" s="7" t="inlineStr">
        <is>
          <t>AG. MEDIÇÃO</t>
        </is>
      </c>
      <c r="Y43" s="11">
        <f>IF(AND(L43&lt;&gt;"", S43&lt;&gt;""), S43-L43, IF(L43&lt;&gt;"", TODAY()-L43, ""))</f>
        <v/>
      </c>
      <c r="Z43" s="7">
        <f>IF(Y43="", "", IF(Y43&lt;=3, "NO PRAZO", "ATRASADO"))</f>
        <v/>
      </c>
      <c r="AA43" s="8" t="inlineStr">
        <is>
          <t>100% - OK</t>
        </is>
      </c>
    </row>
    <row r="44" ht="20" customHeight="1">
      <c r="A44" s="7" t="inlineStr">
        <is>
          <t>RSCLER0042</t>
        </is>
      </c>
      <c r="B44" s="8" t="inlineStr">
        <is>
          <t>PORTO ALEGRE</t>
        </is>
      </c>
      <c r="C44" s="7" t="inlineStr">
        <is>
          <t>VIPAIA</t>
        </is>
      </c>
      <c r="D44" s="7" t="inlineStr"/>
      <c r="E44" s="7" t="inlineStr"/>
      <c r="F44" s="8" t="inlineStr">
        <is>
          <t>COND. GOMES DE FREITAS</t>
        </is>
      </c>
      <c r="G44" s="8" t="inlineStr">
        <is>
          <t>RUA GOMES DE FREITAS, 315</t>
        </is>
      </c>
      <c r="H44" s="7" t="inlineStr"/>
      <c r="I44" s="8" t="inlineStr">
        <is>
          <t>1 ABERTURA E FECHAMENTO, 12 FUSÕES, 1 DERIVAÇÃO, 1 CEO, 6 TESTES, 118M DE 12FO, 2 TESTES COM OTDR. ( FIBRA ESTAVA PARADA NO SITE)</t>
        </is>
      </c>
      <c r="J44" s="8" t="inlineStr">
        <is>
          <t>JORGE MATHEUS</t>
        </is>
      </c>
      <c r="K44" s="8" t="inlineStr">
        <is>
          <t>PAULO GOMEES</t>
        </is>
      </c>
      <c r="L44" s="9" t="n">
        <v>45000</v>
      </c>
      <c r="M44" s="9" t="n">
        <v>45001</v>
      </c>
      <c r="N44" s="9" t="n">
        <v>45005</v>
      </c>
      <c r="O44" s="9" t="n">
        <v>45005</v>
      </c>
      <c r="P44" s="7" t="inlineStr">
        <is>
          <t>NÃO PRECISA</t>
        </is>
      </c>
      <c r="Q44" s="9" t="n">
        <v>45084</v>
      </c>
      <c r="R44" s="7" t="inlineStr">
        <is>
          <t>Concluído Campo</t>
        </is>
      </c>
      <c r="S44" s="7" t="inlineStr"/>
      <c r="T44" s="10" t="inlineStr"/>
      <c r="U44" s="7" t="inlineStr"/>
      <c r="V44" s="7" t="inlineStr"/>
      <c r="W44" s="7" t="inlineStr"/>
      <c r="X44" s="7" t="inlineStr">
        <is>
          <t>AG. MEDIÇÃO</t>
        </is>
      </c>
      <c r="Y44" s="11">
        <f>IF(AND(L44&lt;&gt;"", S44&lt;&gt;""), S44-L44, IF(L44&lt;&gt;"", TODAY()-L44, ""))</f>
        <v/>
      </c>
      <c r="Z44" s="7">
        <f>IF(Y44="", "", IF(Y44&lt;=3, "NO PRAZO", "ATRASADO"))</f>
        <v/>
      </c>
      <c r="AA44" s="8" t="inlineStr">
        <is>
          <t>100% - OK</t>
        </is>
      </c>
    </row>
    <row r="45" ht="20" customHeight="1">
      <c r="A45" s="7" t="inlineStr">
        <is>
          <t>RSCLER0043</t>
        </is>
      </c>
      <c r="B45" s="8" t="inlineStr">
        <is>
          <t>PORTO ALEGRE</t>
        </is>
      </c>
      <c r="C45" s="7" t="inlineStr">
        <is>
          <t>PRTAEA</t>
        </is>
      </c>
      <c r="D45" s="7" t="inlineStr"/>
      <c r="E45" s="7" t="inlineStr"/>
      <c r="F45" s="8" t="inlineStr">
        <is>
          <t>HUMBERTO DE CAMPOS</t>
        </is>
      </c>
      <c r="G45" s="8" t="inlineStr">
        <is>
          <t>RUA HUMBERTO DE CAMPOS, 601</t>
        </is>
      </c>
      <c r="H45" s="7" t="inlineStr"/>
      <c r="I45" s="8" t="inlineStr">
        <is>
          <t>LANÇAMENTO DE 629m (12FO) E INSTALAÇÃO DE CAIXA NOVA</t>
        </is>
      </c>
      <c r="J45" s="8" t="inlineStr">
        <is>
          <t>NEIMAR LUCERO</t>
        </is>
      </c>
      <c r="K45" s="8" t="inlineStr">
        <is>
          <t>JORGE MATHEUS</t>
        </is>
      </c>
      <c r="L45" s="9" t="n">
        <v>44998</v>
      </c>
      <c r="M45" s="9" t="n">
        <v>45001</v>
      </c>
      <c r="N45" s="9" t="n">
        <v>45005</v>
      </c>
      <c r="O45" s="9" t="n">
        <v>45005</v>
      </c>
      <c r="P45" s="7" t="inlineStr">
        <is>
          <t>NÃO PRECISA</t>
        </is>
      </c>
      <c r="Q45" s="9" t="n">
        <v>45066</v>
      </c>
      <c r="R45" s="7" t="inlineStr">
        <is>
          <t>Concluído Campo</t>
        </is>
      </c>
      <c r="S45" s="7" t="inlineStr"/>
      <c r="T45" s="10" t="inlineStr"/>
      <c r="U45" s="7" t="inlineStr"/>
      <c r="V45" s="7" t="inlineStr"/>
      <c r="W45" s="7" t="inlineStr"/>
      <c r="X45" s="7" t="inlineStr">
        <is>
          <t>AG. MEDIÇÃO</t>
        </is>
      </c>
      <c r="Y45" s="11">
        <f>IF(AND(L45&lt;&gt;"", S45&lt;&gt;""), S45-L45, IF(L45&lt;&gt;"", TODAY()-L45, ""))</f>
        <v/>
      </c>
      <c r="Z45" s="7">
        <f>IF(Y45="", "", IF(Y45&lt;=3, "NO PRAZO", "ATRASADO"))</f>
        <v/>
      </c>
      <c r="AA45" s="8" t="inlineStr">
        <is>
          <t>100% - OK</t>
        </is>
      </c>
    </row>
    <row r="46" ht="20" customHeight="1">
      <c r="A46" s="7" t="inlineStr">
        <is>
          <t>RSCLER0044</t>
        </is>
      </c>
      <c r="B46" s="8" t="inlineStr">
        <is>
          <t>PORTO ALEGRE</t>
        </is>
      </c>
      <c r="C46" s="7" t="inlineStr">
        <is>
          <t>PDRAHB</t>
        </is>
      </c>
      <c r="D46" s="7" t="inlineStr"/>
      <c r="E46" s="7" t="inlineStr"/>
      <c r="F46" s="8" t="inlineStr">
        <is>
          <t>COND. RESERVA ITAPEVA</t>
        </is>
      </c>
      <c r="G46" s="8" t="inlineStr">
        <is>
          <t>RUA ITAPEVA, 151</t>
        </is>
      </c>
      <c r="H46" s="7" t="inlineStr"/>
      <c r="I46" s="8" t="inlineStr">
        <is>
          <t>NÃO TEVE LANÇAMENTO/ 2 ABERTURA E FECHAMENTO / 2 FUSÃO / 2 TESTE</t>
        </is>
      </c>
      <c r="J46" s="8" t="inlineStr"/>
      <c r="K46" s="8" t="inlineStr"/>
      <c r="L46" s="9" t="n">
        <v>45000</v>
      </c>
      <c r="M46" s="9" t="n">
        <v>45005</v>
      </c>
      <c r="N46" s="9" t="n">
        <v>45009</v>
      </c>
      <c r="O46" s="9" t="n">
        <v>45008</v>
      </c>
      <c r="P46" s="7" t="inlineStr">
        <is>
          <t>NÃO PRECISA</t>
        </is>
      </c>
      <c r="Q46" s="9" t="n">
        <v>45118</v>
      </c>
      <c r="R46" s="7" t="inlineStr">
        <is>
          <t>Concluído Campo</t>
        </is>
      </c>
      <c r="S46" s="7" t="inlineStr"/>
      <c r="T46" s="10" t="inlineStr"/>
      <c r="U46" s="7" t="inlineStr"/>
      <c r="V46" s="7" t="inlineStr"/>
      <c r="W46" s="7" t="inlineStr"/>
      <c r="X46" s="7" t="inlineStr">
        <is>
          <t>AG. MEDIÇÃO</t>
        </is>
      </c>
      <c r="Y46" s="11">
        <f>IF(AND(L46&lt;&gt;"", S46&lt;&gt;""), S46-L46, IF(L46&lt;&gt;"", TODAY()-L46, ""))</f>
        <v/>
      </c>
      <c r="Z46" s="7">
        <f>IF(Y46="", "", IF(Y46&lt;=3, "NO PRAZO", "ATRASADO"))</f>
        <v/>
      </c>
      <c r="AA46" s="8" t="inlineStr">
        <is>
          <t>100% - OK</t>
        </is>
      </c>
    </row>
    <row r="47" ht="20" customHeight="1">
      <c r="A47" s="7" t="inlineStr">
        <is>
          <t>RSCLER0045</t>
        </is>
      </c>
      <c r="B47" s="8" t="inlineStr">
        <is>
          <t>RSPCE22</t>
        </is>
      </c>
      <c r="C47" s="7" t="inlineStr">
        <is>
          <t>SANAA</t>
        </is>
      </c>
      <c r="D47" s="7" t="inlineStr"/>
      <c r="E47" s="7" t="inlineStr"/>
      <c r="F47" s="8" t="inlineStr">
        <is>
          <t>ED. MINUETO</t>
        </is>
      </c>
      <c r="G47" s="8" t="inlineStr">
        <is>
          <t>RUA JACINTO GOMES, 194 - SANTANA</t>
        </is>
      </c>
      <c r="H47" s="7" t="inlineStr"/>
      <c r="I47" s="8" t="inlineStr">
        <is>
          <t>INSTALAÇÃO DE CAIXA NOVA</t>
        </is>
      </c>
      <c r="J47" s="8" t="inlineStr"/>
      <c r="K47" s="8" t="inlineStr"/>
      <c r="L47" s="9" t="n">
        <v>45002</v>
      </c>
      <c r="M47" s="9" t="n">
        <v>45002</v>
      </c>
      <c r="N47" s="9" t="n">
        <v>45006</v>
      </c>
      <c r="O47" s="9" t="n">
        <v>45006</v>
      </c>
      <c r="P47" s="7" t="inlineStr">
        <is>
          <t>NÃO PRECISA</t>
        </is>
      </c>
      <c r="Q47" s="9" t="n">
        <v>45066</v>
      </c>
      <c r="R47" s="7" t="inlineStr">
        <is>
          <t>Concluído Campo</t>
        </is>
      </c>
      <c r="S47" s="7" t="inlineStr"/>
      <c r="T47" s="10" t="inlineStr"/>
      <c r="U47" s="7" t="inlineStr"/>
      <c r="V47" s="7" t="inlineStr"/>
      <c r="W47" s="7" t="inlineStr"/>
      <c r="X47" s="7" t="inlineStr">
        <is>
          <t>AG. MEDIÇÃO</t>
        </is>
      </c>
      <c r="Y47" s="11">
        <f>IF(AND(L47&lt;&gt;"", S47&lt;&gt;""), S47-L47, IF(L47&lt;&gt;"", TODAY()-L47, ""))</f>
        <v/>
      </c>
      <c r="Z47" s="7">
        <f>IF(Y47="", "", IF(Y47&lt;=3, "NO PRAZO", "ATRASADO"))</f>
        <v/>
      </c>
      <c r="AA47" s="8" t="inlineStr">
        <is>
          <t>100% - OK</t>
        </is>
      </c>
    </row>
    <row r="48" ht="20" customHeight="1">
      <c r="A48" s="7" t="inlineStr">
        <is>
          <t>RSCLER0046</t>
        </is>
      </c>
      <c r="B48" s="8" t="inlineStr">
        <is>
          <t>PORTO ALEGRE</t>
        </is>
      </c>
      <c r="C48" s="7" t="inlineStr">
        <is>
          <t>AZNAGA</t>
        </is>
      </c>
      <c r="D48" s="7" t="inlineStr"/>
      <c r="E48" s="7" t="inlineStr"/>
      <c r="F48" s="8" t="inlineStr">
        <is>
          <t>COND. BARBIERI</t>
        </is>
      </c>
      <c r="G48" s="8" t="inlineStr">
        <is>
          <t>RUA MARCÍLIO DIAS, 1500</t>
        </is>
      </c>
      <c r="H48" s="7" t="inlineStr"/>
      <c r="I48" s="8" t="inlineStr">
        <is>
          <t>ALINHAMENTO DE FIBRA</t>
        </is>
      </c>
      <c r="J48" s="8" t="inlineStr"/>
      <c r="K48" s="8" t="inlineStr">
        <is>
          <t>PAULO GOMES</t>
        </is>
      </c>
      <c r="L48" s="9" t="n">
        <v>44974</v>
      </c>
      <c r="M48" s="9" t="n">
        <v>44995</v>
      </c>
      <c r="N48" s="9" t="n">
        <v>44999</v>
      </c>
      <c r="O48" s="9" t="n">
        <v>44999</v>
      </c>
      <c r="P48" s="7" t="inlineStr">
        <is>
          <t>NÃO PRECISA</t>
        </is>
      </c>
      <c r="Q48" s="9" t="n">
        <v>45066</v>
      </c>
      <c r="R48" s="7" t="inlineStr">
        <is>
          <t>Concluído Campo</t>
        </is>
      </c>
      <c r="S48" s="7" t="inlineStr"/>
      <c r="T48" s="10" t="inlineStr"/>
      <c r="U48" s="7" t="inlineStr"/>
      <c r="V48" s="7" t="inlineStr"/>
      <c r="W48" s="7" t="inlineStr"/>
      <c r="X48" s="7" t="inlineStr">
        <is>
          <t>AG. MEDIÇÃO</t>
        </is>
      </c>
      <c r="Y48" s="11">
        <f>IF(AND(L48&lt;&gt;"", S48&lt;&gt;""), S48-L48, IF(L48&lt;&gt;"", TODAY()-L48, ""))</f>
        <v/>
      </c>
      <c r="Z48" s="7">
        <f>IF(Y48="", "", IF(Y48&lt;=3, "NO PRAZO", "ATRASADO"))</f>
        <v/>
      </c>
      <c r="AA48" s="8" t="inlineStr">
        <is>
          <t>100% - OK</t>
        </is>
      </c>
    </row>
    <row r="49" ht="20" customHeight="1">
      <c r="A49" s="7" t="inlineStr">
        <is>
          <t>RSCLER0047</t>
        </is>
      </c>
      <c r="B49" s="8" t="inlineStr">
        <is>
          <t>PORTO ALEGRE</t>
        </is>
      </c>
      <c r="C49" s="7" t="inlineStr">
        <is>
          <t>VIPAA</t>
        </is>
      </c>
      <c r="D49" s="7" t="inlineStr"/>
      <c r="E49" s="7" t="inlineStr"/>
      <c r="F49" s="8" t="inlineStr">
        <is>
          <t>ED. MARCO POLO</t>
        </is>
      </c>
      <c r="G49" s="8" t="inlineStr">
        <is>
          <t>RUA MARCO POLO, 360</t>
        </is>
      </c>
      <c r="H49" s="7" t="inlineStr"/>
      <c r="I49" s="8" t="inlineStr">
        <is>
          <t>ALINHAMENTO DE FIBRA</t>
        </is>
      </c>
      <c r="J49" s="8" t="inlineStr"/>
      <c r="K49" s="8" t="inlineStr"/>
      <c r="L49" s="9" t="n">
        <v>44640</v>
      </c>
      <c r="M49" s="9" t="n">
        <v>45007</v>
      </c>
      <c r="N49" s="9" t="n">
        <v>45012</v>
      </c>
      <c r="O49" s="9" t="n">
        <v>45012</v>
      </c>
      <c r="P49" s="7" t="inlineStr">
        <is>
          <t>NÃO PRECISA</t>
        </is>
      </c>
      <c r="Q49" s="9" t="n">
        <v>45066</v>
      </c>
      <c r="R49" s="7" t="inlineStr">
        <is>
          <t>Concluído Campo</t>
        </is>
      </c>
      <c r="S49" s="7" t="inlineStr"/>
      <c r="T49" s="10" t="inlineStr"/>
      <c r="U49" s="7" t="inlineStr"/>
      <c r="V49" s="7" t="inlineStr"/>
      <c r="W49" s="7" t="inlineStr"/>
      <c r="X49" s="7" t="inlineStr">
        <is>
          <t>AG. MEDIÇÃO</t>
        </is>
      </c>
      <c r="Y49" s="11">
        <f>IF(AND(L49&lt;&gt;"", S49&lt;&gt;""), S49-L49, IF(L49&lt;&gt;"", TODAY()-L49, ""))</f>
        <v/>
      </c>
      <c r="Z49" s="7">
        <f>IF(Y49="", "", IF(Y49&lt;=3, "NO PRAZO", "ATRASADO"))</f>
        <v/>
      </c>
      <c r="AA49" s="8" t="inlineStr">
        <is>
          <t>100% - OK</t>
        </is>
      </c>
    </row>
    <row r="50" ht="20" customHeight="1">
      <c r="A50" s="7" t="inlineStr">
        <is>
          <t>RSCLER0048</t>
        </is>
      </c>
      <c r="B50" s="8" t="inlineStr">
        <is>
          <t>PORTO ALEGRE</t>
        </is>
      </c>
      <c r="C50" s="7" t="inlineStr">
        <is>
          <t>CNTAK</t>
        </is>
      </c>
      <c r="D50" s="7" t="inlineStr"/>
      <c r="E50" s="7" t="inlineStr"/>
      <c r="F50" s="8" t="inlineStr">
        <is>
          <t>COND. TOCANTINS</t>
        </is>
      </c>
      <c r="G50" s="8" t="inlineStr">
        <is>
          <t>RUA MARECHAL FLORIANO PEIXOTO, 501</t>
        </is>
      </c>
      <c r="H50" s="7" t="inlineStr"/>
      <c r="I50" s="8" t="inlineStr">
        <is>
          <t>LANÇAMENTO DE 215m (12FO) E FUSÕES EM CAIXAS EXISTENTES</t>
        </is>
      </c>
      <c r="J50" s="8" t="inlineStr">
        <is>
          <t>NEIMAR LUCERO</t>
        </is>
      </c>
      <c r="K50" s="8" t="inlineStr">
        <is>
          <t>PAULO GOMES</t>
        </is>
      </c>
      <c r="L50" s="9" t="n">
        <v>44998</v>
      </c>
      <c r="M50" s="9" t="n">
        <v>45001</v>
      </c>
      <c r="N50" s="9" t="n">
        <v>45005</v>
      </c>
      <c r="O50" s="9" t="n">
        <v>45005</v>
      </c>
      <c r="P50" s="7" t="inlineStr">
        <is>
          <t>NÃO PRECISA</t>
        </is>
      </c>
      <c r="Q50" s="9" t="n">
        <v>45066</v>
      </c>
      <c r="R50" s="7" t="inlineStr">
        <is>
          <t>Concluído Campo</t>
        </is>
      </c>
      <c r="S50" s="7" t="inlineStr"/>
      <c r="T50" s="10" t="inlineStr"/>
      <c r="U50" s="7" t="inlineStr"/>
      <c r="V50" s="7" t="inlineStr"/>
      <c r="W50" s="7" t="inlineStr"/>
      <c r="X50" s="7" t="inlineStr">
        <is>
          <t>AG. MEDIÇÃO</t>
        </is>
      </c>
      <c r="Y50" s="11">
        <f>IF(AND(L50&lt;&gt;"", S50&lt;&gt;""), S50-L50, IF(L50&lt;&gt;"", TODAY()-L50, ""))</f>
        <v/>
      </c>
      <c r="Z50" s="7">
        <f>IF(Y50="", "", IF(Y50&lt;=3, "NO PRAZO", "ATRASADO"))</f>
        <v/>
      </c>
      <c r="AA50" s="8" t="inlineStr">
        <is>
          <t>100% - OK</t>
        </is>
      </c>
    </row>
    <row r="51" ht="20" customHeight="1">
      <c r="A51" s="7" t="inlineStr">
        <is>
          <t>RSCLER0049</t>
        </is>
      </c>
      <c r="B51" s="8" t="inlineStr">
        <is>
          <t>PORTO ALEGRE</t>
        </is>
      </c>
      <c r="C51" s="7" t="inlineStr">
        <is>
          <t>MTSAA</t>
        </is>
      </c>
      <c r="D51" s="7" t="inlineStr"/>
      <c r="E51" s="7" t="inlineStr"/>
      <c r="F51" s="8" t="inlineStr">
        <is>
          <t>COND. LA SCULTURA</t>
        </is>
      </c>
      <c r="G51" s="8" t="inlineStr">
        <is>
          <t>RUA MARILAND, 136</t>
        </is>
      </c>
      <c r="H51" s="7" t="inlineStr"/>
      <c r="I51" s="8" t="inlineStr">
        <is>
          <t>ALINHAMENTO DE FIBRA</t>
        </is>
      </c>
      <c r="J51" s="8" t="inlineStr"/>
      <c r="K51" s="8" t="inlineStr">
        <is>
          <t>EM ANDAMENTO</t>
        </is>
      </c>
      <c r="L51" s="9" t="n">
        <v>44974</v>
      </c>
      <c r="M51" s="9" t="n">
        <v>44998</v>
      </c>
      <c r="N51" s="9" t="n">
        <v>45005</v>
      </c>
      <c r="O51" s="9" t="n">
        <v>45005</v>
      </c>
      <c r="P51" s="7" t="inlineStr">
        <is>
          <t>NÃO PRECISA</t>
        </is>
      </c>
      <c r="Q51" s="9" t="n">
        <v>45066</v>
      </c>
      <c r="R51" s="7" t="inlineStr">
        <is>
          <t>Concluído Campo</t>
        </is>
      </c>
      <c r="S51" s="7" t="inlineStr"/>
      <c r="T51" s="10" t="inlineStr"/>
      <c r="U51" s="7" t="inlineStr"/>
      <c r="V51" s="7" t="inlineStr"/>
      <c r="W51" s="7" t="inlineStr"/>
      <c r="X51" s="7" t="inlineStr">
        <is>
          <t>AG. MEDIÇÃO</t>
        </is>
      </c>
      <c r="Y51" s="11">
        <f>IF(AND(L51&lt;&gt;"", S51&lt;&gt;""), S51-L51, IF(L51&lt;&gt;"", TODAY()-L51, ""))</f>
        <v/>
      </c>
      <c r="Z51" s="7">
        <f>IF(Y51="", "", IF(Y51&lt;=3, "NO PRAZO", "ATRASADO"))</f>
        <v/>
      </c>
      <c r="AA51" s="8" t="inlineStr">
        <is>
          <t>100% - OK</t>
        </is>
      </c>
    </row>
    <row r="52" ht="20" customHeight="1">
      <c r="A52" s="7" t="inlineStr">
        <is>
          <t>RSCLER0050</t>
        </is>
      </c>
      <c r="B52" s="8" t="inlineStr">
        <is>
          <t>PORTO ALEGRE</t>
        </is>
      </c>
      <c r="C52" s="7" t="inlineStr">
        <is>
          <t>BVSAB</t>
        </is>
      </c>
      <c r="D52" s="7" t="inlineStr"/>
      <c r="E52" s="7" t="inlineStr"/>
      <c r="F52" s="8" t="inlineStr">
        <is>
          <t>COND. RESERVA PETRÓPOLIS</t>
        </is>
      </c>
      <c r="G52" s="8" t="inlineStr">
        <is>
          <t>RUA MARIO LEITÃO, 60</t>
        </is>
      </c>
      <c r="H52" s="7" t="inlineStr"/>
      <c r="I52" s="8" t="inlineStr">
        <is>
          <t>LANÇAMENTO DE 600m (12FO) E FUSÕES EM CAIXAS EXISTENTES</t>
        </is>
      </c>
      <c r="J52" s="8" t="inlineStr">
        <is>
          <t>IVANIR  DE OLIVEIRA</t>
        </is>
      </c>
      <c r="K52" s="8" t="inlineStr">
        <is>
          <t>PAULO GOMES</t>
        </is>
      </c>
      <c r="L52" s="9" t="n">
        <v>44974</v>
      </c>
      <c r="M52" s="9" t="n">
        <v>44995</v>
      </c>
      <c r="N52" s="9" t="n">
        <v>44999</v>
      </c>
      <c r="O52" s="9" t="n">
        <v>44996</v>
      </c>
      <c r="P52" s="7" t="inlineStr">
        <is>
          <t>NÃO PRECISA</t>
        </is>
      </c>
      <c r="Q52" s="9" t="n">
        <v>45066</v>
      </c>
      <c r="R52" s="7" t="inlineStr">
        <is>
          <t>Concluído Campo</t>
        </is>
      </c>
      <c r="S52" s="7" t="inlineStr"/>
      <c r="T52" s="10" t="inlineStr"/>
      <c r="U52" s="7" t="inlineStr"/>
      <c r="V52" s="7" t="inlineStr"/>
      <c r="W52" s="7" t="inlineStr"/>
      <c r="X52" s="7" t="inlineStr">
        <is>
          <t>AG. MEDIÇÃO</t>
        </is>
      </c>
      <c r="Y52" s="11">
        <f>IF(AND(L52&lt;&gt;"", S52&lt;&gt;""), S52-L52, IF(L52&lt;&gt;"", TODAY()-L52, ""))</f>
        <v/>
      </c>
      <c r="Z52" s="7">
        <f>IF(Y52="", "", IF(Y52&lt;=3, "NO PRAZO", "ATRASADO"))</f>
        <v/>
      </c>
      <c r="AA52" s="8" t="inlineStr">
        <is>
          <t>100% - OK</t>
        </is>
      </c>
    </row>
    <row r="53" ht="20" customHeight="1">
      <c r="A53" s="7" t="inlineStr">
        <is>
          <t>RSCLER0051</t>
        </is>
      </c>
      <c r="B53" s="8" t="inlineStr">
        <is>
          <t>PORTO ALEGRE</t>
        </is>
      </c>
      <c r="C53" s="7" t="inlineStr">
        <is>
          <t>MNDAC</t>
        </is>
      </c>
      <c r="D53" s="7" t="inlineStr"/>
      <c r="E53" s="7" t="inlineStr"/>
      <c r="F53" s="8" t="inlineStr">
        <is>
          <t>MORADA DA ENCOSTA</t>
        </is>
      </c>
      <c r="G53" s="8" t="inlineStr">
        <is>
          <t>RUA MONROE, 179</t>
        </is>
      </c>
      <c r="H53" s="7" t="inlineStr"/>
      <c r="I53" s="8" t="inlineStr">
        <is>
          <t>LANÇAMENTO DE 870m (12FO) E INSTALAÇÃO DE CAIXA NOVA</t>
        </is>
      </c>
      <c r="J53" s="8" t="inlineStr">
        <is>
          <t>VALDIR PASSOS</t>
        </is>
      </c>
      <c r="K53" s="8" t="inlineStr">
        <is>
          <t>PAULO GOMES</t>
        </is>
      </c>
      <c r="L53" s="9" t="n">
        <v>44974</v>
      </c>
      <c r="M53" s="9" t="n">
        <v>44995</v>
      </c>
      <c r="N53" s="9" t="n">
        <v>44999</v>
      </c>
      <c r="O53" s="9" t="n">
        <v>44999</v>
      </c>
      <c r="P53" s="7" t="inlineStr">
        <is>
          <t>NÃO PRECISA</t>
        </is>
      </c>
      <c r="Q53" s="9" t="n">
        <v>45066</v>
      </c>
      <c r="R53" s="7" t="inlineStr">
        <is>
          <t>Concluído Campo</t>
        </is>
      </c>
      <c r="S53" s="7" t="inlineStr"/>
      <c r="T53" s="10" t="inlineStr"/>
      <c r="U53" s="7" t="inlineStr"/>
      <c r="V53" s="7" t="inlineStr"/>
      <c r="W53" s="7" t="inlineStr"/>
      <c r="X53" s="7" t="inlineStr">
        <is>
          <t>AG. MEDIÇÃO</t>
        </is>
      </c>
      <c r="Y53" s="11">
        <f>IF(AND(L53&lt;&gt;"", S53&lt;&gt;""), S53-L53, IF(L53&lt;&gt;"", TODAY()-L53, ""))</f>
        <v/>
      </c>
      <c r="Z53" s="7">
        <f>IF(Y53="", "", IF(Y53&lt;=3, "NO PRAZO", "ATRASADO"))</f>
        <v/>
      </c>
      <c r="AA53" s="8" t="inlineStr">
        <is>
          <t>100% - OK</t>
        </is>
      </c>
    </row>
    <row r="54" ht="20" customHeight="1">
      <c r="A54" s="7" t="inlineStr">
        <is>
          <t>RSCLER0052</t>
        </is>
      </c>
      <c r="B54" s="8" t="inlineStr">
        <is>
          <t>PORTO ALEGRE</t>
        </is>
      </c>
      <c r="C54" s="7" t="inlineStr">
        <is>
          <t>MNDAC</t>
        </is>
      </c>
      <c r="D54" s="7" t="inlineStr"/>
      <c r="E54" s="7" t="inlineStr"/>
      <c r="F54" s="8" t="inlineStr">
        <is>
          <t>MORADA DA ENCOSTA</t>
        </is>
      </c>
      <c r="G54" s="8" t="inlineStr">
        <is>
          <t>RUA MONROE, 181</t>
        </is>
      </c>
      <c r="H54" s="7" t="inlineStr"/>
      <c r="I54" s="8" t="inlineStr">
        <is>
          <t>INSTALAÇÃO DE CAIXA NOVA</t>
        </is>
      </c>
      <c r="J54" s="8" t="inlineStr"/>
      <c r="K54" s="8" t="inlineStr">
        <is>
          <t>PAULO GOMES</t>
        </is>
      </c>
      <c r="L54" s="9" t="n">
        <v>44974</v>
      </c>
      <c r="M54" s="9" t="n">
        <v>44995</v>
      </c>
      <c r="N54" s="9" t="n">
        <v>44999</v>
      </c>
      <c r="O54" s="9" t="n">
        <v>44999</v>
      </c>
      <c r="P54" s="7" t="inlineStr">
        <is>
          <t>NÃO PRECISA</t>
        </is>
      </c>
      <c r="Q54" s="9" t="n">
        <v>45066</v>
      </c>
      <c r="R54" s="7" t="inlineStr">
        <is>
          <t>Concluído Campo</t>
        </is>
      </c>
      <c r="S54" s="7" t="inlineStr"/>
      <c r="T54" s="10" t="inlineStr"/>
      <c r="U54" s="7" t="inlineStr"/>
      <c r="V54" s="7" t="inlineStr"/>
      <c r="W54" s="7" t="inlineStr"/>
      <c r="X54" s="7" t="inlineStr">
        <is>
          <t>AG. MEDIÇÃO</t>
        </is>
      </c>
      <c r="Y54" s="11">
        <f>IF(AND(L54&lt;&gt;"", S54&lt;&gt;""), S54-L54, IF(L54&lt;&gt;"", TODAY()-L54, ""))</f>
        <v/>
      </c>
      <c r="Z54" s="7">
        <f>IF(Y54="", "", IF(Y54&lt;=3, "NO PRAZO", "ATRASADO"))</f>
        <v/>
      </c>
      <c r="AA54" s="8" t="inlineStr">
        <is>
          <t>100% - OK</t>
        </is>
      </c>
    </row>
    <row r="55" ht="20" customHeight="1">
      <c r="A55" s="7" t="inlineStr">
        <is>
          <t>RSCLER0053</t>
        </is>
      </c>
      <c r="B55" s="8" t="inlineStr">
        <is>
          <t>PORTO ALEGRE</t>
        </is>
      </c>
      <c r="C55" s="7" t="inlineStr">
        <is>
          <t>TRZAB</t>
        </is>
      </c>
      <c r="D55" s="7" t="inlineStr"/>
      <c r="E55" s="7" t="inlineStr"/>
      <c r="F55" s="8" t="inlineStr">
        <is>
          <t>COND. ILHAS DO SUL</t>
        </is>
      </c>
      <c r="G55" s="8" t="inlineStr">
        <is>
          <t>RUA PA. JOÃO BATISTA RÉUS, 3647</t>
        </is>
      </c>
      <c r="H55" s="7" t="inlineStr"/>
      <c r="I55" s="8" t="inlineStr">
        <is>
          <t>ALINHAMENTO DE FIBRA</t>
        </is>
      </c>
      <c r="J55" s="8" t="inlineStr"/>
      <c r="K55" s="8" t="inlineStr"/>
      <c r="L55" s="9" t="n">
        <v>44640</v>
      </c>
      <c r="M55" s="9" t="n">
        <v>45007</v>
      </c>
      <c r="N55" s="9" t="n">
        <v>45012</v>
      </c>
      <c r="O55" s="9" t="n">
        <v>45008</v>
      </c>
      <c r="P55" s="7" t="inlineStr">
        <is>
          <t>NÃO PRECISA</t>
        </is>
      </c>
      <c r="Q55" s="9" t="n">
        <v>45066</v>
      </c>
      <c r="R55" s="7" t="inlineStr">
        <is>
          <t>Concluído Campo</t>
        </is>
      </c>
      <c r="S55" s="7" t="inlineStr"/>
      <c r="T55" s="10" t="inlineStr"/>
      <c r="U55" s="7" t="inlineStr"/>
      <c r="V55" s="7" t="inlineStr"/>
      <c r="W55" s="7" t="inlineStr"/>
      <c r="X55" s="7" t="inlineStr">
        <is>
          <t>AG. MEDIÇÃO</t>
        </is>
      </c>
      <c r="Y55" s="11">
        <f>IF(AND(L55&lt;&gt;"", S55&lt;&gt;""), S55-L55, IF(L55&lt;&gt;"", TODAY()-L55, ""))</f>
        <v/>
      </c>
      <c r="Z55" s="7">
        <f>IF(Y55="", "", IF(Y55&lt;=3, "NO PRAZO", "ATRASADO"))</f>
        <v/>
      </c>
      <c r="AA55" s="8" t="inlineStr">
        <is>
          <t>100% - OK</t>
        </is>
      </c>
    </row>
    <row r="56" ht="20" customHeight="1">
      <c r="A56" s="7" t="inlineStr">
        <is>
          <t>RSCLER0054</t>
        </is>
      </c>
      <c r="B56" s="8" t="inlineStr">
        <is>
          <t>PORTO ALEGRE</t>
        </is>
      </c>
      <c r="C56" s="7" t="inlineStr">
        <is>
          <t>SJEAA</t>
        </is>
      </c>
      <c r="D56" s="7" t="inlineStr"/>
      <c r="E56" s="7" t="inlineStr"/>
      <c r="F56" s="8" t="inlineStr">
        <is>
          <t>ED. LUIZ AUGUSTO</t>
        </is>
      </c>
      <c r="G56" s="8" t="inlineStr">
        <is>
          <t>RUA PRIMEIRO DE SETEMBRO, 166</t>
        </is>
      </c>
      <c r="H56" s="7" t="inlineStr"/>
      <c r="I56" s="8" t="inlineStr">
        <is>
          <t>LANÇAMENTO DE 300m (12FO) E INSTALAÇÃO DE CAIXA NOVA</t>
        </is>
      </c>
      <c r="J56" s="8" t="inlineStr">
        <is>
          <t>NEIMAR LUCERO</t>
        </is>
      </c>
      <c r="K56" s="8" t="inlineStr">
        <is>
          <t>PAULO GOMES</t>
        </is>
      </c>
      <c r="L56" s="9" t="n">
        <v>44640</v>
      </c>
      <c r="M56" s="9" t="n">
        <v>45007</v>
      </c>
      <c r="N56" s="9" t="n">
        <v>45009</v>
      </c>
      <c r="O56" s="9" t="n">
        <v>45011</v>
      </c>
      <c r="P56" s="7" t="inlineStr">
        <is>
          <t>NÃO PRECISA</t>
        </is>
      </c>
      <c r="Q56" s="9" t="n">
        <v>45066</v>
      </c>
      <c r="R56" s="7" t="inlineStr">
        <is>
          <t>Concluído Campo</t>
        </is>
      </c>
      <c r="S56" s="7" t="inlineStr"/>
      <c r="T56" s="10" t="inlineStr"/>
      <c r="U56" s="7" t="inlineStr"/>
      <c r="V56" s="7" t="inlineStr"/>
      <c r="W56" s="7" t="inlineStr"/>
      <c r="X56" s="7" t="inlineStr">
        <is>
          <t>AG. MEDIÇÃO</t>
        </is>
      </c>
      <c r="Y56" s="11">
        <f>IF(AND(L56&lt;&gt;"", S56&lt;&gt;""), S56-L56, IF(L56&lt;&gt;"", TODAY()-L56, ""))</f>
        <v/>
      </c>
      <c r="Z56" s="7">
        <f>IF(Y56="", "", IF(Y56&lt;=3, "NO PRAZO", "ATRASADO"))</f>
        <v/>
      </c>
      <c r="AA56" s="8" t="inlineStr">
        <is>
          <t>100% - OK</t>
        </is>
      </c>
    </row>
    <row r="57" ht="20" customHeight="1">
      <c r="A57" s="7" t="inlineStr">
        <is>
          <t>RSCLER0055</t>
        </is>
      </c>
      <c r="B57" s="8" t="inlineStr">
        <is>
          <t>PORTO ALEGRE</t>
        </is>
      </c>
      <c r="C57" s="7" t="inlineStr">
        <is>
          <t>SANAB</t>
        </is>
      </c>
      <c r="D57" s="7" t="inlineStr"/>
      <c r="E57" s="7" t="inlineStr"/>
      <c r="F57" s="8" t="inlineStr">
        <is>
          <t>COND. LE PREMIER</t>
        </is>
      </c>
      <c r="G57" s="8" t="inlineStr">
        <is>
          <t>RUA SÃO LUIS, 686</t>
        </is>
      </c>
      <c r="H57" s="7" t="inlineStr"/>
      <c r="I57" s="8" t="inlineStr">
        <is>
          <t>2 ABERTURA E FECHAMENTO, 5 FUSÕES, 5 TESTES</t>
        </is>
      </c>
      <c r="J57" s="8" t="inlineStr">
        <is>
          <t>WILLIAN ALVES</t>
        </is>
      </c>
      <c r="K57" s="8" t="inlineStr">
        <is>
          <t>?</t>
        </is>
      </c>
      <c r="L57" s="9" t="n">
        <v>45000</v>
      </c>
      <c r="M57" s="9" t="n">
        <v>45001</v>
      </c>
      <c r="N57" s="9" t="n">
        <v>45012</v>
      </c>
      <c r="O57" s="9" t="n">
        <v>45012</v>
      </c>
      <c r="P57" s="7" t="inlineStr">
        <is>
          <t>NÃO PRECISA</t>
        </is>
      </c>
      <c r="Q57" s="9" t="n">
        <v>45096</v>
      </c>
      <c r="R57" s="7" t="inlineStr">
        <is>
          <t>Concluído Campo</t>
        </is>
      </c>
      <c r="S57" s="7" t="inlineStr"/>
      <c r="T57" s="10" t="inlineStr"/>
      <c r="U57" s="7" t="inlineStr"/>
      <c r="V57" s="7" t="inlineStr"/>
      <c r="W57" s="7" t="inlineStr"/>
      <c r="X57" s="7" t="inlineStr">
        <is>
          <t>AG. MEDIÇÃO</t>
        </is>
      </c>
      <c r="Y57" s="11">
        <f>IF(AND(L57&lt;&gt;"", S57&lt;&gt;""), S57-L57, IF(L57&lt;&gt;"", TODAY()-L57, ""))</f>
        <v/>
      </c>
      <c r="Z57" s="7">
        <f>IF(Y57="", "", IF(Y57&lt;=3, "NO PRAZO", "ATRASADO"))</f>
        <v/>
      </c>
      <c r="AA57" s="8" t="inlineStr">
        <is>
          <t>100% - OK</t>
        </is>
      </c>
    </row>
    <row r="58" ht="20" customHeight="1">
      <c r="A58" s="7" t="inlineStr">
        <is>
          <t>RSCLER0056</t>
        </is>
      </c>
      <c r="B58" s="8" t="inlineStr">
        <is>
          <t>PORTO ALEGRE</t>
        </is>
      </c>
      <c r="C58" s="7" t="inlineStr">
        <is>
          <t>MNDAC</t>
        </is>
      </c>
      <c r="D58" s="7" t="inlineStr"/>
      <c r="E58" s="7" t="inlineStr"/>
      <c r="F58" s="8" t="inlineStr">
        <is>
          <t>ED. FIRENZE</t>
        </is>
      </c>
      <c r="G58" s="8" t="inlineStr">
        <is>
          <t>RUA SILVERIO, 344</t>
        </is>
      </c>
      <c r="H58" s="7" t="inlineStr"/>
      <c r="I58" s="8" t="inlineStr">
        <is>
          <t>2 ABERTURA E FECHAMENTO, 2 FUSÕES, 1 TESTE</t>
        </is>
      </c>
      <c r="J58" s="8" t="inlineStr"/>
      <c r="K58" s="8" t="inlineStr">
        <is>
          <t>PAULO GOMES/FABIO AMARILHO</t>
        </is>
      </c>
      <c r="L58" s="9" t="n">
        <v>44974</v>
      </c>
      <c r="M58" s="9" t="n">
        <v>44995</v>
      </c>
      <c r="N58" s="9" t="n">
        <v>44999</v>
      </c>
      <c r="O58" s="9" t="n">
        <v>44999</v>
      </c>
      <c r="P58" s="7" t="inlineStr">
        <is>
          <t>NÃO PRECISA</t>
        </is>
      </c>
      <c r="Q58" s="9" t="n">
        <v>45084</v>
      </c>
      <c r="R58" s="7" t="inlineStr">
        <is>
          <t>Concluído Campo</t>
        </is>
      </c>
      <c r="S58" s="7" t="inlineStr"/>
      <c r="T58" s="10" t="inlineStr"/>
      <c r="U58" s="7" t="inlineStr"/>
      <c r="V58" s="7" t="inlineStr"/>
      <c r="W58" s="7" t="inlineStr"/>
      <c r="X58" s="7" t="inlineStr">
        <is>
          <t>AG. MEDIÇÃO</t>
        </is>
      </c>
      <c r="Y58" s="11">
        <f>IF(AND(L58&lt;&gt;"", S58&lt;&gt;""), S58-L58, IF(L58&lt;&gt;"", TODAY()-L58, ""))</f>
        <v/>
      </c>
      <c r="Z58" s="7">
        <f>IF(Y58="", "", IF(Y58&lt;=3, "NO PRAZO", "ATRASADO"))</f>
        <v/>
      </c>
      <c r="AA58" s="8" t="inlineStr">
        <is>
          <t>100% - OK</t>
        </is>
      </c>
    </row>
    <row r="59" ht="20" customHeight="1">
      <c r="A59" s="7" t="inlineStr">
        <is>
          <t>RSCLER0057</t>
        </is>
      </c>
      <c r="B59" s="8" t="inlineStr">
        <is>
          <t>PORTO ALEGRE</t>
        </is>
      </c>
      <c r="C59" s="7" t="inlineStr">
        <is>
          <t>abela</t>
        </is>
      </c>
      <c r="D59" s="7" t="inlineStr"/>
      <c r="E59" s="7" t="inlineStr"/>
      <c r="F59" s="8" t="inlineStr">
        <is>
          <t>COND. VICTORIA HOUSES</t>
        </is>
      </c>
      <c r="G59" s="8" t="inlineStr">
        <is>
          <t>RUA TOCANTINS, 1120</t>
        </is>
      </c>
      <c r="H59" s="7" t="inlineStr"/>
      <c r="I59" s="8" t="inlineStr">
        <is>
          <t>LANÇAMENTO DE 500 (12FO)</t>
        </is>
      </c>
      <c r="J59" s="8" t="inlineStr"/>
      <c r="K59" s="8" t="inlineStr"/>
      <c r="L59" s="9" t="n">
        <v>44979</v>
      </c>
      <c r="M59" s="9" t="n">
        <v>44998</v>
      </c>
      <c r="N59" s="9" t="n">
        <v>45016</v>
      </c>
      <c r="O59" s="9" t="n">
        <v>45014</v>
      </c>
      <c r="P59" s="7" t="inlineStr">
        <is>
          <t>NÃO PRECISA</t>
        </is>
      </c>
      <c r="Q59" s="9" t="n">
        <v>45066</v>
      </c>
      <c r="R59" s="7" t="inlineStr">
        <is>
          <t>Concluído Campo</t>
        </is>
      </c>
      <c r="S59" s="7" t="inlineStr"/>
      <c r="T59" s="10" t="inlineStr"/>
      <c r="U59" s="7" t="inlineStr"/>
      <c r="V59" s="7" t="inlineStr"/>
      <c r="W59" s="7" t="inlineStr"/>
      <c r="X59" s="7" t="inlineStr">
        <is>
          <t>AG. MEDIÇÃO</t>
        </is>
      </c>
      <c r="Y59" s="11">
        <f>IF(AND(L59&lt;&gt;"", S59&lt;&gt;""), S59-L59, IF(L59&lt;&gt;"", TODAY()-L59, ""))</f>
        <v/>
      </c>
      <c r="Z59" s="7">
        <f>IF(Y59="", "", IF(Y59&lt;=3, "NO PRAZO", "ATRASADO"))</f>
        <v/>
      </c>
      <c r="AA59" s="8" t="inlineStr">
        <is>
          <t>100% - OK</t>
        </is>
      </c>
    </row>
    <row r="60" ht="20" customHeight="1">
      <c r="A60" s="7" t="inlineStr">
        <is>
          <t>RSCLER0058</t>
        </is>
      </c>
      <c r="B60" s="8" t="inlineStr">
        <is>
          <t>PORTO ALEGRE</t>
        </is>
      </c>
      <c r="C60" s="7" t="inlineStr">
        <is>
          <t>AGRAD</t>
        </is>
      </c>
      <c r="D60" s="7" t="inlineStr"/>
      <c r="E60" s="7" t="inlineStr"/>
      <c r="F60" s="8" t="inlineStr">
        <is>
          <t>COND. CONDADO DOS SONHOS</t>
        </is>
      </c>
      <c r="G60" s="8" t="inlineStr">
        <is>
          <t>RUA TOCANTINS, 600</t>
        </is>
      </c>
      <c r="H60" s="7" t="inlineStr"/>
      <c r="I60" s="8" t="inlineStr">
        <is>
          <t>LANÇAMENTO DE 975m (12FO)</t>
        </is>
      </c>
      <c r="J60" s="8" t="inlineStr"/>
      <c r="K60" s="8" t="inlineStr"/>
      <c r="L60" s="9" t="n">
        <v>44979</v>
      </c>
      <c r="M60" s="9" t="n">
        <v>44998</v>
      </c>
      <c r="N60" s="9" t="n">
        <v>45007</v>
      </c>
      <c r="O60" s="9" t="n">
        <v>45014</v>
      </c>
      <c r="P60" s="7" t="inlineStr">
        <is>
          <t>NÃO PRECISA</t>
        </is>
      </c>
      <c r="Q60" s="9" t="n">
        <v>45066</v>
      </c>
      <c r="R60" s="7" t="inlineStr">
        <is>
          <t>Concluído Campo</t>
        </is>
      </c>
      <c r="S60" s="7" t="inlineStr"/>
      <c r="T60" s="10" t="inlineStr"/>
      <c r="U60" s="7" t="inlineStr"/>
      <c r="V60" s="7" t="inlineStr"/>
      <c r="W60" s="7" t="inlineStr"/>
      <c r="X60" s="7" t="inlineStr">
        <is>
          <t>AG. MEDIÇÃO</t>
        </is>
      </c>
      <c r="Y60" s="11">
        <f>IF(AND(L60&lt;&gt;"", S60&lt;&gt;""), S60-L60, IF(L60&lt;&gt;"", TODAY()-L60, ""))</f>
        <v/>
      </c>
      <c r="Z60" s="7">
        <f>IF(Y60="", "", IF(Y60&lt;=3, "NO PRAZO", "ATRASADO"))</f>
        <v/>
      </c>
      <c r="AA60" s="8" t="inlineStr">
        <is>
          <t>100% - OK</t>
        </is>
      </c>
    </row>
    <row r="61" ht="20" customHeight="1">
      <c r="A61" s="7" t="inlineStr">
        <is>
          <t>RSCLER0059</t>
        </is>
      </c>
      <c r="B61" s="8" t="inlineStr">
        <is>
          <t>PORTO ALEGRE</t>
        </is>
      </c>
      <c r="C61" s="7" t="inlineStr">
        <is>
          <t>AGRAD</t>
        </is>
      </c>
      <c r="D61" s="7" t="inlineStr"/>
      <c r="E61" s="7" t="inlineStr"/>
      <c r="F61" s="8" t="inlineStr">
        <is>
          <t>COND. GRUNWALD</t>
        </is>
      </c>
      <c r="G61" s="8" t="inlineStr">
        <is>
          <t>RUA TOCANTINS, 869</t>
        </is>
      </c>
      <c r="H61" s="7" t="inlineStr"/>
      <c r="I61" s="8" t="inlineStr">
        <is>
          <t>LANÇAMENTO DE 785m (12FO)</t>
        </is>
      </c>
      <c r="J61" s="8" t="inlineStr">
        <is>
          <t>IVANIR</t>
        </is>
      </c>
      <c r="K61" s="8" t="inlineStr">
        <is>
          <t>PAULO GOMES</t>
        </is>
      </c>
      <c r="L61" s="9" t="n">
        <v>44979</v>
      </c>
      <c r="M61" s="9" t="n">
        <v>44995</v>
      </c>
      <c r="N61" s="9" t="n">
        <v>45005</v>
      </c>
      <c r="O61" s="9" t="n">
        <v>45005</v>
      </c>
      <c r="P61" s="7" t="inlineStr">
        <is>
          <t>NÃO PRECISA</t>
        </is>
      </c>
      <c r="Q61" s="9" t="n">
        <v>45066</v>
      </c>
      <c r="R61" s="7" t="inlineStr">
        <is>
          <t>Concluído Campo</t>
        </is>
      </c>
      <c r="S61" s="7" t="inlineStr"/>
      <c r="T61" s="10" t="inlineStr"/>
      <c r="U61" s="7" t="inlineStr"/>
      <c r="V61" s="7" t="inlineStr"/>
      <c r="W61" s="7" t="inlineStr"/>
      <c r="X61" s="7" t="inlineStr">
        <is>
          <t>AG. MEDIÇÃO</t>
        </is>
      </c>
      <c r="Y61" s="11">
        <f>IF(AND(L61&lt;&gt;"", S61&lt;&gt;""), S61-L61, IF(L61&lt;&gt;"", TODAY()-L61, ""))</f>
        <v/>
      </c>
      <c r="Z61" s="7">
        <f>IF(Y61="", "", IF(Y61&lt;=3, "NO PRAZO", "ATRASADO"))</f>
        <v/>
      </c>
      <c r="AA61" s="8" t="inlineStr">
        <is>
          <t>100% - OK</t>
        </is>
      </c>
    </row>
    <row r="62" ht="20" customHeight="1">
      <c r="A62" s="7" t="inlineStr">
        <is>
          <t>RSCLER0060</t>
        </is>
      </c>
      <c r="B62" s="8" t="inlineStr">
        <is>
          <t>PORTO ALEGRE</t>
        </is>
      </c>
      <c r="C62" s="7" t="inlineStr">
        <is>
          <t>AGRAD</t>
        </is>
      </c>
      <c r="D62" s="7" t="inlineStr"/>
      <c r="E62" s="7" t="inlineStr"/>
      <c r="F62" s="8" t="inlineStr">
        <is>
          <t>COND. LA VILLE</t>
        </is>
      </c>
      <c r="G62" s="8" t="inlineStr">
        <is>
          <t>RUA TOCANTINS, 937</t>
        </is>
      </c>
      <c r="H62" s="7" t="inlineStr"/>
      <c r="I62" s="8" t="inlineStr">
        <is>
          <t>LANÇAMENTO DE 220m (12FO)</t>
        </is>
      </c>
      <c r="J62" s="8" t="inlineStr"/>
      <c r="K62" s="8" t="inlineStr"/>
      <c r="L62" s="9" t="n">
        <v>44979</v>
      </c>
      <c r="M62" s="9" t="n">
        <v>44998</v>
      </c>
      <c r="N62" s="9" t="n">
        <v>45005</v>
      </c>
      <c r="O62" s="9" t="n">
        <v>45005</v>
      </c>
      <c r="P62" s="7" t="inlineStr">
        <is>
          <t>NÃO PRECISA</t>
        </is>
      </c>
      <c r="Q62" s="9" t="n">
        <v>45066</v>
      </c>
      <c r="R62" s="7" t="inlineStr">
        <is>
          <t>Concluído Campo</t>
        </is>
      </c>
      <c r="S62" s="7" t="inlineStr"/>
      <c r="T62" s="10" t="inlineStr"/>
      <c r="U62" s="7" t="inlineStr"/>
      <c r="V62" s="7" t="inlineStr"/>
      <c r="W62" s="7" t="inlineStr"/>
      <c r="X62" s="7" t="inlineStr">
        <is>
          <t>AG. MEDIÇÃO</t>
        </is>
      </c>
      <c r="Y62" s="11">
        <f>IF(AND(L62&lt;&gt;"", S62&lt;&gt;""), S62-L62, IF(L62&lt;&gt;"", TODAY()-L62, ""))</f>
        <v/>
      </c>
      <c r="Z62" s="7">
        <f>IF(Y62="", "", IF(Y62&lt;=3, "NO PRAZO", "ATRASADO"))</f>
        <v/>
      </c>
      <c r="AA62" s="8" t="inlineStr">
        <is>
          <t>100% - OK</t>
        </is>
      </c>
    </row>
    <row r="63" ht="20" customHeight="1">
      <c r="A63" s="7" t="inlineStr">
        <is>
          <t>RSCLER0061</t>
        </is>
      </c>
      <c r="B63" s="8" t="inlineStr">
        <is>
          <t>PORTO ALEGRE</t>
        </is>
      </c>
      <c r="C63" s="7" t="inlineStr">
        <is>
          <t>SPEAA</t>
        </is>
      </c>
      <c r="D63" s="7" t="inlineStr"/>
      <c r="E63" s="7" t="inlineStr"/>
      <c r="F63" s="8" t="inlineStr">
        <is>
          <t>RES. VISCONDE DE PELOTAS</t>
        </is>
      </c>
      <c r="G63" s="8" t="inlineStr">
        <is>
          <t>RUA VISCONDE DE PELOTAS, 259</t>
        </is>
      </c>
      <c r="H63" s="7" t="inlineStr"/>
      <c r="I63" s="8" t="inlineStr">
        <is>
          <t>ALINHAMENTO DE FIBRA</t>
        </is>
      </c>
      <c r="J63" s="8" t="inlineStr">
        <is>
          <t>NEIMAR LUCERO</t>
        </is>
      </c>
      <c r="K63" s="8" t="inlineStr"/>
      <c r="L63" s="9" t="n">
        <v>45000</v>
      </c>
      <c r="M63" s="9" t="n">
        <v>45001</v>
      </c>
      <c r="N63" s="9" t="n">
        <v>45012</v>
      </c>
      <c r="O63" s="9" t="n">
        <v>45012</v>
      </c>
      <c r="P63" s="7" t="inlineStr">
        <is>
          <t>NÃO PRECISA</t>
        </is>
      </c>
      <c r="Q63" s="9" t="n">
        <v>45066</v>
      </c>
      <c r="R63" s="7" t="inlineStr">
        <is>
          <t>Concluído Campo</t>
        </is>
      </c>
      <c r="S63" s="7" t="inlineStr"/>
      <c r="T63" s="10" t="inlineStr"/>
      <c r="U63" s="7" t="inlineStr"/>
      <c r="V63" s="7" t="inlineStr"/>
      <c r="W63" s="7" t="inlineStr"/>
      <c r="X63" s="7" t="inlineStr">
        <is>
          <t>AG. MEDIÇÃO</t>
        </is>
      </c>
      <c r="Y63" s="11">
        <f>IF(AND(L63&lt;&gt;"", S63&lt;&gt;""), S63-L63, IF(L63&lt;&gt;"", TODAY()-L63, ""))</f>
        <v/>
      </c>
      <c r="Z63" s="7">
        <f>IF(Y63="", "", IF(Y63&lt;=3, "NO PRAZO", "ATRASADO"))</f>
        <v/>
      </c>
      <c r="AA63" s="8" t="inlineStr">
        <is>
          <t>100% - OK</t>
        </is>
      </c>
    </row>
    <row r="64" ht="20" customHeight="1">
      <c r="A64" s="7" t="inlineStr">
        <is>
          <t>RSCLER0062</t>
        </is>
      </c>
      <c r="B64" s="8" t="inlineStr">
        <is>
          <t>PORTO ALEGRE</t>
        </is>
      </c>
      <c r="C64" s="7" t="inlineStr">
        <is>
          <t>BFMAA</t>
        </is>
      </c>
      <c r="D64" s="7" t="inlineStr"/>
      <c r="E64" s="7" t="inlineStr"/>
      <c r="F64" s="8" t="inlineStr">
        <is>
          <t>COND. SWITCH</t>
        </is>
      </c>
      <c r="G64" s="8" t="inlineStr">
        <is>
          <t>AVENIDA INDEPENDENCIA, 1053</t>
        </is>
      </c>
      <c r="H64" s="7" t="inlineStr"/>
      <c r="I64" s="8" t="inlineStr">
        <is>
          <t>LANÇAMENTO DE 200 METROS (12FO) / 4 FUSÃO / 2 TESTE / 2 ABERTURA E FECHAMENTO / 1 CX NOVA</t>
        </is>
      </c>
      <c r="J64" s="8" t="inlineStr"/>
      <c r="K64" s="8" t="inlineStr"/>
      <c r="L64" s="9" t="n">
        <v>45020</v>
      </c>
      <c r="M64" s="9" t="n">
        <v>45021</v>
      </c>
      <c r="N64" s="9" t="n">
        <v>45034</v>
      </c>
      <c r="O64" s="9" t="n">
        <v>45034</v>
      </c>
      <c r="P64" s="7" t="inlineStr">
        <is>
          <t>NÃO PRECISA</t>
        </is>
      </c>
      <c r="Q64" s="9" t="n">
        <v>45118</v>
      </c>
      <c r="R64" s="7" t="inlineStr">
        <is>
          <t>Concluído Campo</t>
        </is>
      </c>
      <c r="S64" s="7" t="inlineStr"/>
      <c r="T64" s="10" t="inlineStr"/>
      <c r="U64" s="7" t="inlineStr"/>
      <c r="V64" s="7" t="inlineStr"/>
      <c r="W64" s="7" t="inlineStr"/>
      <c r="X64" s="7" t="inlineStr">
        <is>
          <t>AG. MEDIÇÃO</t>
        </is>
      </c>
      <c r="Y64" s="11">
        <f>IF(AND(L64&lt;&gt;"", S64&lt;&gt;""), S64-L64, IF(L64&lt;&gt;"", TODAY()-L64, ""))</f>
        <v/>
      </c>
      <c r="Z64" s="7">
        <f>IF(Y64="", "", IF(Y64&lt;=3, "NO PRAZO", "ATRASADO"))</f>
        <v/>
      </c>
      <c r="AA64" s="8" t="inlineStr">
        <is>
          <t>100% - OK</t>
        </is>
      </c>
    </row>
    <row r="65" ht="20" customHeight="1">
      <c r="A65" s="7" t="inlineStr">
        <is>
          <t>RSCLER0063</t>
        </is>
      </c>
      <c r="B65" s="8" t="inlineStr">
        <is>
          <t>PORTO ALEGRE</t>
        </is>
      </c>
      <c r="C65" s="7" t="inlineStr">
        <is>
          <t>TRZAK</t>
        </is>
      </c>
      <c r="D65" s="7" t="inlineStr"/>
      <c r="E65" s="7" t="inlineStr"/>
      <c r="F65" s="8" t="inlineStr">
        <is>
          <t>OTTO 2500 SHOPPING</t>
        </is>
      </c>
      <c r="G65" s="8" t="inlineStr">
        <is>
          <t>AVENIDA OTTO NIEMEYER, 2500</t>
        </is>
      </c>
      <c r="H65" s="7" t="inlineStr"/>
      <c r="I65" s="8" t="inlineStr">
        <is>
          <t>1 ABERTURA E FECHAMENTO, 10 FUSÕES, 4 TESTES, 1 CEO, 1 DERIVAÇÃO. ( COBRAR MANUTENÇÃO, TIVEMOS QUE VOLTAR E FAZER FUSÃO E MDU).</t>
        </is>
      </c>
      <c r="J65" s="8" t="inlineStr">
        <is>
          <t>NEYMAR</t>
        </is>
      </c>
      <c r="K65" s="8" t="inlineStr">
        <is>
          <t>PAULO</t>
        </is>
      </c>
      <c r="L65" s="9" t="n">
        <v>44648</v>
      </c>
      <c r="M65" s="9" t="n">
        <v>45014</v>
      </c>
      <c r="N65" s="9" t="n">
        <v>45016</v>
      </c>
      <c r="O65" s="9" t="n">
        <v>45016</v>
      </c>
      <c r="P65" s="7" t="inlineStr">
        <is>
          <t>NÃO PRECISA</t>
        </is>
      </c>
      <c r="Q65" s="9" t="n">
        <v>45096</v>
      </c>
      <c r="R65" s="7" t="inlineStr">
        <is>
          <t>Concluído Campo</t>
        </is>
      </c>
      <c r="S65" s="7" t="inlineStr"/>
      <c r="T65" s="10" t="inlineStr"/>
      <c r="U65" s="7" t="inlineStr"/>
      <c r="V65" s="7" t="inlineStr"/>
      <c r="W65" s="7" t="inlineStr"/>
      <c r="X65" s="7" t="inlineStr">
        <is>
          <t>AG. MEDIÇÃO</t>
        </is>
      </c>
      <c r="Y65" s="11">
        <f>IF(AND(L65&lt;&gt;"", S65&lt;&gt;""), S65-L65, IF(L65&lt;&gt;"", TODAY()-L65, ""))</f>
        <v/>
      </c>
      <c r="Z65" s="7">
        <f>IF(Y65="", "", IF(Y65&lt;=3, "NO PRAZO", "ATRASADO"))</f>
        <v/>
      </c>
      <c r="AA65" s="8" t="inlineStr">
        <is>
          <t>100% - OK</t>
        </is>
      </c>
    </row>
    <row r="66" ht="20" customHeight="1">
      <c r="A66" s="7" t="inlineStr">
        <is>
          <t>RSCLER0064</t>
        </is>
      </c>
      <c r="B66" s="8" t="inlineStr">
        <is>
          <t>PORTO ALEGRE</t>
        </is>
      </c>
      <c r="C66" s="7" t="inlineStr">
        <is>
          <t>BVSAB</t>
        </is>
      </c>
      <c r="D66" s="7" t="inlineStr"/>
      <c r="E66" s="7" t="inlineStr"/>
      <c r="F66" s="8" t="inlineStr">
        <is>
          <t>LIFE SQUARE</t>
        </is>
      </c>
      <c r="G66" s="8" t="inlineStr">
        <is>
          <t>AVENIDA PLINIO BRASIL MILANO, 1310</t>
        </is>
      </c>
      <c r="H66" s="7" t="inlineStr"/>
      <c r="I66" s="8" t="inlineStr">
        <is>
          <t>531  METROS DE CABO/ 4 FUSÃO / 2 TESTE / 1 CX NOVA / 2 ABERTURA E FECHAMENTO</t>
        </is>
      </c>
      <c r="J66" s="8" t="inlineStr"/>
      <c r="K66" s="8" t="inlineStr"/>
      <c r="L66" s="9" t="n">
        <v>45029</v>
      </c>
      <c r="M66" s="9" t="n">
        <v>45030</v>
      </c>
      <c r="N66" s="9" t="n">
        <v>45034</v>
      </c>
      <c r="O66" s="9" t="n">
        <v>45034</v>
      </c>
      <c r="P66" s="7" t="inlineStr">
        <is>
          <t>NÃO PRECISA</t>
        </is>
      </c>
      <c r="Q66" s="9" t="n">
        <v>45118</v>
      </c>
      <c r="R66" s="7" t="inlineStr">
        <is>
          <t>Concluído Campo</t>
        </is>
      </c>
      <c r="S66" s="7" t="inlineStr"/>
      <c r="T66" s="10" t="inlineStr"/>
      <c r="U66" s="7" t="inlineStr"/>
      <c r="V66" s="7" t="inlineStr"/>
      <c r="W66" s="7" t="inlineStr"/>
      <c r="X66" s="7" t="inlineStr">
        <is>
          <t>AG. MEDIÇÃO</t>
        </is>
      </c>
      <c r="Y66" s="11">
        <f>IF(AND(L66&lt;&gt;"", S66&lt;&gt;""), S66-L66, IF(L66&lt;&gt;"", TODAY()-L66, ""))</f>
        <v/>
      </c>
      <c r="Z66" s="7">
        <f>IF(Y66="", "", IF(Y66&lt;=3, "NO PRAZO", "ATRASADO"))</f>
        <v/>
      </c>
      <c r="AA66" s="8" t="inlineStr">
        <is>
          <t>100% - OK</t>
        </is>
      </c>
    </row>
    <row r="67" ht="20" customHeight="1">
      <c r="A67" s="7" t="inlineStr">
        <is>
          <t>RSCLER0065</t>
        </is>
      </c>
      <c r="B67" s="8" t="inlineStr">
        <is>
          <t>PORTO ALEGRE</t>
        </is>
      </c>
      <c r="C67" s="7" t="inlineStr">
        <is>
          <t>RBTAC</t>
        </is>
      </c>
      <c r="D67" s="7" t="inlineStr"/>
      <c r="E67" s="7" t="inlineStr"/>
      <c r="F67" s="8" t="inlineStr">
        <is>
          <t>FABIANO - COOP MATALÚRGICOS</t>
        </is>
      </c>
      <c r="G67" s="8" t="inlineStr">
        <is>
          <t>RUA 3112, LOT COOMETAL 36</t>
        </is>
      </c>
      <c r="H67" s="7" t="inlineStr"/>
      <c r="I67" s="8" t="inlineStr">
        <is>
          <t>1 ABERTURA E FECHAMENTO, 2 FUSÕES, 1 TESTE, 1 DERIVAÇÃO, 1 CTO, 350M 12FO</t>
        </is>
      </c>
      <c r="J67" s="8" t="inlineStr">
        <is>
          <t>WILLIAN ALVES</t>
        </is>
      </c>
      <c r="K67" s="8" t="inlineStr">
        <is>
          <t>FÁBIO AMARILHO</t>
        </is>
      </c>
      <c r="L67" s="9" t="n">
        <v>45020</v>
      </c>
      <c r="M67" s="9" t="n">
        <v>45020</v>
      </c>
      <c r="N67" s="9" t="n">
        <v>45028</v>
      </c>
      <c r="O67" s="9" t="n">
        <v>45044</v>
      </c>
      <c r="P67" s="7" t="inlineStr">
        <is>
          <t>NÃO PRECISA</t>
        </is>
      </c>
      <c r="Q67" s="9" t="n">
        <v>45083</v>
      </c>
      <c r="R67" s="7" t="inlineStr">
        <is>
          <t>Concluído Campo</t>
        </is>
      </c>
      <c r="S67" s="7" t="inlineStr"/>
      <c r="T67" s="10" t="inlineStr"/>
      <c r="U67" s="7" t="inlineStr"/>
      <c r="V67" s="7" t="inlineStr"/>
      <c r="W67" s="7" t="inlineStr"/>
      <c r="X67" s="7" t="inlineStr">
        <is>
          <t>AG. MEDIÇÃO</t>
        </is>
      </c>
      <c r="Y67" s="11">
        <f>IF(AND(L67&lt;&gt;"", S67&lt;&gt;""), S67-L67, IF(L67&lt;&gt;"", TODAY()-L67, ""))</f>
        <v/>
      </c>
      <c r="Z67" s="7">
        <f>IF(Y67="", "", IF(Y67&lt;=3, "NO PRAZO", "ATRASADO"))</f>
        <v/>
      </c>
      <c r="AA67" s="8" t="inlineStr">
        <is>
          <t>100% - OK</t>
        </is>
      </c>
    </row>
    <row r="68" ht="20" customHeight="1">
      <c r="A68" s="7" t="inlineStr">
        <is>
          <t>RSCLER0066</t>
        </is>
      </c>
      <c r="B68" s="8" t="inlineStr">
        <is>
          <t>PORTO ALEGRE</t>
        </is>
      </c>
      <c r="C68" s="7" t="inlineStr">
        <is>
          <t>MTSAA</t>
        </is>
      </c>
      <c r="D68" s="7" t="inlineStr"/>
      <c r="E68" s="7" t="inlineStr"/>
      <c r="F68" s="8" t="inlineStr">
        <is>
          <t>COND. LIVILE</t>
        </is>
      </c>
      <c r="G68" s="8" t="inlineStr">
        <is>
          <t>RUA CAEMIRO DE ABREU, 1655</t>
        </is>
      </c>
      <c r="H68" s="7" t="inlineStr"/>
      <c r="I68" s="8" t="inlineStr">
        <is>
          <t>2 ABERTURA E FECHAMENTO, 8 FUSÕES, 1 DERIVAÇÃO, 1 CEO, 4 TESTES, 145M DE 12FO, 2 TESTES COM OTDR. ( FIBRA ESTAVA PARADA NO CAMINHO)</t>
        </is>
      </c>
      <c r="J68" s="8" t="inlineStr">
        <is>
          <t>FÁBIO AMARILHO</t>
        </is>
      </c>
      <c r="K68" s="8" t="inlineStr">
        <is>
          <t>FÁBIO AMARILHO</t>
        </is>
      </c>
      <c r="L68" s="9" t="n">
        <v>45019</v>
      </c>
      <c r="M68" s="9" t="n">
        <v>45020</v>
      </c>
      <c r="N68" s="9" t="n">
        <v>45027</v>
      </c>
      <c r="O68" s="9" t="n">
        <v>45029</v>
      </c>
      <c r="P68" s="7" t="inlineStr">
        <is>
          <t>NÃO PRECISA</t>
        </is>
      </c>
      <c r="Q68" s="9" t="n">
        <v>45084</v>
      </c>
      <c r="R68" s="7" t="inlineStr">
        <is>
          <t>Concluído Campo</t>
        </is>
      </c>
      <c r="S68" s="9" t="n">
        <v>45029</v>
      </c>
      <c r="T68" s="10" t="inlineStr"/>
      <c r="U68" s="7" t="inlineStr">
        <is>
          <t>4830163</t>
        </is>
      </c>
      <c r="V68" s="7" t="inlineStr">
        <is>
          <t>FINALIZADO</t>
        </is>
      </c>
      <c r="W68" s="7" t="inlineStr"/>
      <c r="X68" s="7" t="inlineStr">
        <is>
          <t>MEDIÇÃO CONCLUÍDA</t>
        </is>
      </c>
      <c r="Y68" s="11">
        <f>IF(AND(L68&lt;&gt;"", S68&lt;&gt;""), S68-L68, IF(L68&lt;&gt;"", TODAY()-L68, ""))</f>
        <v/>
      </c>
      <c r="Z68" s="7">
        <f>IF(Y68="", "", IF(Y68&lt;=3, "NO PRAZO", "ATRASADO"))</f>
        <v/>
      </c>
      <c r="AA68" s="8" t="inlineStr">
        <is>
          <t>100% - OK</t>
        </is>
      </c>
    </row>
    <row r="69" ht="20" customHeight="1">
      <c r="A69" s="7" t="inlineStr">
        <is>
          <t>RSCLER0067</t>
        </is>
      </c>
      <c r="B69" s="8" t="inlineStr">
        <is>
          <t>PORTO ALEGRE</t>
        </is>
      </c>
      <c r="C69" s="7" t="inlineStr">
        <is>
          <t>MTSAA</t>
        </is>
      </c>
      <c r="D69" s="7" t="inlineStr"/>
      <c r="E69" s="7" t="inlineStr"/>
      <c r="F69" s="8" t="inlineStr">
        <is>
          <t>ED. SOLAR BÉLDEVERE</t>
        </is>
      </c>
      <c r="G69" s="8" t="inlineStr">
        <is>
          <t>RUA CASEMIRO DE ABREU, 1668</t>
        </is>
      </c>
      <c r="H69" s="7" t="inlineStr"/>
      <c r="I69" s="8" t="inlineStr">
        <is>
          <t>1 ABERTURA E FECHAMENTO, 8 FUSÕES, 4 TETES. ( ALINHAMENTO DE FIBRA)</t>
        </is>
      </c>
      <c r="J69" s="8" t="inlineStr">
        <is>
          <t>FÁBIO AMARILHO</t>
        </is>
      </c>
      <c r="K69" s="8" t="inlineStr">
        <is>
          <t>FÁBIO AMARILHO</t>
        </is>
      </c>
      <c r="L69" s="9" t="n">
        <v>45009</v>
      </c>
      <c r="M69" s="9" t="n">
        <v>45020</v>
      </c>
      <c r="N69" s="9" t="n">
        <v>45028</v>
      </c>
      <c r="O69" s="9" t="n">
        <v>45029</v>
      </c>
      <c r="P69" s="7" t="inlineStr">
        <is>
          <t>NÃO PRECISA</t>
        </is>
      </c>
      <c r="Q69" s="9" t="n">
        <v>45084</v>
      </c>
      <c r="R69" s="7" t="inlineStr">
        <is>
          <t>Concluído Campo</t>
        </is>
      </c>
      <c r="S69" s="7" t="inlineStr"/>
      <c r="T69" s="10" t="inlineStr"/>
      <c r="U69" s="7" t="inlineStr"/>
      <c r="V69" s="7" t="inlineStr"/>
      <c r="W69" s="7" t="inlineStr"/>
      <c r="X69" s="7" t="inlineStr">
        <is>
          <t>AG. MEDIÇÃO</t>
        </is>
      </c>
      <c r="Y69" s="11">
        <f>IF(AND(L69&lt;&gt;"", S69&lt;&gt;""), S69-L69, IF(L69&lt;&gt;"", TODAY()-L69, ""))</f>
        <v/>
      </c>
      <c r="Z69" s="7">
        <f>IF(Y69="", "", IF(Y69&lt;=3, "NO PRAZO", "ATRASADO"))</f>
        <v/>
      </c>
      <c r="AA69" s="8" t="inlineStr">
        <is>
          <t>100% - OK</t>
        </is>
      </c>
    </row>
    <row r="70" ht="20" customHeight="1">
      <c r="A70" s="7" t="inlineStr">
        <is>
          <t>RSCLER0068</t>
        </is>
      </c>
      <c r="B70" s="8" t="inlineStr">
        <is>
          <t>PORTO ALEGRE</t>
        </is>
      </c>
      <c r="C70" s="7" t="inlineStr">
        <is>
          <t>VIPAA</t>
        </is>
      </c>
      <c r="D70" s="7" t="inlineStr"/>
      <c r="E70" s="7" t="inlineStr"/>
      <c r="F70" s="8" t="inlineStr">
        <is>
          <t>GERIATRIA</t>
        </is>
      </c>
      <c r="G70" s="8" t="inlineStr">
        <is>
          <t>RUA DOM DIOGO DE SOUZA, 680</t>
        </is>
      </c>
      <c r="H70" s="7" t="inlineStr"/>
      <c r="I70" s="8" t="inlineStr">
        <is>
          <t>4 ABERTURA E FECHAMENTO, 5 FUSÕES, 3 TESTE COM OTDR. ( FIBRA PARADA EM 2 CAIXA E 1 FIBRA NO SITE)</t>
        </is>
      </c>
      <c r="J70" s="8" t="inlineStr"/>
      <c r="K70" s="8" t="inlineStr">
        <is>
          <t>PAULO GOMES</t>
        </is>
      </c>
      <c r="L70" s="9" t="n">
        <v>45019</v>
      </c>
      <c r="M70" s="9" t="n">
        <v>45020</v>
      </c>
      <c r="N70" s="9" t="n">
        <v>45026</v>
      </c>
      <c r="O70" s="9" t="n">
        <v>45026</v>
      </c>
      <c r="P70" s="7" t="inlineStr">
        <is>
          <t>NÃO PRECISA</t>
        </is>
      </c>
      <c r="Q70" s="9" t="n">
        <v>45082</v>
      </c>
      <c r="R70" s="7" t="inlineStr">
        <is>
          <t>Concluído Campo</t>
        </is>
      </c>
      <c r="S70" s="7" t="inlineStr"/>
      <c r="T70" s="10" t="inlineStr"/>
      <c r="U70" s="7" t="inlineStr"/>
      <c r="V70" s="7" t="inlineStr"/>
      <c r="W70" s="7" t="inlineStr"/>
      <c r="X70" s="7" t="inlineStr">
        <is>
          <t>AG. MEDIÇÃO</t>
        </is>
      </c>
      <c r="Y70" s="11">
        <f>IF(AND(L70&lt;&gt;"", S70&lt;&gt;""), S70-L70, IF(L70&lt;&gt;"", TODAY()-L70, ""))</f>
        <v/>
      </c>
      <c r="Z70" s="7">
        <f>IF(Y70="", "", IF(Y70&lt;=3, "NO PRAZO", "ATRASADO"))</f>
        <v/>
      </c>
      <c r="AA70" s="8" t="inlineStr">
        <is>
          <t>100% - OK</t>
        </is>
      </c>
    </row>
    <row r="71" ht="20" customHeight="1">
      <c r="A71" s="7" t="inlineStr">
        <is>
          <t>RSCLER0069</t>
        </is>
      </c>
      <c r="B71" s="8" t="inlineStr">
        <is>
          <t>PORTO ALEGRE</t>
        </is>
      </c>
      <c r="C71" s="7" t="inlineStr">
        <is>
          <t>BVSAB</t>
        </is>
      </c>
      <c r="D71" s="7" t="inlineStr"/>
      <c r="E71" s="7" t="inlineStr"/>
      <c r="F71" s="8" t="inlineStr">
        <is>
          <t>EDF. TEENÁ</t>
        </is>
      </c>
      <c r="G71" s="8" t="inlineStr">
        <is>
          <t>RUA ENG. ILDEFONSO SIMÕES LOPES, 190</t>
        </is>
      </c>
      <c r="H71" s="7" t="inlineStr"/>
      <c r="I71" s="8" t="inlineStr">
        <is>
          <t>LANÇAMENTO DE 600 METROS (12FO)  / 2 ABERTURA E FECHAMENTO / 6 FUSÃO / 3 TESTE / 1 CX NOVA.</t>
        </is>
      </c>
      <c r="J71" s="8" t="inlineStr">
        <is>
          <t>JORGE MATHEUS</t>
        </is>
      </c>
      <c r="K71" s="8" t="inlineStr"/>
      <c r="L71" s="9" t="n">
        <v>45021</v>
      </c>
      <c r="M71" s="9" t="n">
        <v>45020</v>
      </c>
      <c r="N71" s="9" t="n">
        <v>44304</v>
      </c>
      <c r="O71" s="9" t="n">
        <v>45034</v>
      </c>
      <c r="P71" s="7" t="inlineStr">
        <is>
          <t>NÃO PRECISA</t>
        </is>
      </c>
      <c r="Q71" s="9" t="n">
        <v>45118</v>
      </c>
      <c r="R71" s="7" t="inlineStr">
        <is>
          <t>Concluído Campo</t>
        </is>
      </c>
      <c r="S71" s="7" t="inlineStr"/>
      <c r="T71" s="10" t="inlineStr"/>
      <c r="U71" s="7" t="inlineStr"/>
      <c r="V71" s="7" t="inlineStr"/>
      <c r="W71" s="7" t="inlineStr"/>
      <c r="X71" s="7" t="inlineStr">
        <is>
          <t>AG. MEDIÇÃO</t>
        </is>
      </c>
      <c r="Y71" s="11">
        <f>IF(AND(L71&lt;&gt;"", S71&lt;&gt;""), S71-L71, IF(L71&lt;&gt;"", TODAY()-L71, ""))</f>
        <v/>
      </c>
      <c r="Z71" s="7">
        <f>IF(Y71="", "", IF(Y71&lt;=3, "NO PRAZO", "ATRASADO"))</f>
        <v/>
      </c>
      <c r="AA71" s="8" t="inlineStr">
        <is>
          <t>100% - OK</t>
        </is>
      </c>
    </row>
    <row r="72" ht="20" customHeight="1">
      <c r="A72" s="7" t="inlineStr">
        <is>
          <t>RSCLER0070</t>
        </is>
      </c>
      <c r="B72" s="8" t="inlineStr">
        <is>
          <t>PORTO ALEGRE</t>
        </is>
      </c>
      <c r="C72" s="7" t="inlineStr">
        <is>
          <t>HPCAA</t>
        </is>
      </c>
      <c r="D72" s="7" t="inlineStr"/>
      <c r="E72" s="7" t="inlineStr"/>
      <c r="F72" s="8" t="inlineStr">
        <is>
          <t>COND. BELO MORANO</t>
        </is>
      </c>
      <c r="G72" s="8" t="inlineStr">
        <is>
          <t>RUA JEAN VARDARAMATOS, 130</t>
        </is>
      </c>
      <c r="H72" s="7" t="inlineStr"/>
      <c r="I72" s="8" t="inlineStr">
        <is>
          <t>1 ABERTO E FECHAMENTO,  13 FUSÕES, 1 DERIVAÇÃO, 1 INST. NOVA, 6 CTOS, 6 TESTES, 896M 12FO</t>
        </is>
      </c>
      <c r="J72" s="8" t="inlineStr">
        <is>
          <t>IVANIR  DE OLIVEIRA</t>
        </is>
      </c>
      <c r="K72" s="8" t="inlineStr">
        <is>
          <t>JUAN</t>
        </is>
      </c>
      <c r="L72" s="9" t="n">
        <v>45020</v>
      </c>
      <c r="M72" s="9" t="n">
        <v>45021</v>
      </c>
      <c r="N72" s="7" t="inlineStr">
        <is>
          <t>12/042023</t>
        </is>
      </c>
      <c r="O72" s="9" t="n">
        <v>45029</v>
      </c>
      <c r="P72" s="7" t="inlineStr">
        <is>
          <t>NÃO PRECISA</t>
        </is>
      </c>
      <c r="Q72" s="9" t="n">
        <v>45082</v>
      </c>
      <c r="R72" s="7" t="inlineStr">
        <is>
          <t>Concluído Campo</t>
        </is>
      </c>
      <c r="S72" s="7" t="inlineStr"/>
      <c r="T72" s="10" t="inlineStr"/>
      <c r="U72" s="7" t="inlineStr"/>
      <c r="V72" s="7" t="inlineStr"/>
      <c r="W72" s="7" t="inlineStr"/>
      <c r="X72" s="7" t="inlineStr">
        <is>
          <t>AG. MEDIÇÃO</t>
        </is>
      </c>
      <c r="Y72" s="11">
        <f>IF(AND(L72&lt;&gt;"", S72&lt;&gt;""), S72-L72, IF(L72&lt;&gt;"", TODAY()-L72, ""))</f>
        <v/>
      </c>
      <c r="Z72" s="7">
        <f>IF(Y72="", "", IF(Y72&lt;=3, "NO PRAZO", "ATRASADO"))</f>
        <v/>
      </c>
      <c r="AA72" s="8" t="inlineStr">
        <is>
          <t>100% - OK</t>
        </is>
      </c>
    </row>
    <row r="73" ht="20" customHeight="1">
      <c r="A73" s="7" t="inlineStr">
        <is>
          <t>RSCLER0071</t>
        </is>
      </c>
      <c r="B73" s="8" t="inlineStr">
        <is>
          <t>PORTO ALEGRE</t>
        </is>
      </c>
      <c r="C73" s="7" t="inlineStr">
        <is>
          <t>TRZAB</t>
        </is>
      </c>
      <c r="D73" s="7" t="inlineStr"/>
      <c r="E73" s="7" t="inlineStr"/>
      <c r="F73" s="8" t="inlineStr">
        <is>
          <t>COND. MARIO TOTTA</t>
        </is>
      </c>
      <c r="G73" s="8" t="inlineStr">
        <is>
          <t>RUA MARIO TOTTA, 382</t>
        </is>
      </c>
      <c r="H73" s="7" t="inlineStr"/>
      <c r="I73" s="8" t="inlineStr">
        <is>
          <t>1 FUSÃO,  1 CEO</t>
        </is>
      </c>
      <c r="J73" s="8" t="inlineStr"/>
      <c r="K73" s="8" t="inlineStr">
        <is>
          <t>DIOGO</t>
        </is>
      </c>
      <c r="L73" s="9" t="n">
        <v>45013</v>
      </c>
      <c r="M73" s="9" t="n">
        <v>45016</v>
      </c>
      <c r="N73" s="9" t="n">
        <v>45020</v>
      </c>
      <c r="O73" s="9" t="n">
        <v>45028</v>
      </c>
      <c r="P73" s="7" t="inlineStr">
        <is>
          <t>NÃO PRECISA</t>
        </is>
      </c>
      <c r="Q73" s="9" t="n">
        <v>45084</v>
      </c>
      <c r="R73" s="7" t="inlineStr">
        <is>
          <t>Concluído Campo</t>
        </is>
      </c>
      <c r="S73" s="7" t="inlineStr"/>
      <c r="T73" s="10" t="inlineStr"/>
      <c r="U73" s="7" t="inlineStr"/>
      <c r="V73" s="7" t="inlineStr"/>
      <c r="W73" s="7" t="inlineStr"/>
      <c r="X73" s="7" t="inlineStr">
        <is>
          <t>AG. MEDIÇÃO</t>
        </is>
      </c>
      <c r="Y73" s="11">
        <f>IF(AND(L73&lt;&gt;"", S73&lt;&gt;""), S73-L73, IF(L73&lt;&gt;"", TODAY()-L73, ""))</f>
        <v/>
      </c>
      <c r="Z73" s="7">
        <f>IF(Y73="", "", IF(Y73&lt;=3, "NO PRAZO", "ATRASADO"))</f>
        <v/>
      </c>
      <c r="AA73" s="8" t="inlineStr">
        <is>
          <t>100% - OK</t>
        </is>
      </c>
    </row>
    <row r="74" ht="20" customHeight="1">
      <c r="A74" s="7" t="inlineStr">
        <is>
          <t>RSCLER0072</t>
        </is>
      </c>
      <c r="B74" s="8" t="inlineStr">
        <is>
          <t>PORTO ALEGRE</t>
        </is>
      </c>
      <c r="C74" s="7" t="inlineStr">
        <is>
          <t>TRLAA</t>
        </is>
      </c>
      <c r="D74" s="7" t="inlineStr"/>
      <c r="E74" s="7" t="inlineStr"/>
      <c r="F74" s="8" t="inlineStr">
        <is>
          <t>COND. PORTO CRISTAL</t>
        </is>
      </c>
      <c r="G74" s="8" t="inlineStr">
        <is>
          <t>RUA MONTE ARRAES, 300</t>
        </is>
      </c>
      <c r="H74" s="7" t="inlineStr"/>
      <c r="I74" s="8" t="inlineStr">
        <is>
          <t>LANÇAMENTO DE 305 METROS (12FO) / 2 ABERTURA E FECHAMENTO                                                                                                                                                                                                                                                                                                                                                                                                                                                                                                                                                                             / 4 FUSÃO / 2 TESTE / 1 CX NOVA.</t>
        </is>
      </c>
      <c r="J74" s="8" t="inlineStr">
        <is>
          <t>JORGE MATHEUS</t>
        </is>
      </c>
      <c r="K74" s="8" t="inlineStr"/>
      <c r="L74" s="9" t="n">
        <v>45020</v>
      </c>
      <c r="M74" s="9" t="n">
        <v>45021</v>
      </c>
      <c r="N74" s="9" t="n">
        <v>45029</v>
      </c>
      <c r="O74" s="9" t="n">
        <v>45029</v>
      </c>
      <c r="P74" s="7" t="inlineStr">
        <is>
          <t>NÃO PRECISA</t>
        </is>
      </c>
      <c r="Q74" s="9" t="n">
        <v>45118</v>
      </c>
      <c r="R74" s="7" t="inlineStr">
        <is>
          <t>Concluído Campo</t>
        </is>
      </c>
      <c r="S74" s="7" t="inlineStr"/>
      <c r="T74" s="10" t="inlineStr"/>
      <c r="U74" s="7" t="inlineStr"/>
      <c r="V74" s="7" t="inlineStr"/>
      <c r="W74" s="7" t="inlineStr"/>
      <c r="X74" s="7" t="inlineStr">
        <is>
          <t>AG. MEDIÇÃO</t>
        </is>
      </c>
      <c r="Y74" s="11">
        <f>IF(AND(L74&lt;&gt;"", S74&lt;&gt;""), S74-L74, IF(L74&lt;&gt;"", TODAY()-L74, ""))</f>
        <v/>
      </c>
      <c r="Z74" s="7">
        <f>IF(Y74="", "", IF(Y74&lt;=3, "NO PRAZO", "ATRASADO"))</f>
        <v/>
      </c>
      <c r="AA74" s="8" t="inlineStr">
        <is>
          <t>100% - OK</t>
        </is>
      </c>
    </row>
    <row r="75" ht="20" customHeight="1">
      <c r="A75" s="7" t="inlineStr">
        <is>
          <t>RSCLER0073</t>
        </is>
      </c>
      <c r="B75" s="8" t="inlineStr">
        <is>
          <t>PORTO ALEGRE</t>
        </is>
      </c>
      <c r="C75" s="7" t="inlineStr">
        <is>
          <t>SANAB</t>
        </is>
      </c>
      <c r="D75" s="7" t="inlineStr"/>
      <c r="E75" s="7" t="inlineStr"/>
      <c r="F75" s="8" t="inlineStr">
        <is>
          <t>COND. ÁGUAS CLARAS</t>
        </is>
      </c>
      <c r="G75" s="8" t="inlineStr">
        <is>
          <t>RUA MSN VERAS, 412</t>
        </is>
      </c>
      <c r="H75" s="7" t="inlineStr"/>
      <c r="I75" s="8" t="inlineStr">
        <is>
          <t>2 ABERTURA E FECHAMENTO, 1 FUSÃO, 1 TESTE</t>
        </is>
      </c>
      <c r="J75" s="8" t="inlineStr"/>
      <c r="K75" s="8" t="inlineStr"/>
      <c r="L75" s="9" t="n">
        <v>45020</v>
      </c>
      <c r="M75" s="9" t="n">
        <v>45021</v>
      </c>
      <c r="N75" s="9" t="n">
        <v>45035</v>
      </c>
      <c r="O75" s="9" t="n">
        <v>45023</v>
      </c>
      <c r="P75" s="7" t="inlineStr">
        <is>
          <t>NÃO PRECISA</t>
        </is>
      </c>
      <c r="Q75" s="9" t="n">
        <v>45096</v>
      </c>
      <c r="R75" s="7" t="inlineStr">
        <is>
          <t>Concluído Campo</t>
        </is>
      </c>
      <c r="S75" s="7" t="inlineStr"/>
      <c r="T75" s="10" t="inlineStr"/>
      <c r="U75" s="7" t="inlineStr"/>
      <c r="V75" s="7" t="inlineStr"/>
      <c r="W75" s="7" t="inlineStr"/>
      <c r="X75" s="7" t="inlineStr">
        <is>
          <t>AG. MEDIÇÃO</t>
        </is>
      </c>
      <c r="Y75" s="11">
        <f>IF(AND(L75&lt;&gt;"", S75&lt;&gt;""), S75-L75, IF(L75&lt;&gt;"", TODAY()-L75, ""))</f>
        <v/>
      </c>
      <c r="Z75" s="7">
        <f>IF(Y75="", "", IF(Y75&lt;=3, "NO PRAZO", "ATRASADO"))</f>
        <v/>
      </c>
      <c r="AA75" s="8" t="inlineStr">
        <is>
          <t>100% - OK</t>
        </is>
      </c>
    </row>
    <row r="76" ht="20" customHeight="1">
      <c r="A76" s="7" t="inlineStr">
        <is>
          <t>RSCLER0074</t>
        </is>
      </c>
      <c r="B76" s="8" t="inlineStr">
        <is>
          <t>PORTO ALEGRE</t>
        </is>
      </c>
      <c r="C76" s="7" t="inlineStr">
        <is>
          <t>MTSAA</t>
        </is>
      </c>
      <c r="D76" s="7" t="inlineStr"/>
      <c r="E76" s="7" t="inlineStr"/>
      <c r="F76" s="8" t="inlineStr">
        <is>
          <t>COND. CASA VISTA</t>
        </is>
      </c>
      <c r="G76" s="8" t="inlineStr">
        <is>
          <t>RUA PEDRO CHAVES BARCELOS, 655</t>
        </is>
      </c>
      <c r="H76" s="7" t="inlineStr"/>
      <c r="I76" s="8" t="inlineStr">
        <is>
          <t>LANÇADO 158 METROS DE CABO 12FO / 1 ABERTURA E FECHAMENTO / 6 FFUSÃO / 3 TESTE OBS: FOI LANÇADO CABO PORQUE A CAIXA NÃO ESTAV NO LOCAL CORRETO</t>
        </is>
      </c>
      <c r="J76" s="8" t="inlineStr"/>
      <c r="K76" s="8" t="inlineStr"/>
      <c r="L76" s="9" t="n">
        <v>45020</v>
      </c>
      <c r="M76" s="7" t="inlineStr"/>
      <c r="N76" s="9" t="n">
        <v>45036</v>
      </c>
      <c r="O76" s="9" t="n">
        <v>45036</v>
      </c>
      <c r="P76" s="7" t="inlineStr">
        <is>
          <t>NÃO PRECISA</t>
        </is>
      </c>
      <c r="Q76" s="9" t="n">
        <v>45118</v>
      </c>
      <c r="R76" s="7" t="inlineStr">
        <is>
          <t>Concluído Campo</t>
        </is>
      </c>
      <c r="S76" s="7" t="inlineStr"/>
      <c r="T76" s="10" t="inlineStr"/>
      <c r="U76" s="7" t="inlineStr"/>
      <c r="V76" s="7" t="inlineStr"/>
      <c r="W76" s="7" t="inlineStr"/>
      <c r="X76" s="7" t="inlineStr">
        <is>
          <t>AG. MEDIÇÃO</t>
        </is>
      </c>
      <c r="Y76" s="11">
        <f>IF(AND(L76&lt;&gt;"", S76&lt;&gt;""), S76-L76, IF(L76&lt;&gt;"", TODAY()-L76, ""))</f>
        <v/>
      </c>
      <c r="Z76" s="7">
        <f>IF(Y76="", "", IF(Y76&lt;=3, "NO PRAZO", "ATRASADO"))</f>
        <v/>
      </c>
      <c r="AA76" s="8" t="inlineStr">
        <is>
          <t>100% - OK</t>
        </is>
      </c>
    </row>
    <row r="77" ht="20" customHeight="1">
      <c r="A77" s="7" t="inlineStr">
        <is>
          <t>RSCLER0075</t>
        </is>
      </c>
      <c r="B77" s="8" t="inlineStr">
        <is>
          <t>PORTO ALEGRE</t>
        </is>
      </c>
      <c r="C77" s="7" t="inlineStr">
        <is>
          <t>JITAA</t>
        </is>
      </c>
      <c r="D77" s="7" t="inlineStr"/>
      <c r="E77" s="7" t="inlineStr"/>
      <c r="F77" s="8" t="inlineStr">
        <is>
          <t>COND. PORTO DO PLANALTO</t>
        </is>
      </c>
      <c r="G77" s="8" t="inlineStr">
        <is>
          <t>RUA TENENTE ARY TARRAGO, 2080</t>
        </is>
      </c>
      <c r="H77" s="7" t="inlineStr"/>
      <c r="I77" s="8" t="inlineStr">
        <is>
          <t>LANÇAMENTO DE 199 METROS (12FO) / 3 ABERTURA E FECHAMENTO / 8 FUSÃO / 4 TESTE / 1 CX NOVA</t>
        </is>
      </c>
      <c r="J77" s="8" t="inlineStr">
        <is>
          <t>WILLIAN ALVES</t>
        </is>
      </c>
      <c r="K77" s="8" t="inlineStr">
        <is>
          <t>FÁBIO AMARILHO</t>
        </is>
      </c>
      <c r="L77" s="9" t="n">
        <v>45020</v>
      </c>
      <c r="M77" s="9" t="n">
        <v>45027</v>
      </c>
      <c r="N77" s="9" t="n">
        <v>45033</v>
      </c>
      <c r="O77" s="9" t="n">
        <v>45033</v>
      </c>
      <c r="P77" s="7" t="inlineStr">
        <is>
          <t>NÃO PRECISA</t>
        </is>
      </c>
      <c r="Q77" s="9" t="n">
        <v>45118</v>
      </c>
      <c r="R77" s="7" t="inlineStr">
        <is>
          <t>Concluído Campo</t>
        </is>
      </c>
      <c r="S77" s="7" t="inlineStr"/>
      <c r="T77" s="10" t="inlineStr"/>
      <c r="U77" s="7" t="inlineStr"/>
      <c r="V77" s="7" t="inlineStr"/>
      <c r="W77" s="7" t="inlineStr"/>
      <c r="X77" s="7" t="inlineStr">
        <is>
          <t>AG. MEDIÇÃO</t>
        </is>
      </c>
      <c r="Y77" s="11">
        <f>IF(AND(L77&lt;&gt;"", S77&lt;&gt;""), S77-L77, IF(L77&lt;&gt;"", TODAY()-L77, ""))</f>
        <v/>
      </c>
      <c r="Z77" s="7">
        <f>IF(Y77="", "", IF(Y77&lt;=3, "NO PRAZO", "ATRASADO"))</f>
        <v/>
      </c>
      <c r="AA77" s="8" t="inlineStr">
        <is>
          <t>100% - OK</t>
        </is>
      </c>
    </row>
    <row r="78" ht="20" customHeight="1">
      <c r="A78" s="7" t="inlineStr">
        <is>
          <t>RSCLER0076</t>
        </is>
      </c>
      <c r="B78" s="8" t="inlineStr">
        <is>
          <t>PORTO ALEGRE</t>
        </is>
      </c>
      <c r="C78" s="7" t="inlineStr">
        <is>
          <t>ZNAA</t>
        </is>
      </c>
      <c r="D78" s="7" t="inlineStr"/>
      <c r="E78" s="7" t="inlineStr"/>
      <c r="F78" s="8" t="inlineStr">
        <is>
          <t>COND. ENERGIE</t>
        </is>
      </c>
      <c r="G78" s="8" t="inlineStr">
        <is>
          <t>RUA VEREADOR PORTO, 753</t>
        </is>
      </c>
      <c r="H78" s="7" t="inlineStr"/>
      <c r="I78" s="8" t="inlineStr">
        <is>
          <t>3 ABERTURA E FECHAMENTO,  12 FUSÕES,  1 DERIVAÇÃO, 1 INST. CEO, 5 TESTES, 42M 12FO. ( TINHA 1 FIBRA SECUNDÁRIA QUEBRADA, FEITO 1 FUSÃO A MAIS )</t>
        </is>
      </c>
      <c r="J78" s="8" t="inlineStr">
        <is>
          <t>MARCOS EMILIANO</t>
        </is>
      </c>
      <c r="K78" s="8" t="inlineStr">
        <is>
          <t>MARCOS EMILIANO</t>
        </is>
      </c>
      <c r="L78" s="9" t="n">
        <v>45015</v>
      </c>
      <c r="M78" s="9" t="n">
        <v>45022</v>
      </c>
      <c r="N78" s="9" t="n">
        <v>45027</v>
      </c>
      <c r="O78" s="9" t="n">
        <v>45026</v>
      </c>
      <c r="P78" s="7" t="inlineStr">
        <is>
          <t>NÃO PRECISA</t>
        </is>
      </c>
      <c r="Q78" s="9" t="n">
        <v>45082</v>
      </c>
      <c r="R78" s="7" t="inlineStr">
        <is>
          <t>Concluído Campo</t>
        </is>
      </c>
      <c r="S78" s="7" t="inlineStr"/>
      <c r="T78" s="10" t="inlineStr"/>
      <c r="U78" s="7" t="inlineStr"/>
      <c r="V78" s="7" t="inlineStr"/>
      <c r="W78" s="7" t="inlineStr"/>
      <c r="X78" s="7" t="inlineStr">
        <is>
          <t>AG. MEDIÇÃO</t>
        </is>
      </c>
      <c r="Y78" s="11">
        <f>IF(AND(L78&lt;&gt;"", S78&lt;&gt;""), S78-L78, IF(L78&lt;&gt;"", TODAY()-L78, ""))</f>
        <v/>
      </c>
      <c r="Z78" s="7">
        <f>IF(Y78="", "", IF(Y78&lt;=3, "NO PRAZO", "ATRASADO"))</f>
        <v/>
      </c>
      <c r="AA78" s="8" t="inlineStr">
        <is>
          <t>100% - OK</t>
        </is>
      </c>
    </row>
    <row r="79" ht="20" customHeight="1">
      <c r="A79" s="7" t="inlineStr">
        <is>
          <t>RSCLER0077</t>
        </is>
      </c>
      <c r="B79" s="8" t="inlineStr">
        <is>
          <t>PORTO ALEGRE</t>
        </is>
      </c>
      <c r="C79" s="7" t="inlineStr">
        <is>
          <t>PRTAA</t>
        </is>
      </c>
      <c r="D79" s="7" t="inlineStr"/>
      <c r="E79" s="7" t="inlineStr"/>
      <c r="F79" s="8" t="inlineStr">
        <is>
          <t>PARQUE PANAMBI</t>
        </is>
      </c>
      <c r="G79" s="8" t="inlineStr">
        <is>
          <t>R NICOLA MATHIAS FALCI 151</t>
        </is>
      </c>
      <c r="H79" s="7" t="inlineStr"/>
      <c r="I79" s="8" t="inlineStr">
        <is>
          <t>2 ABERTURA E FECHAMENTO, 1 FUSÃO, 1 TESTE</t>
        </is>
      </c>
      <c r="J79" s="8" t="inlineStr"/>
      <c r="K79" s="8" t="inlineStr">
        <is>
          <t>PAULO</t>
        </is>
      </c>
      <c r="L79" s="7" t="inlineStr"/>
      <c r="M79" s="7" t="inlineStr"/>
      <c r="N79" s="7" t="inlineStr"/>
      <c r="O79" s="9" t="n">
        <v>45045</v>
      </c>
      <c r="P79" s="7" t="inlineStr">
        <is>
          <t>NÃO PRECISA</t>
        </is>
      </c>
      <c r="Q79" s="9" t="n">
        <v>45096</v>
      </c>
      <c r="R79" s="7" t="inlineStr">
        <is>
          <t>Concluído Campo</t>
        </is>
      </c>
      <c r="S79" s="7" t="inlineStr"/>
      <c r="T79" s="10" t="inlineStr"/>
      <c r="U79" s="7" t="inlineStr"/>
      <c r="V79" s="7" t="inlineStr"/>
      <c r="W79" s="7" t="inlineStr"/>
      <c r="X79" s="7" t="inlineStr">
        <is>
          <t>AG. MEDIÇÃO</t>
        </is>
      </c>
      <c r="Y79" s="11">
        <f>IF(AND(L79&lt;&gt;"", S79&lt;&gt;""), S79-L79, IF(L79&lt;&gt;"", TODAY()-L79, ""))</f>
        <v/>
      </c>
      <c r="Z79" s="7">
        <f>IF(Y79="", "", IF(Y79&lt;=3, "NO PRAZO", "ATRASADO"))</f>
        <v/>
      </c>
      <c r="AA79" s="8" t="inlineStr">
        <is>
          <t>100% - OK</t>
        </is>
      </c>
    </row>
    <row r="80" ht="20" customHeight="1">
      <c r="A80" s="7" t="inlineStr">
        <is>
          <t>RSCLER0078</t>
        </is>
      </c>
      <c r="B80" s="8" t="inlineStr">
        <is>
          <t>CANOAS</t>
        </is>
      </c>
      <c r="C80" s="7" t="inlineStr">
        <is>
          <t>MRDAA</t>
        </is>
      </c>
      <c r="D80" s="7" t="inlineStr"/>
      <c r="E80" s="7" t="inlineStr"/>
      <c r="F80" s="8" t="inlineStr">
        <is>
          <t>BASE CANOAS</t>
        </is>
      </c>
      <c r="G80" s="8" t="inlineStr">
        <is>
          <t>RUA DOUTOR SEZEFREDO AZAMBUZA VIEIRA</t>
        </is>
      </c>
      <c r="H80" s="7" t="inlineStr"/>
      <c r="I80" s="8" t="inlineStr">
        <is>
          <t>1 ABERTURA E FECHAMENTO, 2 FUSÕES, 1 CTO, 1 DERIVAÇÃO, 339M  DE 12FO</t>
        </is>
      </c>
      <c r="J80" s="8" t="inlineStr"/>
      <c r="K80" s="8" t="inlineStr">
        <is>
          <t>LUCAS HOBERT</t>
        </is>
      </c>
      <c r="L80" s="9" t="n">
        <v>45096</v>
      </c>
      <c r="M80" s="7" t="inlineStr"/>
      <c r="N80" s="7" t="inlineStr"/>
      <c r="O80" s="7" t="inlineStr"/>
      <c r="P80" s="7" t="inlineStr">
        <is>
          <t>NÃO PRECISA</t>
        </is>
      </c>
      <c r="Q80" s="9" t="n">
        <v>45096</v>
      </c>
      <c r="R80" s="7" t="inlineStr">
        <is>
          <t>Concluído Campo</t>
        </is>
      </c>
      <c r="S80" s="7" t="inlineStr"/>
      <c r="T80" s="10" t="inlineStr"/>
      <c r="U80" s="7" t="inlineStr"/>
      <c r="V80" s="7" t="inlineStr"/>
      <c r="W80" s="7" t="inlineStr"/>
      <c r="X80" s="7" t="inlineStr">
        <is>
          <t>AG. MEDIÇÃO</t>
        </is>
      </c>
      <c r="Y80" s="11">
        <f>IF(AND(L80&lt;&gt;"", S80&lt;&gt;""), S80-L80, IF(L80&lt;&gt;"", TODAY()-L80, ""))</f>
        <v/>
      </c>
      <c r="Z80" s="7">
        <f>IF(Y80="", "", IF(Y80&lt;=3, "NO PRAZO", "ATRASADO"))</f>
        <v/>
      </c>
      <c r="AA80" s="8" t="inlineStr">
        <is>
          <t>100% - OK</t>
        </is>
      </c>
    </row>
    <row r="81" ht="20" customHeight="1">
      <c r="A81" s="7" t="inlineStr">
        <is>
          <t>RSCLER0079</t>
        </is>
      </c>
      <c r="B81" s="8" t="inlineStr">
        <is>
          <t>PORTO ALEGRE</t>
        </is>
      </c>
      <c r="C81" s="7" t="inlineStr">
        <is>
          <t>SRDAAL</t>
        </is>
      </c>
      <c r="D81" s="7" t="inlineStr"/>
      <c r="E81" s="7" t="inlineStr"/>
      <c r="F81" s="8" t="inlineStr">
        <is>
          <t>COND. JARDINS DO NORTE</t>
        </is>
      </c>
      <c r="G81" s="8" t="inlineStr">
        <is>
          <t>RUA ROBERTO JUNG, 130</t>
        </is>
      </c>
      <c r="H81" s="7" t="inlineStr"/>
      <c r="I81" s="8" t="inlineStr">
        <is>
          <t>4 ABERTURA E FECHAMENTO, 1 CEO, 7 FUSÕES, 3 TESTES, 1 TESTE COM OTDR, 1 DERIVAÇÃO, 75M 24FO. ( FOI SOLICITADO PARA FAZER RUA NOBERTO JUNG, FOI ACRESCENTADO A RUA PROFESSOR JOABER PEREIRA, PARA O ALINHAMENTO DA FIBFRA RBTAA.102.13 )</t>
        </is>
      </c>
      <c r="J81" s="8" t="inlineStr">
        <is>
          <t>JORGE MATHEUS</t>
        </is>
      </c>
      <c r="K81" s="8" t="inlineStr">
        <is>
          <t>LUCAS HOBERT</t>
        </is>
      </c>
      <c r="L81" s="7" t="inlineStr"/>
      <c r="M81" s="7" t="inlineStr"/>
      <c r="N81" s="7" t="inlineStr"/>
      <c r="O81" s="7" t="inlineStr"/>
      <c r="P81" s="7" t="inlineStr">
        <is>
          <t>NÃO PRECISA</t>
        </is>
      </c>
      <c r="Q81" s="9" t="n">
        <v>45083</v>
      </c>
      <c r="R81" s="7" t="inlineStr">
        <is>
          <t>Concluído Campo</t>
        </is>
      </c>
      <c r="S81" s="7" t="inlineStr"/>
      <c r="T81" s="10" t="inlineStr"/>
      <c r="U81" s="7" t="inlineStr"/>
      <c r="V81" s="7" t="inlineStr"/>
      <c r="W81" s="7" t="inlineStr"/>
      <c r="X81" s="7" t="inlineStr">
        <is>
          <t>AG. MEDIÇÃO</t>
        </is>
      </c>
      <c r="Y81" s="11">
        <f>IF(AND(L81&lt;&gt;"", S81&lt;&gt;""), S81-L81, IF(L81&lt;&gt;"", TODAY()-L81, ""))</f>
        <v/>
      </c>
      <c r="Z81" s="7">
        <f>IF(Y81="", "", IF(Y81&lt;=3, "NO PRAZO", "ATRASADO"))</f>
        <v/>
      </c>
      <c r="AA81" s="8" t="inlineStr">
        <is>
          <t>100% - OK</t>
        </is>
      </c>
    </row>
    <row r="82" ht="20" customHeight="1">
      <c r="A82" s="7" t="inlineStr">
        <is>
          <t>RSCLER0080</t>
        </is>
      </c>
      <c r="B82" s="8" t="inlineStr">
        <is>
          <t>PORTO ALEGRE</t>
        </is>
      </c>
      <c r="C82" s="7" t="inlineStr">
        <is>
          <t>SJOAF</t>
        </is>
      </c>
      <c r="D82" s="7" t="inlineStr"/>
      <c r="E82" s="7" t="inlineStr"/>
      <c r="F82" s="8" t="inlineStr">
        <is>
          <t>PRIME WISH</t>
        </is>
      </c>
      <c r="G82" s="8" t="inlineStr">
        <is>
          <t>AV CEARÁ 1664</t>
        </is>
      </c>
      <c r="H82" s="7" t="inlineStr"/>
      <c r="I82" s="8" t="inlineStr">
        <is>
          <t>510 METROS LANÇADO E ESPINADO / 1 ABERTURA E FECHAMENTO/ 3 FUSÃO / 2 CX NOVA / 3 TESTE OBS: TEVE 2 CX NOVAS, POIS CRIAMOS OUTRA  T010</t>
        </is>
      </c>
      <c r="J82" s="8" t="inlineStr">
        <is>
          <t>JACKSON</t>
        </is>
      </c>
      <c r="K82" s="8" t="inlineStr">
        <is>
          <t>JACKSON</t>
        </is>
      </c>
      <c r="L82" s="9" t="n">
        <v>45084</v>
      </c>
      <c r="M82" s="9" t="n">
        <v>45084</v>
      </c>
      <c r="N82" s="9" t="n">
        <v>45087</v>
      </c>
      <c r="O82" s="9" t="n">
        <v>45089</v>
      </c>
      <c r="P82" s="7" t="inlineStr">
        <is>
          <t>NÃO PRECISA</t>
        </is>
      </c>
      <c r="Q82" s="9" t="n">
        <v>45118</v>
      </c>
      <c r="R82" s="7" t="inlineStr">
        <is>
          <t>Concluído Campo</t>
        </is>
      </c>
      <c r="S82" s="7" t="inlineStr"/>
      <c r="T82" s="10" t="inlineStr"/>
      <c r="U82" s="7" t="inlineStr"/>
      <c r="V82" s="7" t="inlineStr"/>
      <c r="W82" s="7" t="inlineStr"/>
      <c r="X82" s="7" t="inlineStr">
        <is>
          <t>AG. MEDIÇÃO</t>
        </is>
      </c>
      <c r="Y82" s="11">
        <f>IF(AND(L82&lt;&gt;"", S82&lt;&gt;""), S82-L82, IF(L82&lt;&gt;"", TODAY()-L82, ""))</f>
        <v/>
      </c>
      <c r="Z82" s="7">
        <f>IF(Y82="", "", IF(Y82&lt;=3, "NO PRAZO", "ATRASADO"))</f>
        <v/>
      </c>
      <c r="AA82" s="8" t="inlineStr">
        <is>
          <t>100% - OK</t>
        </is>
      </c>
    </row>
    <row r="83" ht="20" customHeight="1">
      <c r="A83" s="7" t="inlineStr">
        <is>
          <t>RSCLER0081</t>
        </is>
      </c>
      <c r="B83" s="8" t="inlineStr">
        <is>
          <t>PORTO ALEGRE</t>
        </is>
      </c>
      <c r="C83" s="7" t="inlineStr">
        <is>
          <t>CBXAIB</t>
        </is>
      </c>
      <c r="D83" s="7" t="inlineStr"/>
      <c r="E83" s="7" t="inlineStr"/>
      <c r="F83" s="8" t="inlineStr">
        <is>
          <t>ALBERTO TORRES, 134</t>
        </is>
      </c>
      <c r="G83" s="8" t="inlineStr">
        <is>
          <t>R ALBERTO TORRES 134</t>
        </is>
      </c>
      <c r="H83" s="7" t="inlineStr"/>
      <c r="I83" s="8" t="inlineStr">
        <is>
          <t>2 ABERTURA E FECHAMENTO / 4 FUSÃO / 4 TESTE</t>
        </is>
      </c>
      <c r="J83" s="8" t="inlineStr"/>
      <c r="K83" s="8" t="inlineStr"/>
      <c r="L83" s="9" t="n">
        <v>45099</v>
      </c>
      <c r="M83" s="9" t="n">
        <v>45100</v>
      </c>
      <c r="N83" s="9" t="n">
        <v>45101</v>
      </c>
      <c r="O83" s="9" t="n">
        <v>45101</v>
      </c>
      <c r="P83" s="7" t="inlineStr">
        <is>
          <t>NÃO PRECISA</t>
        </is>
      </c>
      <c r="Q83" s="9" t="n">
        <v>45103</v>
      </c>
      <c r="R83" s="7" t="inlineStr">
        <is>
          <t>Concluído Campo</t>
        </is>
      </c>
      <c r="S83" s="7" t="inlineStr"/>
      <c r="T83" s="10" t="inlineStr"/>
      <c r="U83" s="7" t="inlineStr"/>
      <c r="V83" s="7" t="inlineStr"/>
      <c r="W83" s="7" t="inlineStr"/>
      <c r="X83" s="7" t="inlineStr">
        <is>
          <t>AG. MEDIÇÃO</t>
        </is>
      </c>
      <c r="Y83" s="11">
        <f>IF(AND(L83&lt;&gt;"", S83&lt;&gt;""), S83-L83, IF(L83&lt;&gt;"", TODAY()-L83, ""))</f>
        <v/>
      </c>
      <c r="Z83" s="7">
        <f>IF(Y83="", "", IF(Y83&lt;=3, "NO PRAZO", "ATRASADO"))</f>
        <v/>
      </c>
      <c r="AA83" s="8" t="inlineStr">
        <is>
          <t>100% - OK</t>
        </is>
      </c>
    </row>
    <row r="84" ht="20" customHeight="1">
      <c r="A84" s="7" t="inlineStr">
        <is>
          <t>RSCLER0082</t>
        </is>
      </c>
      <c r="B84" s="8" t="inlineStr">
        <is>
          <t>PORTO ALEGRE</t>
        </is>
      </c>
      <c r="C84" s="7" t="inlineStr">
        <is>
          <t>PDRAHB</t>
        </is>
      </c>
      <c r="D84" s="7" t="inlineStr"/>
      <c r="E84" s="7" t="inlineStr"/>
      <c r="F84" s="8" t="inlineStr">
        <is>
          <t>SOLAR WALLIG - TUMELERO</t>
        </is>
      </c>
      <c r="G84" s="8" t="inlineStr">
        <is>
          <t>RUA JOÃO WALLIG, 306</t>
        </is>
      </c>
      <c r="H84" s="7" t="inlineStr"/>
      <c r="I84" s="8" t="inlineStr">
        <is>
          <t>225 METROS CABO 12FO LANÇADO E ESPINADO / 2 ABERTURA E FECHAMENTO / 4 FUSÃO / 4 TESTE / 1 CX NOVA</t>
        </is>
      </c>
      <c r="J84" s="8" t="inlineStr">
        <is>
          <t>JEFERSON</t>
        </is>
      </c>
      <c r="K84" s="8" t="inlineStr">
        <is>
          <t>JEFERSON</t>
        </is>
      </c>
      <c r="L84" s="9" t="n">
        <v>45098</v>
      </c>
      <c r="M84" s="9" t="n">
        <v>45098</v>
      </c>
      <c r="N84" s="9" t="n">
        <v>45099</v>
      </c>
      <c r="O84" s="9" t="n">
        <v>45099</v>
      </c>
      <c r="P84" s="7" t="inlineStr">
        <is>
          <t>NÃO PRECISA</t>
        </is>
      </c>
      <c r="Q84" s="9" t="n">
        <v>45100</v>
      </c>
      <c r="R84" s="7" t="inlineStr">
        <is>
          <t>Concluído Campo</t>
        </is>
      </c>
      <c r="S84" s="7" t="inlineStr"/>
      <c r="T84" s="10" t="inlineStr"/>
      <c r="U84" s="7" t="inlineStr"/>
      <c r="V84" s="7" t="inlineStr"/>
      <c r="W84" s="7" t="inlineStr"/>
      <c r="X84" s="7" t="inlineStr">
        <is>
          <t>AG. MEDIÇÃO</t>
        </is>
      </c>
      <c r="Y84" s="11">
        <f>IF(AND(L84&lt;&gt;"", S84&lt;&gt;""), S84-L84, IF(L84&lt;&gt;"", TODAY()-L84, ""))</f>
        <v/>
      </c>
      <c r="Z84" s="7">
        <f>IF(Y84="", "", IF(Y84&lt;=3, "NO PRAZO", "ATRASADO"))</f>
        <v/>
      </c>
      <c r="AA84" s="8" t="inlineStr">
        <is>
          <t>100% - OK</t>
        </is>
      </c>
    </row>
    <row r="85" ht="20" customHeight="1">
      <c r="A85" s="7" t="inlineStr">
        <is>
          <t>RSCLER0083</t>
        </is>
      </c>
      <c r="B85" s="8" t="inlineStr">
        <is>
          <t>PORTO ALEGRE</t>
        </is>
      </c>
      <c r="C85" s="7" t="inlineStr">
        <is>
          <t>SSOAFA</t>
        </is>
      </c>
      <c r="D85" s="7" t="inlineStr"/>
      <c r="E85" s="7" t="inlineStr"/>
      <c r="F85" s="8" t="inlineStr">
        <is>
          <t>COND. ED. CENNARIO LINDOIA</t>
        </is>
      </c>
      <c r="G85" s="8" t="inlineStr">
        <is>
          <t>RUA LUIZ SIEGMANN, 160</t>
        </is>
      </c>
      <c r="H85" s="7" t="inlineStr"/>
      <c r="I85" s="8" t="inlineStr">
        <is>
          <t>2 ABERTURA E FECHAMENTO / 4 FUSÃO / 1 CX NOVA / 2 TESTE</t>
        </is>
      </c>
      <c r="J85" s="8" t="inlineStr">
        <is>
          <t>JACKSON</t>
        </is>
      </c>
      <c r="K85" s="8" t="inlineStr">
        <is>
          <t>JACKSON</t>
        </is>
      </c>
      <c r="L85" s="9" t="n">
        <v>45084</v>
      </c>
      <c r="M85" s="9" t="n">
        <v>45084</v>
      </c>
      <c r="N85" s="9" t="n">
        <v>45087</v>
      </c>
      <c r="O85" s="9" t="n">
        <v>45089</v>
      </c>
      <c r="P85" s="7" t="inlineStr">
        <is>
          <t>NÃO PRECISA</t>
        </is>
      </c>
      <c r="Q85" s="9" t="n">
        <v>45100</v>
      </c>
      <c r="R85" s="7" t="inlineStr">
        <is>
          <t>Concluído Campo</t>
        </is>
      </c>
      <c r="S85" s="7" t="inlineStr"/>
      <c r="T85" s="10" t="inlineStr"/>
      <c r="U85" s="7" t="inlineStr"/>
      <c r="V85" s="7" t="inlineStr"/>
      <c r="W85" s="7" t="inlineStr"/>
      <c r="X85" s="7" t="inlineStr">
        <is>
          <t>AG. MEDIÇÃO</t>
        </is>
      </c>
      <c r="Y85" s="11">
        <f>IF(AND(L85&lt;&gt;"", S85&lt;&gt;""), S85-L85, IF(L85&lt;&gt;"", TODAY()-L85, ""))</f>
        <v/>
      </c>
      <c r="Z85" s="7">
        <f>IF(Y85="", "", IF(Y85&lt;=3, "NO PRAZO", "ATRASADO"))</f>
        <v/>
      </c>
      <c r="AA85" s="8" t="inlineStr">
        <is>
          <t>100% - OK</t>
        </is>
      </c>
    </row>
    <row r="86" ht="20" customHeight="1">
      <c r="A86" s="7" t="inlineStr">
        <is>
          <t>RSCLER0084</t>
        </is>
      </c>
      <c r="B86" s="8" t="inlineStr">
        <is>
          <t>PORTO ALEGRE</t>
        </is>
      </c>
      <c r="C86" s="7" t="inlineStr">
        <is>
          <t>SSOAFA</t>
        </is>
      </c>
      <c r="D86" s="7" t="inlineStr"/>
      <c r="E86" s="7" t="inlineStr"/>
      <c r="F86" s="8" t="inlineStr">
        <is>
          <t>COND. PATEO LINDOIA</t>
        </is>
      </c>
      <c r="G86" s="8" t="inlineStr">
        <is>
          <t>RUA LUIZ SIEGMANN, 30</t>
        </is>
      </c>
      <c r="H86" s="7" t="inlineStr"/>
      <c r="I86" s="8" t="inlineStr">
        <is>
          <t>190 METROS LANÇADO / 190 METROS ESPINADO / 1 ABERTURA E FECHAMENTO /  1 CX NOVA / 2 FUSÃO / 1 TESTE</t>
        </is>
      </c>
      <c r="J86" s="8" t="inlineStr">
        <is>
          <t>JACKSON</t>
        </is>
      </c>
      <c r="K86" s="8" t="inlineStr">
        <is>
          <t>JACKSON</t>
        </is>
      </c>
      <c r="L86" s="9" t="n">
        <v>45084</v>
      </c>
      <c r="M86" s="9" t="n">
        <v>45084</v>
      </c>
      <c r="N86" s="9" t="n">
        <v>45087</v>
      </c>
      <c r="O86" s="9" t="n">
        <v>45089</v>
      </c>
      <c r="P86" s="7" t="inlineStr">
        <is>
          <t>NÃO PRECISA</t>
        </is>
      </c>
      <c r="Q86" s="9" t="n">
        <v>45100</v>
      </c>
      <c r="R86" s="7" t="inlineStr">
        <is>
          <t>Concluído Campo</t>
        </is>
      </c>
      <c r="S86" s="7" t="inlineStr"/>
      <c r="T86" s="10" t="inlineStr"/>
      <c r="U86" s="7" t="inlineStr"/>
      <c r="V86" s="7" t="inlineStr"/>
      <c r="W86" s="7" t="inlineStr"/>
      <c r="X86" s="7" t="inlineStr">
        <is>
          <t>AG. MEDIÇÃO</t>
        </is>
      </c>
      <c r="Y86" s="11">
        <f>IF(AND(L86&lt;&gt;"", S86&lt;&gt;""), S86-L86, IF(L86&lt;&gt;"", TODAY()-L86, ""))</f>
        <v/>
      </c>
      <c r="Z86" s="7">
        <f>IF(Y86="", "", IF(Y86&lt;=3, "NO PRAZO", "ATRASADO"))</f>
        <v/>
      </c>
      <c r="AA86" s="8" t="inlineStr">
        <is>
          <t>100% - OK</t>
        </is>
      </c>
    </row>
    <row r="87" ht="20" customHeight="1">
      <c r="A87" s="7" t="inlineStr">
        <is>
          <t>RSCLER0085</t>
        </is>
      </c>
      <c r="B87" s="8" t="inlineStr">
        <is>
          <t>PORTO ALEGRE</t>
        </is>
      </c>
      <c r="C87" s="7" t="inlineStr">
        <is>
          <t>PETAA</t>
        </is>
      </c>
      <c r="D87" s="7" t="inlineStr"/>
      <c r="E87" s="7" t="inlineStr"/>
      <c r="F87" s="8" t="inlineStr">
        <is>
          <t>COND. ED. MONTREAL</t>
        </is>
      </c>
      <c r="G87" s="8" t="inlineStr">
        <is>
          <t>RUA MARIZ E BARROS, 62</t>
        </is>
      </c>
      <c r="H87" s="7" t="inlineStr"/>
      <c r="I87" s="8" t="inlineStr">
        <is>
          <t>2 ABERTURA E FECHAMENTO / 2 FUSÃO / 2 TESTE</t>
        </is>
      </c>
      <c r="J87" s="8" t="inlineStr"/>
      <c r="K87" s="8" t="inlineStr"/>
      <c r="L87" s="9" t="n">
        <v>45099</v>
      </c>
      <c r="M87" s="9" t="n">
        <v>45100</v>
      </c>
      <c r="N87" s="9" t="n">
        <v>45101</v>
      </c>
      <c r="O87" s="9" t="n">
        <v>45101</v>
      </c>
      <c r="P87" s="7" t="inlineStr">
        <is>
          <t>NÃO PRECISA</t>
        </is>
      </c>
      <c r="Q87" s="9" t="n">
        <v>45103</v>
      </c>
      <c r="R87" s="7" t="inlineStr">
        <is>
          <t>Concluído Campo</t>
        </is>
      </c>
      <c r="S87" s="7" t="inlineStr"/>
      <c r="T87" s="10" t="inlineStr"/>
      <c r="U87" s="7" t="inlineStr"/>
      <c r="V87" s="7" t="inlineStr"/>
      <c r="W87" s="7" t="inlineStr"/>
      <c r="X87" s="7" t="inlineStr">
        <is>
          <t>AG. MEDIÇÃO</t>
        </is>
      </c>
      <c r="Y87" s="11">
        <f>IF(AND(L87&lt;&gt;"", S87&lt;&gt;""), S87-L87, IF(L87&lt;&gt;"", TODAY()-L87, ""))</f>
        <v/>
      </c>
      <c r="Z87" s="7">
        <f>IF(Y87="", "", IF(Y87&lt;=3, "NO PRAZO", "ATRASADO"))</f>
        <v/>
      </c>
      <c r="AA87" s="8" t="inlineStr">
        <is>
          <t>100% - OK</t>
        </is>
      </c>
    </row>
    <row r="88" ht="20" customHeight="1">
      <c r="A88" s="7" t="inlineStr">
        <is>
          <t>RSCLER0086</t>
        </is>
      </c>
      <c r="B88" s="8" t="inlineStr">
        <is>
          <t>PORTO ALEGRE</t>
        </is>
      </c>
      <c r="C88" s="7" t="inlineStr">
        <is>
          <t>HMTAG</t>
        </is>
      </c>
      <c r="D88" s="7" t="inlineStr"/>
      <c r="E88" s="7" t="inlineStr"/>
      <c r="F88" s="8" t="inlineStr">
        <is>
          <t>COND. URUGUAI</t>
        </is>
      </c>
      <c r="G88" s="8" t="inlineStr">
        <is>
          <t>RUA PALMIRA GOBBI 855/885/925/945</t>
        </is>
      </c>
      <c r="H88" s="7" t="inlineStr"/>
      <c r="I88" s="8" t="inlineStr">
        <is>
          <t>2 ABERTURA E FECHAMENTO / 2 FUSÃO / 2 TESTE</t>
        </is>
      </c>
      <c r="J88" s="8" t="inlineStr"/>
      <c r="K88" s="8" t="inlineStr"/>
      <c r="L88" s="9" t="n">
        <v>45099</v>
      </c>
      <c r="M88" s="9" t="n">
        <v>45100</v>
      </c>
      <c r="N88" s="9" t="n">
        <v>45101</v>
      </c>
      <c r="O88" s="9" t="n">
        <v>45101</v>
      </c>
      <c r="P88" s="7" t="inlineStr">
        <is>
          <t>NÃO PRECISA</t>
        </is>
      </c>
      <c r="Q88" s="9" t="n">
        <v>45103</v>
      </c>
      <c r="R88" s="7" t="inlineStr">
        <is>
          <t>Concluído Campo</t>
        </is>
      </c>
      <c r="S88" s="7" t="inlineStr"/>
      <c r="T88" s="10" t="inlineStr"/>
      <c r="U88" s="7" t="inlineStr"/>
      <c r="V88" s="7" t="inlineStr"/>
      <c r="W88" s="7" t="inlineStr"/>
      <c r="X88" s="7" t="inlineStr">
        <is>
          <t>AG. MEDIÇÃO</t>
        </is>
      </c>
      <c r="Y88" s="11">
        <f>IF(AND(L88&lt;&gt;"", S88&lt;&gt;""), S88-L88, IF(L88&lt;&gt;"", TODAY()-L88, ""))</f>
        <v/>
      </c>
      <c r="Z88" s="7">
        <f>IF(Y88="", "", IF(Y88&lt;=3, "NO PRAZO", "ATRASADO"))</f>
        <v/>
      </c>
      <c r="AA88" s="8" t="inlineStr">
        <is>
          <t>100% - OK</t>
        </is>
      </c>
    </row>
    <row r="89" ht="20" customHeight="1">
      <c r="A89" s="7" t="inlineStr">
        <is>
          <t>RSCLER0087</t>
        </is>
      </c>
      <c r="B89" s="8" t="inlineStr">
        <is>
          <t>PORTO ALEGRE</t>
        </is>
      </c>
      <c r="C89" s="7" t="inlineStr">
        <is>
          <t>CNTAFA</t>
        </is>
      </c>
      <c r="D89" s="7" t="inlineStr"/>
      <c r="E89" s="7" t="inlineStr"/>
      <c r="F89" s="8" t="inlineStr">
        <is>
          <t>WASHINGTON LUIZ; 756</t>
        </is>
      </c>
      <c r="G89" s="8" t="inlineStr">
        <is>
          <t>RUA WASHINGTON LUIZ, 756</t>
        </is>
      </c>
      <c r="H89" s="7" t="inlineStr"/>
      <c r="I89" s="8" t="inlineStr">
        <is>
          <t>218 METROS DE 12FO / 2 ABERTURA E FECHAMENTO / 8 FUSÃO /8 TESTE / 1 CX NOVA</t>
        </is>
      </c>
      <c r="J89" s="8" t="inlineStr"/>
      <c r="K89" s="8" t="inlineStr"/>
      <c r="L89" s="9" t="n">
        <v>45100</v>
      </c>
      <c r="M89" s="9" t="n">
        <v>45100</v>
      </c>
      <c r="N89" s="9" t="n">
        <v>45101</v>
      </c>
      <c r="O89" s="9" t="n">
        <v>45101</v>
      </c>
      <c r="P89" s="7" t="inlineStr">
        <is>
          <t>NÃO PRECISA</t>
        </is>
      </c>
      <c r="Q89" s="9" t="n">
        <v>45103</v>
      </c>
      <c r="R89" s="7" t="inlineStr">
        <is>
          <t>Concluído Campo</t>
        </is>
      </c>
      <c r="S89" s="7" t="inlineStr"/>
      <c r="T89" s="10" t="inlineStr"/>
      <c r="U89" s="7" t="inlineStr"/>
      <c r="V89" s="7" t="inlineStr"/>
      <c r="W89" s="7" t="inlineStr"/>
      <c r="X89" s="7" t="inlineStr">
        <is>
          <t>AG. MEDIÇÃO</t>
        </is>
      </c>
      <c r="Y89" s="11">
        <f>IF(AND(L89&lt;&gt;"", S89&lt;&gt;""), S89-L89, IF(L89&lt;&gt;"", TODAY()-L89, ""))</f>
        <v/>
      </c>
      <c r="Z89" s="7">
        <f>IF(Y89="", "", IF(Y89&lt;=3, "NO PRAZO", "ATRASADO"))</f>
        <v/>
      </c>
      <c r="AA89" s="8" t="inlineStr">
        <is>
          <t>100% - OK</t>
        </is>
      </c>
    </row>
    <row r="90" ht="20" customHeight="1">
      <c r="A90" s="7" t="inlineStr">
        <is>
          <t>RSCLER0088</t>
        </is>
      </c>
      <c r="B90" s="8" t="inlineStr">
        <is>
          <t>SÃO LEOPOLDO</t>
        </is>
      </c>
      <c r="C90" s="7" t="inlineStr">
        <is>
          <t>FEEIA</t>
        </is>
      </c>
      <c r="D90" s="7" t="inlineStr"/>
      <c r="E90" s="7" t="inlineStr"/>
      <c r="F90" s="8" t="inlineStr">
        <is>
          <t>NAP LOTADA</t>
        </is>
      </c>
      <c r="G90" s="8" t="inlineStr">
        <is>
          <t>RUA JOÃO CARLOS  LOUREIRO DE ARAUJO, 55 - FEITORIA</t>
        </is>
      </c>
      <c r="H90" s="7" t="inlineStr"/>
      <c r="I90" s="8" t="inlineStr">
        <is>
          <t>2 ABERTURA E FECHAMENTO / 2 FUSÃO / 2 TESTE</t>
        </is>
      </c>
      <c r="J90" s="8" t="inlineStr"/>
      <c r="K90" s="8" t="inlineStr">
        <is>
          <t>JEFERSON</t>
        </is>
      </c>
      <c r="L90" s="9" t="n">
        <v>45098</v>
      </c>
      <c r="M90" s="9" t="n">
        <v>45098</v>
      </c>
      <c r="N90" s="9" t="n">
        <v>45099</v>
      </c>
      <c r="O90" s="9" t="n">
        <v>45099</v>
      </c>
      <c r="P90" s="7" t="inlineStr">
        <is>
          <t>NÃO PRECISA</t>
        </is>
      </c>
      <c r="Q90" s="9" t="n">
        <v>45100</v>
      </c>
      <c r="R90" s="7" t="inlineStr">
        <is>
          <t>Concluído Campo</t>
        </is>
      </c>
      <c r="S90" s="7" t="inlineStr"/>
      <c r="T90" s="10" t="inlineStr"/>
      <c r="U90" s="7" t="inlineStr"/>
      <c r="V90" s="7" t="inlineStr"/>
      <c r="W90" s="7" t="inlineStr"/>
      <c r="X90" s="7" t="inlineStr">
        <is>
          <t>AG. MEDIÇÃO</t>
        </is>
      </c>
      <c r="Y90" s="11">
        <f>IF(AND(L90&lt;&gt;"", S90&lt;&gt;""), S90-L90, IF(L90&lt;&gt;"", TODAY()-L90, ""))</f>
        <v/>
      </c>
      <c r="Z90" s="7">
        <f>IF(Y90="", "", IF(Y90&lt;=3, "NO PRAZO", "ATRASADO"))</f>
        <v/>
      </c>
      <c r="AA90" s="8" t="inlineStr">
        <is>
          <t>100% - OK</t>
        </is>
      </c>
    </row>
    <row r="91" ht="20" customHeight="1">
      <c r="A91" s="7" t="inlineStr">
        <is>
          <t>RSCLER0089</t>
        </is>
      </c>
      <c r="B91" s="8" t="inlineStr">
        <is>
          <t>PORTO ALEGRE</t>
        </is>
      </c>
      <c r="C91" s="7" t="inlineStr">
        <is>
          <t>BVSAB</t>
        </is>
      </c>
      <c r="D91" s="7" t="inlineStr"/>
      <c r="E91" s="7" t="inlineStr"/>
      <c r="F91" s="8" t="inlineStr">
        <is>
          <t>CONDOMINIO PALA I</t>
        </is>
      </c>
      <c r="G91" s="8" t="inlineStr">
        <is>
          <t>RUA PORTUGAL, 1297</t>
        </is>
      </c>
      <c r="H91" s="7" t="inlineStr"/>
      <c r="I91" s="8" t="inlineStr">
        <is>
          <t>FALTA TESTE/ 2 ABERTURA E FECHAMENTO / 5 FUSÃO / 4 TESTE/ LANÇADO 150 METROS DE CABO 24FO</t>
        </is>
      </c>
      <c r="J91" s="8" t="inlineStr">
        <is>
          <t>JEFERSON</t>
        </is>
      </c>
      <c r="K91" s="8" t="inlineStr">
        <is>
          <t>JEFERSON</t>
        </is>
      </c>
      <c r="L91" s="9" t="n">
        <v>45098</v>
      </c>
      <c r="M91" s="9" t="n">
        <v>45098</v>
      </c>
      <c r="N91" s="9" t="n">
        <v>45098</v>
      </c>
      <c r="O91" s="9" t="n">
        <v>45098</v>
      </c>
      <c r="P91" s="7" t="inlineStr">
        <is>
          <t>NÃO PRECISA</t>
        </is>
      </c>
      <c r="Q91" s="9" t="n">
        <v>45118</v>
      </c>
      <c r="R91" s="7" t="inlineStr">
        <is>
          <t>Concluído Campo</t>
        </is>
      </c>
      <c r="S91" s="7" t="inlineStr"/>
      <c r="T91" s="10" t="inlineStr"/>
      <c r="U91" s="7" t="inlineStr"/>
      <c r="V91" s="7" t="inlineStr"/>
      <c r="W91" s="7" t="inlineStr"/>
      <c r="X91" s="7" t="inlineStr">
        <is>
          <t>AG. MEDIÇÃO</t>
        </is>
      </c>
      <c r="Y91" s="11">
        <f>IF(AND(L91&lt;&gt;"", S91&lt;&gt;""), S91-L91, IF(L91&lt;&gt;"", TODAY()-L91, ""))</f>
        <v/>
      </c>
      <c r="Z91" s="7">
        <f>IF(Y91="", "", IF(Y91&lt;=3, "NO PRAZO", "ATRASADO"))</f>
        <v/>
      </c>
      <c r="AA91" s="8" t="inlineStr">
        <is>
          <t>100% - OK</t>
        </is>
      </c>
    </row>
    <row r="92" ht="20" customHeight="1">
      <c r="A92" s="7" t="inlineStr">
        <is>
          <t>RSCLER0090</t>
        </is>
      </c>
      <c r="B92" s="8" t="inlineStr">
        <is>
          <t>NOVO HAMBURGO</t>
        </is>
      </c>
      <c r="C92" s="7" t="inlineStr">
        <is>
          <t>CNUAB</t>
        </is>
      </c>
      <c r="D92" s="7" t="inlineStr"/>
      <c r="E92" s="7" t="inlineStr"/>
      <c r="F92" s="8" t="inlineStr">
        <is>
          <t>COD. RESIDENCIAL DALTO FILHO</t>
        </is>
      </c>
      <c r="G92" s="8" t="inlineStr">
        <is>
          <t>AV. GEN DALTO FILHO 1575</t>
        </is>
      </c>
      <c r="H92" s="7" t="inlineStr"/>
      <c r="I92" s="8" t="inlineStr">
        <is>
          <t>2 ABERTURA E FECHAMENTO / 2 FUSÃO / 2 TESTE</t>
        </is>
      </c>
      <c r="J92" s="8" t="inlineStr"/>
      <c r="K92" s="8" t="inlineStr">
        <is>
          <t>JEFERSON</t>
        </is>
      </c>
      <c r="L92" s="9" t="n">
        <v>45105</v>
      </c>
      <c r="M92" s="9" t="n">
        <v>45106</v>
      </c>
      <c r="N92" s="9" t="n">
        <v>45106</v>
      </c>
      <c r="O92" s="9" t="n">
        <v>45106</v>
      </c>
      <c r="P92" s="7" t="inlineStr">
        <is>
          <t>NÃO PRECISA</t>
        </is>
      </c>
      <c r="Q92" s="9" t="n">
        <v>45118</v>
      </c>
      <c r="R92" s="7" t="inlineStr">
        <is>
          <t>Concluído Campo</t>
        </is>
      </c>
      <c r="S92" s="7" t="inlineStr"/>
      <c r="T92" s="10" t="inlineStr"/>
      <c r="U92" s="7" t="inlineStr"/>
      <c r="V92" s="7" t="inlineStr"/>
      <c r="W92" s="7" t="inlineStr"/>
      <c r="X92" s="7" t="inlineStr">
        <is>
          <t>AG. MEDIÇÃO</t>
        </is>
      </c>
      <c r="Y92" s="11">
        <f>IF(AND(L92&lt;&gt;"", S92&lt;&gt;""), S92-L92, IF(L92&lt;&gt;"", TODAY()-L92, ""))</f>
        <v/>
      </c>
      <c r="Z92" s="7">
        <f>IF(Y92="", "", IF(Y92&lt;=3, "NO PRAZO", "ATRASADO"))</f>
        <v/>
      </c>
      <c r="AA92" s="8" t="inlineStr">
        <is>
          <t>100% - OK</t>
        </is>
      </c>
    </row>
    <row r="93" ht="20" customHeight="1">
      <c r="A93" s="7" t="inlineStr">
        <is>
          <t>RSCLER0091</t>
        </is>
      </c>
      <c r="B93" s="8" t="inlineStr">
        <is>
          <t>PORTO ALEGRE</t>
        </is>
      </c>
      <c r="C93" s="7" t="inlineStr">
        <is>
          <t>FLOAF</t>
        </is>
      </c>
      <c r="D93" s="7" t="inlineStr"/>
      <c r="E93" s="7" t="inlineStr"/>
      <c r="F93" s="8" t="inlineStr">
        <is>
          <t>TREND 24 RESIDENCE</t>
        </is>
      </c>
      <c r="G93" s="8" t="inlineStr">
        <is>
          <t>RUA MARILAND, 707 - 777</t>
        </is>
      </c>
      <c r="H93" s="7" t="inlineStr"/>
      <c r="I93" s="8" t="inlineStr">
        <is>
          <t>710 METROS DE CABO 48FO / 4 ABERTURA E FECHAMENTO / 6 FUSÃO / 2 TESTE / 2 DERIVAÇÃO</t>
        </is>
      </c>
      <c r="J93" s="8" t="inlineStr">
        <is>
          <t>WILLIAN ALVES</t>
        </is>
      </c>
      <c r="K93" s="8" t="inlineStr">
        <is>
          <t>PAULO GOMES</t>
        </is>
      </c>
      <c r="L93" s="9" t="n">
        <v>45091</v>
      </c>
      <c r="M93" s="9" t="n">
        <v>45103</v>
      </c>
      <c r="N93" s="9" t="n">
        <v>45106</v>
      </c>
      <c r="O93" s="9" t="n">
        <v>45110</v>
      </c>
      <c r="P93" s="7" t="inlineStr">
        <is>
          <t>NÃO PRECISA</t>
        </is>
      </c>
      <c r="Q93" s="9" t="n">
        <v>45118</v>
      </c>
      <c r="R93" s="7" t="inlineStr">
        <is>
          <t>Concluído Campo</t>
        </is>
      </c>
      <c r="S93" s="7" t="inlineStr"/>
      <c r="T93" s="10" t="inlineStr"/>
      <c r="U93" s="7" t="inlineStr"/>
      <c r="V93" s="7" t="inlineStr"/>
      <c r="W93" s="7" t="inlineStr"/>
      <c r="X93" s="7" t="inlineStr">
        <is>
          <t>AG. MEDIÇÃO</t>
        </is>
      </c>
      <c r="Y93" s="11">
        <f>IF(AND(L93&lt;&gt;"", S93&lt;&gt;""), S93-L93, IF(L93&lt;&gt;"", TODAY()-L93, ""))</f>
        <v/>
      </c>
      <c r="Z93" s="7">
        <f>IF(Y93="", "", IF(Y93&lt;=3, "NO PRAZO", "ATRASADO"))</f>
        <v/>
      </c>
      <c r="AA93" s="8" t="inlineStr">
        <is>
          <t>100% - OK</t>
        </is>
      </c>
    </row>
    <row r="94" ht="20" customHeight="1">
      <c r="A94" s="7" t="inlineStr">
        <is>
          <t>RSCLER0092</t>
        </is>
      </c>
      <c r="B94" s="8" t="inlineStr">
        <is>
          <t>PORTO ALEGRE</t>
        </is>
      </c>
      <c r="C94" s="7" t="inlineStr">
        <is>
          <t>JCVAB</t>
        </is>
      </c>
      <c r="D94" s="7" t="inlineStr"/>
      <c r="E94" s="7" t="inlineStr"/>
      <c r="F94" s="8" t="inlineStr">
        <is>
          <t>COND. LUGGO JARDIM CARVALHO</t>
        </is>
      </c>
      <c r="G94" s="8" t="inlineStr">
        <is>
          <t>RUA MARIA QUEITÉRIA DE JESUS, 215</t>
        </is>
      </c>
      <c r="H94" s="7" t="inlineStr"/>
      <c r="I94" s="8" t="inlineStr">
        <is>
          <t>534 METROS / 3 ABERTURA E FECHAMENTO / 3 FUSÃO / 1 CX NOVA / 1 TESTE / 1 DERIVAÇÃO</t>
        </is>
      </c>
      <c r="J94" s="8" t="inlineStr">
        <is>
          <t>PAULO GASEN</t>
        </is>
      </c>
      <c r="K94" s="8" t="inlineStr">
        <is>
          <t>MARCOS EMILIANO</t>
        </is>
      </c>
      <c r="L94" s="9" t="n">
        <v>45091</v>
      </c>
      <c r="M94" s="9" t="n">
        <v>45103</v>
      </c>
      <c r="N94" s="9" t="n">
        <v>45104</v>
      </c>
      <c r="O94" s="9" t="n">
        <v>45107</v>
      </c>
      <c r="P94" s="7" t="inlineStr">
        <is>
          <t>NÃO PRECISA</t>
        </is>
      </c>
      <c r="Q94" s="9" t="n">
        <v>45118</v>
      </c>
      <c r="R94" s="7" t="inlineStr">
        <is>
          <t>Concluído Campo</t>
        </is>
      </c>
      <c r="S94" s="7" t="inlineStr"/>
      <c r="T94" s="10" t="inlineStr"/>
      <c r="U94" s="7" t="inlineStr"/>
      <c r="V94" s="7" t="inlineStr"/>
      <c r="W94" s="7" t="inlineStr"/>
      <c r="X94" s="7" t="inlineStr">
        <is>
          <t>AG. MEDIÇÃO</t>
        </is>
      </c>
      <c r="Y94" s="11">
        <f>IF(AND(L94&lt;&gt;"", S94&lt;&gt;""), S94-L94, IF(L94&lt;&gt;"", TODAY()-L94, ""))</f>
        <v/>
      </c>
      <c r="Z94" s="7">
        <f>IF(Y94="", "", IF(Y94&lt;=3, "NO PRAZO", "ATRASADO"))</f>
        <v/>
      </c>
      <c r="AA94" s="8" t="inlineStr">
        <is>
          <t>100% - OK</t>
        </is>
      </c>
    </row>
    <row r="95" ht="20" customHeight="1">
      <c r="A95" s="7" t="inlineStr">
        <is>
          <t>RSCLER0093</t>
        </is>
      </c>
      <c r="B95" s="8" t="inlineStr">
        <is>
          <t>PORTO ALEGRE</t>
        </is>
      </c>
      <c r="C95" s="7" t="inlineStr">
        <is>
          <t>SANAB</t>
        </is>
      </c>
      <c r="D95" s="7" t="inlineStr"/>
      <c r="E95" s="7" t="inlineStr"/>
      <c r="F95" s="8" t="inlineStr">
        <is>
          <t>COND. URBANO</t>
        </is>
      </c>
      <c r="G95" s="8" t="inlineStr">
        <is>
          <t>RUA SÃO MANOEL 2061</t>
        </is>
      </c>
      <c r="H95" s="7" t="inlineStr"/>
      <c r="I95" s="8" t="inlineStr">
        <is>
          <t>ESTA ATENUADO, VOLTAR PARA TESTAR / 185 METROS DE CABO LANÇADO E ESPINADO / 6 FUSÃO / 3 TESTE / 1 CX NOVA / 1 DERIVAÇÃO / 2 ABERTURA E FECHAMENTO.</t>
        </is>
      </c>
      <c r="J95" s="8" t="inlineStr">
        <is>
          <t>JEFERSON</t>
        </is>
      </c>
      <c r="K95" s="8" t="inlineStr">
        <is>
          <t>JEFERSON</t>
        </is>
      </c>
      <c r="L95" s="9" t="n">
        <v>45097</v>
      </c>
      <c r="M95" s="9" t="n">
        <v>45097</v>
      </c>
      <c r="N95" s="9" t="n">
        <v>45098</v>
      </c>
      <c r="O95" s="9" t="n">
        <v>45098</v>
      </c>
      <c r="P95" s="7" t="inlineStr">
        <is>
          <t>NÃO PRECISA</t>
        </is>
      </c>
      <c r="Q95" s="9" t="n">
        <v>45118</v>
      </c>
      <c r="R95" s="7" t="inlineStr">
        <is>
          <t>Concluído Campo</t>
        </is>
      </c>
      <c r="S95" s="7" t="inlineStr"/>
      <c r="T95" s="10" t="inlineStr"/>
      <c r="U95" s="7" t="inlineStr"/>
      <c r="V95" s="7" t="inlineStr"/>
      <c r="W95" s="7" t="inlineStr"/>
      <c r="X95" s="7" t="inlineStr">
        <is>
          <t>AG. MEDIÇÃO</t>
        </is>
      </c>
      <c r="Y95" s="11">
        <f>IF(AND(L95&lt;&gt;"", S95&lt;&gt;""), S95-L95, IF(L95&lt;&gt;"", TODAY()-L95, ""))</f>
        <v/>
      </c>
      <c r="Z95" s="7">
        <f>IF(Y95="", "", IF(Y95&lt;=3, "NO PRAZO", "ATRASADO"))</f>
        <v/>
      </c>
      <c r="AA95" s="8" t="inlineStr">
        <is>
          <t>100% - OK</t>
        </is>
      </c>
    </row>
    <row r="96" ht="20" customHeight="1">
      <c r="A96" s="7" t="inlineStr">
        <is>
          <t>RSCLER0094</t>
        </is>
      </c>
      <c r="B96" s="8" t="inlineStr">
        <is>
          <t>PORTO ALEGRE</t>
        </is>
      </c>
      <c r="C96" s="7" t="inlineStr">
        <is>
          <t>CNTAK</t>
        </is>
      </c>
      <c r="D96" s="7" t="inlineStr"/>
      <c r="E96" s="7" t="inlineStr"/>
      <c r="F96" s="8" t="inlineStr">
        <is>
          <t>R JOSE DO PATROCINIO 132</t>
        </is>
      </c>
      <c r="G96" s="8" t="inlineStr">
        <is>
          <t>R JOSE DO PATROCINIO 132</t>
        </is>
      </c>
      <c r="H96" s="7" t="inlineStr"/>
      <c r="I96" s="8" t="inlineStr">
        <is>
          <t>A FIBRA ESTA FUSIONADA RETA, DEIXANDO O CABO DE 12 FO COM INSUFICIENCIA PARA ATENDER E NA FOSC M TA QUEBRADA NO PÉ, 2 ABERTURA E FECHAMENTO / 9 FUSÃO / 4 TESTE / 1 DERIVAÇÃO.</t>
        </is>
      </c>
      <c r="J96" s="8" t="inlineStr">
        <is>
          <t>JEFERSON</t>
        </is>
      </c>
      <c r="K96" s="8" t="inlineStr">
        <is>
          <t>JEFERSON</t>
        </is>
      </c>
      <c r="L96" s="9" t="n">
        <v>45099</v>
      </c>
      <c r="M96" s="9" t="n">
        <v>45099</v>
      </c>
      <c r="N96" s="9" t="n">
        <v>45114</v>
      </c>
      <c r="O96" s="9" t="n">
        <v>45114</v>
      </c>
      <c r="P96" s="7" t="inlineStr">
        <is>
          <t>NÃO PRECISA</t>
        </is>
      </c>
      <c r="Q96" s="9" t="n">
        <v>45118</v>
      </c>
      <c r="R96" s="7" t="inlineStr">
        <is>
          <t>Concluído Campo</t>
        </is>
      </c>
      <c r="S96" s="7" t="inlineStr"/>
      <c r="T96" s="10" t="inlineStr"/>
      <c r="U96" s="7" t="inlineStr"/>
      <c r="V96" s="7" t="inlineStr"/>
      <c r="W96" s="7" t="inlineStr"/>
      <c r="X96" s="7" t="inlineStr">
        <is>
          <t>AG. MEDIÇÃO</t>
        </is>
      </c>
      <c r="Y96" s="11">
        <f>IF(AND(L96&lt;&gt;"", S96&lt;&gt;""), S96-L96, IF(L96&lt;&gt;"", TODAY()-L96, ""))</f>
        <v/>
      </c>
      <c r="Z96" s="7">
        <f>IF(Y96="", "", IF(Y96&lt;=3, "NO PRAZO", "ATRASADO"))</f>
        <v/>
      </c>
      <c r="AA96" s="8" t="inlineStr">
        <is>
          <t>100% - OK</t>
        </is>
      </c>
    </row>
    <row r="97" ht="20" customHeight="1">
      <c r="A97" s="7" t="inlineStr">
        <is>
          <t>RSCLER0095</t>
        </is>
      </c>
      <c r="B97" s="8" t="inlineStr">
        <is>
          <t>PORTO ALEGRE</t>
        </is>
      </c>
      <c r="C97" s="7" t="inlineStr">
        <is>
          <t>MNDAF</t>
        </is>
      </c>
      <c r="D97" s="7" t="inlineStr"/>
      <c r="E97" s="7" t="inlineStr"/>
      <c r="F97" s="8" t="inlineStr">
        <is>
          <t>ATMOSFERA</t>
        </is>
      </c>
      <c r="G97" s="8" t="inlineStr">
        <is>
          <t>AV. PRAIA DE BELAS, 2024</t>
        </is>
      </c>
      <c r="H97" s="7" t="inlineStr"/>
      <c r="I97" s="8" t="inlineStr">
        <is>
          <t>ESSE MDU ESTA COM INSUFICIENCIA DE FIBRA / PARA FINALIZAR ESSE MDU SERÁ NECESSARIO LANÇAR OUTRO CABO DE 24FO DA CAIXA TRONCAL MNDAA112 ATÉ A MNDAA.115, POIS NA EPOCA FOI CONSTRUIDO COM UM CABO DE 12FO. 347 METROS DE CABO 24FO, 200 METROS DE CABO 24FO / 15 FUSÃO / 5 TESTE / 3 DERIVAÇÃO / 2 ABERTURA E FECHAMENTO</t>
        </is>
      </c>
      <c r="J97" s="8" t="inlineStr">
        <is>
          <t>JEFERSON</t>
        </is>
      </c>
      <c r="K97" s="8" t="inlineStr">
        <is>
          <t>JEFERSON</t>
        </is>
      </c>
      <c r="L97" s="9" t="n">
        <v>45099</v>
      </c>
      <c r="M97" s="9" t="n">
        <v>45099</v>
      </c>
      <c r="N97" s="9" t="n">
        <v>45114</v>
      </c>
      <c r="O97" s="9" t="n">
        <v>45114</v>
      </c>
      <c r="P97" s="7" t="inlineStr">
        <is>
          <t>NÃO PRECISA</t>
        </is>
      </c>
      <c r="Q97" s="9" t="n">
        <v>45175</v>
      </c>
      <c r="R97" s="7" t="inlineStr">
        <is>
          <t>Concluído Campo</t>
        </is>
      </c>
      <c r="S97" s="7" t="inlineStr"/>
      <c r="T97" s="10" t="inlineStr"/>
      <c r="U97" s="7" t="inlineStr"/>
      <c r="V97" s="7" t="inlineStr"/>
      <c r="W97" s="7" t="inlineStr"/>
      <c r="X97" s="7" t="inlineStr">
        <is>
          <t>AG. MEDIÇÃO</t>
        </is>
      </c>
      <c r="Y97" s="11">
        <f>IF(AND(L97&lt;&gt;"", S97&lt;&gt;""), S97-L97, IF(L97&lt;&gt;"", TODAY()-L97, ""))</f>
        <v/>
      </c>
      <c r="Z97" s="7">
        <f>IF(Y97="", "", IF(Y97&lt;=3, "NO PRAZO", "ATRASADO"))</f>
        <v/>
      </c>
      <c r="AA97" s="8" t="inlineStr">
        <is>
          <t>100% - OK</t>
        </is>
      </c>
    </row>
    <row r="98" ht="20" customHeight="1">
      <c r="A98" s="7" t="inlineStr">
        <is>
          <t>RSCLER0096</t>
        </is>
      </c>
      <c r="B98" s="8" t="inlineStr">
        <is>
          <t>CANOAS</t>
        </is>
      </c>
      <c r="C98" s="7" t="inlineStr">
        <is>
          <t>CNT12A</t>
        </is>
      </c>
      <c r="D98" s="7" t="inlineStr"/>
      <c r="E98" s="7" t="inlineStr"/>
      <c r="F98" s="8" t="inlineStr">
        <is>
          <t>COND. RESERVA DOS EUCALIPTOS II</t>
        </is>
      </c>
      <c r="G98" s="8" t="inlineStr">
        <is>
          <t>RUA ANTÔNIOLOURENÇO ROSA,  187</t>
        </is>
      </c>
      <c r="H98" s="7" t="inlineStr"/>
      <c r="I98" s="8" t="inlineStr">
        <is>
          <t>LANÇADO 1072 METROS CABO 12FO  / LANÇADO 300 METROS DE CORDOALHA / 1 ABERTURA E FECHAMENTO / 1 DERIVAÇÃO / 4 FUSÃO / 1 CX NOVA OBS: FOI LANÇADO CABO DE 12FO ATÉ A TRONCAL 111, POIS 111 A020 FOI CANCELADA.</t>
        </is>
      </c>
      <c r="J98" s="8" t="inlineStr">
        <is>
          <t>JORGE MATEUS (350 METROS) / JEFERSON (725 METROS)</t>
        </is>
      </c>
      <c r="K98" s="8" t="inlineStr">
        <is>
          <t>JEFERSON</t>
        </is>
      </c>
      <c r="L98" s="9" t="n">
        <v>45107</v>
      </c>
      <c r="M98" s="9" t="n">
        <v>45114</v>
      </c>
      <c r="N98" s="9" t="n">
        <v>45116</v>
      </c>
      <c r="O98" s="9" t="n">
        <v>45116</v>
      </c>
      <c r="P98" s="7" t="inlineStr">
        <is>
          <t>NÃO PRECISA</t>
        </is>
      </c>
      <c r="Q98" s="9" t="n">
        <v>45118</v>
      </c>
      <c r="R98" s="7" t="inlineStr">
        <is>
          <t>Concluído Campo</t>
        </is>
      </c>
      <c r="S98" s="7" t="inlineStr"/>
      <c r="T98" s="10" t="inlineStr"/>
      <c r="U98" s="7" t="inlineStr"/>
      <c r="V98" s="7" t="inlineStr"/>
      <c r="W98" s="7" t="inlineStr"/>
      <c r="X98" s="7" t="inlineStr">
        <is>
          <t>AG. MEDIÇÃO</t>
        </is>
      </c>
      <c r="Y98" s="11">
        <f>IF(AND(L98&lt;&gt;"", S98&lt;&gt;""), S98-L98, IF(L98&lt;&gt;"", TODAY()-L98, ""))</f>
        <v/>
      </c>
      <c r="Z98" s="7">
        <f>IF(Y98="", "", IF(Y98&lt;=3, "NO PRAZO", "ATRASADO"))</f>
        <v/>
      </c>
      <c r="AA98" s="8" t="inlineStr">
        <is>
          <t>100% - OK</t>
        </is>
      </c>
    </row>
    <row r="99" ht="20" customHeight="1">
      <c r="A99" s="7" t="inlineStr">
        <is>
          <t>RSCLER0097</t>
        </is>
      </c>
      <c r="B99" s="8" t="inlineStr">
        <is>
          <t>PORTO ALEGRE</t>
        </is>
      </c>
      <c r="C99" s="7" t="inlineStr">
        <is>
          <t>BVSAA</t>
        </is>
      </c>
      <c r="D99" s="7" t="inlineStr"/>
      <c r="E99" s="7" t="inlineStr"/>
      <c r="F99" s="8" t="inlineStr">
        <is>
          <t>VIVENDAS DO PARQUE</t>
        </is>
      </c>
      <c r="G99" s="8" t="inlineStr">
        <is>
          <t>R ANITA GARIBALDI 2340</t>
        </is>
      </c>
      <c r="H99" s="7" t="inlineStr"/>
      <c r="I99" s="8" t="inlineStr">
        <is>
          <t>3 ABERTURA E FECHAMENTO, 2 FUSÃO , 1 TESTE</t>
        </is>
      </c>
      <c r="J99" s="8" t="inlineStr"/>
      <c r="K99" s="8" t="inlineStr">
        <is>
          <t>JEFERSON</t>
        </is>
      </c>
      <c r="L99" s="9" t="n">
        <v>45120</v>
      </c>
      <c r="M99" s="9" t="n">
        <v>45120</v>
      </c>
      <c r="N99" s="9" t="n">
        <v>45121</v>
      </c>
      <c r="O99" s="9" t="n">
        <v>45121</v>
      </c>
      <c r="P99" s="7" t="inlineStr">
        <is>
          <t>NÃO PRECISA</t>
        </is>
      </c>
      <c r="Q99" s="9" t="n">
        <v>45133</v>
      </c>
      <c r="R99" s="7" t="inlineStr">
        <is>
          <t>Concluído Campo</t>
        </is>
      </c>
      <c r="S99" s="7" t="inlineStr"/>
      <c r="T99" s="10" t="inlineStr"/>
      <c r="U99" s="7" t="inlineStr"/>
      <c r="V99" s="7" t="inlineStr"/>
      <c r="W99" s="7" t="inlineStr"/>
      <c r="X99" s="7" t="inlineStr">
        <is>
          <t>AG. MEDIÇÃO</t>
        </is>
      </c>
      <c r="Y99" s="11">
        <f>IF(AND(L99&lt;&gt;"", S99&lt;&gt;""), S99-L99, IF(L99&lt;&gt;"", TODAY()-L99, ""))</f>
        <v/>
      </c>
      <c r="Z99" s="7">
        <f>IF(Y99="", "", IF(Y99&lt;=3, "NO PRAZO", "ATRASADO"))</f>
        <v/>
      </c>
      <c r="AA99" s="8" t="inlineStr">
        <is>
          <t>100% - OK</t>
        </is>
      </c>
    </row>
    <row r="100" ht="20" customHeight="1">
      <c r="A100" s="7" t="inlineStr">
        <is>
          <t>RSCLER0098</t>
        </is>
      </c>
      <c r="B100" s="8" t="inlineStr">
        <is>
          <t>PORTO ALEGRE</t>
        </is>
      </c>
      <c r="C100" s="7" t="inlineStr">
        <is>
          <t>JITAIA</t>
        </is>
      </c>
      <c r="D100" s="7" t="inlineStr"/>
      <c r="E100" s="7" t="inlineStr"/>
      <c r="F100" s="8" t="inlineStr">
        <is>
          <t>MARACAIBO, 95</t>
        </is>
      </c>
      <c r="G100" s="8" t="inlineStr">
        <is>
          <t>RUA MARACAIBO, 95</t>
        </is>
      </c>
      <c r="H100" s="7" t="inlineStr"/>
      <c r="I100" s="8" t="inlineStr">
        <is>
          <t>3 ABERTURA E FECHAMENTO / 8 FUSÃO / 4 TESTE</t>
        </is>
      </c>
      <c r="J100" s="8" t="inlineStr"/>
      <c r="K100" s="8" t="inlineStr">
        <is>
          <t>PAULO GOMES</t>
        </is>
      </c>
      <c r="L100" s="9" t="n">
        <v>45127</v>
      </c>
      <c r="M100" s="9" t="n">
        <v>45128</v>
      </c>
      <c r="N100" s="9" t="n">
        <v>45128</v>
      </c>
      <c r="O100" s="9" t="n">
        <v>45128</v>
      </c>
      <c r="P100" s="7" t="inlineStr">
        <is>
          <t>NÃO PRECISA</t>
        </is>
      </c>
      <c r="Q100" s="9" t="n">
        <v>45133</v>
      </c>
      <c r="R100" s="7" t="inlineStr">
        <is>
          <t>Concluído Campo</t>
        </is>
      </c>
      <c r="S100" s="7" t="inlineStr"/>
      <c r="T100" s="10" t="inlineStr"/>
      <c r="U100" s="7" t="inlineStr"/>
      <c r="V100" s="7" t="inlineStr"/>
      <c r="W100" s="7" t="inlineStr"/>
      <c r="X100" s="7" t="inlineStr">
        <is>
          <t>AG. MEDIÇÃO</t>
        </is>
      </c>
      <c r="Y100" s="11">
        <f>IF(AND(L100&lt;&gt;"", S100&lt;&gt;""), S100-L100, IF(L100&lt;&gt;"", TODAY()-L100, ""))</f>
        <v/>
      </c>
      <c r="Z100" s="7">
        <f>IF(Y100="", "", IF(Y100&lt;=3, "NO PRAZO", "ATRASADO"))</f>
        <v/>
      </c>
      <c r="AA100" s="8" t="inlineStr">
        <is>
          <t>100% - OK</t>
        </is>
      </c>
    </row>
    <row r="101" ht="20" customHeight="1">
      <c r="A101" s="7" t="inlineStr">
        <is>
          <t>RSCLER0099</t>
        </is>
      </c>
      <c r="B101" s="8" t="inlineStr">
        <is>
          <t>PORTO ALEGRE</t>
        </is>
      </c>
      <c r="C101" s="7" t="inlineStr">
        <is>
          <t>VIPAG</t>
        </is>
      </c>
      <c r="D101" s="7" t="inlineStr"/>
      <c r="E101" s="7" t="inlineStr"/>
      <c r="F101" s="8" t="inlineStr">
        <is>
          <t>COND. JARDIM MARQUESA DE SANTOS</t>
        </is>
      </c>
      <c r="G101" s="8" t="inlineStr">
        <is>
          <t>RUA SAPE 425</t>
        </is>
      </c>
      <c r="H101" s="7" t="inlineStr"/>
      <c r="I101" s="8" t="inlineStr">
        <is>
          <t>2 ABERTURA E FECHAMENTO, 3 FUSÃO , 3 TESTE</t>
        </is>
      </c>
      <c r="J101" s="8" t="inlineStr">
        <is>
          <t>JEFERSON</t>
        </is>
      </c>
      <c r="K101" s="8" t="inlineStr">
        <is>
          <t>JEFERSON</t>
        </is>
      </c>
      <c r="L101" s="9" t="n">
        <v>45119</v>
      </c>
      <c r="M101" s="9" t="n">
        <v>45121</v>
      </c>
      <c r="N101" s="9" t="n">
        <v>45124</v>
      </c>
      <c r="O101" s="9" t="n">
        <v>45124</v>
      </c>
      <c r="P101" s="7" t="inlineStr">
        <is>
          <t>NÃO PRECISA</t>
        </is>
      </c>
      <c r="Q101" s="9" t="n">
        <v>45198</v>
      </c>
      <c r="R101" s="7" t="inlineStr">
        <is>
          <t>Concluído Campo</t>
        </is>
      </c>
      <c r="S101" s="7" t="inlineStr"/>
      <c r="T101" s="10" t="inlineStr"/>
      <c r="U101" s="7" t="inlineStr"/>
      <c r="V101" s="7" t="inlineStr"/>
      <c r="W101" s="7" t="inlineStr"/>
      <c r="X101" s="7" t="inlineStr">
        <is>
          <t>AG. MEDIÇÃO</t>
        </is>
      </c>
      <c r="Y101" s="11">
        <f>IF(AND(L101&lt;&gt;"", S101&lt;&gt;""), S101-L101, IF(L101&lt;&gt;"", TODAY()-L101, ""))</f>
        <v/>
      </c>
      <c r="Z101" s="7">
        <f>IF(Y101="", "", IF(Y101&lt;=3, "NO PRAZO", "ATRASADO"))</f>
        <v/>
      </c>
      <c r="AA101" s="8" t="inlineStr">
        <is>
          <t>100% - OK</t>
        </is>
      </c>
    </row>
    <row r="102" ht="20" customHeight="1">
      <c r="A102" s="7" t="inlineStr">
        <is>
          <t>RSCLER0100</t>
        </is>
      </c>
      <c r="B102" s="8" t="inlineStr">
        <is>
          <t>PORTO ALEGRE</t>
        </is>
      </c>
      <c r="C102" s="7" t="inlineStr">
        <is>
          <t>PDRAHA</t>
        </is>
      </c>
      <c r="D102" s="7" t="inlineStr"/>
      <c r="E102" s="7" t="inlineStr"/>
      <c r="F102" s="8" t="inlineStr">
        <is>
          <t>PLENO HOME LIVING</t>
        </is>
      </c>
      <c r="G102" s="8" t="inlineStr">
        <is>
          <t>AV. ANDARAI, 566</t>
        </is>
      </c>
      <c r="H102" s="7" t="inlineStr"/>
      <c r="I102" s="8" t="inlineStr">
        <is>
          <t>LANÇADO 320 METROS DE CABO 24FO, 5 ABERTURA E FECHAMENTO, 15 FUSÃO/ 1 CX NOVA / 3 TESTE / 2 TESTE COM OTDR/ FIBRA ESTAVA PARADA NO SITE/ 1 DERIVAÇÃO/</t>
        </is>
      </c>
      <c r="J102" s="8" t="inlineStr">
        <is>
          <t>JEFERSON</t>
        </is>
      </c>
      <c r="K102" s="8" t="inlineStr">
        <is>
          <t>JEFERSON</t>
        </is>
      </c>
      <c r="L102" s="9" t="n">
        <v>45110</v>
      </c>
      <c r="M102" s="9" t="n">
        <v>45120</v>
      </c>
      <c r="N102" s="9" t="n">
        <v>45121</v>
      </c>
      <c r="O102" s="9" t="n">
        <v>45121</v>
      </c>
      <c r="P102" s="7" t="inlineStr">
        <is>
          <t>NÃO PRECISA</t>
        </is>
      </c>
      <c r="Q102" s="9" t="n">
        <v>45175</v>
      </c>
      <c r="R102" s="7" t="inlineStr">
        <is>
          <t>Concluído Campo</t>
        </is>
      </c>
      <c r="S102" s="7" t="inlineStr"/>
      <c r="T102" s="10" t="inlineStr"/>
      <c r="U102" s="7" t="inlineStr"/>
      <c r="V102" s="7" t="inlineStr"/>
      <c r="W102" s="7" t="inlineStr"/>
      <c r="X102" s="7" t="inlineStr">
        <is>
          <t>AG. MEDIÇÃO</t>
        </is>
      </c>
      <c r="Y102" s="11">
        <f>IF(AND(L102&lt;&gt;"", S102&lt;&gt;""), S102-L102, IF(L102&lt;&gt;"", TODAY()-L102, ""))</f>
        <v/>
      </c>
      <c r="Z102" s="7">
        <f>IF(Y102="", "", IF(Y102&lt;=3, "NO PRAZO", "ATRASADO"))</f>
        <v/>
      </c>
      <c r="AA102" s="8" t="inlineStr">
        <is>
          <t>100% - OK</t>
        </is>
      </c>
    </row>
    <row r="103" ht="20" customHeight="1">
      <c r="A103" s="7" t="inlineStr">
        <is>
          <t>RSCLER0101</t>
        </is>
      </c>
      <c r="B103" s="8" t="inlineStr">
        <is>
          <t>PORTO ALEGRE</t>
        </is>
      </c>
      <c r="C103" s="7" t="inlineStr">
        <is>
          <t>RBRAKA</t>
        </is>
      </c>
      <c r="D103" s="7" t="inlineStr"/>
      <c r="E103" s="7" t="inlineStr"/>
      <c r="F103" s="8" t="inlineStr">
        <is>
          <t>COND. MANHATTAN</t>
        </is>
      </c>
      <c r="G103" s="8" t="inlineStr">
        <is>
          <t>RUA SANTA CECÍLIA, 2282</t>
        </is>
      </c>
      <c r="H103" s="7" t="inlineStr"/>
      <c r="I103" s="8" t="inlineStr">
        <is>
          <t>LANÇADO 340 MTS DE CABO DE 12FO, 3 ABERTURA E FECHAMENTO, 16 FUSÃO, 1 DERIVAÇÃO, 1 CX NOVA.</t>
        </is>
      </c>
      <c r="J103" s="8" t="inlineStr">
        <is>
          <t>JEFERSON</t>
        </is>
      </c>
      <c r="K103" s="8" t="inlineStr">
        <is>
          <t>JEFERSON</t>
        </is>
      </c>
      <c r="L103" s="9" t="n">
        <v>45154</v>
      </c>
      <c r="M103" s="9" t="n">
        <v>45154</v>
      </c>
      <c r="N103" s="9" t="n">
        <v>45155</v>
      </c>
      <c r="O103" s="9" t="n">
        <v>45155</v>
      </c>
      <c r="P103" s="7" t="inlineStr">
        <is>
          <t>NÃO PRECISA</t>
        </is>
      </c>
      <c r="Q103" s="9" t="n">
        <v>45175</v>
      </c>
      <c r="R103" s="7" t="inlineStr">
        <is>
          <t>Concluído Campo</t>
        </is>
      </c>
      <c r="S103" s="7" t="inlineStr"/>
      <c r="T103" s="10" t="inlineStr"/>
      <c r="U103" s="7" t="inlineStr"/>
      <c r="V103" s="7" t="inlineStr"/>
      <c r="W103" s="7" t="inlineStr"/>
      <c r="X103" s="7" t="inlineStr">
        <is>
          <t>AG. MEDIÇÃO</t>
        </is>
      </c>
      <c r="Y103" s="11">
        <f>IF(AND(L103&lt;&gt;"", S103&lt;&gt;""), S103-L103, IF(L103&lt;&gt;"", TODAY()-L103, ""))</f>
        <v/>
      </c>
      <c r="Z103" s="7">
        <f>IF(Y103="", "", IF(Y103&lt;=3, "NO PRAZO", "ATRASADO"))</f>
        <v/>
      </c>
      <c r="AA103" s="8" t="inlineStr">
        <is>
          <t>100% - OK</t>
        </is>
      </c>
    </row>
    <row r="104" ht="20" customHeight="1">
      <c r="A104" s="7" t="inlineStr">
        <is>
          <t>RSCLER0102</t>
        </is>
      </c>
      <c r="B104" s="8" t="inlineStr">
        <is>
          <t>PORTO ALEGRE</t>
        </is>
      </c>
      <c r="C104" s="7" t="inlineStr">
        <is>
          <t>VNVAB</t>
        </is>
      </c>
      <c r="D104" s="7" t="inlineStr"/>
      <c r="E104" s="7" t="inlineStr"/>
      <c r="F104" s="8" t="inlineStr">
        <is>
          <t>COOP. HABIT GERALDO SANTANA</t>
        </is>
      </c>
      <c r="G104" s="8" t="inlineStr">
        <is>
          <t>RUA JOAQUIM DE CARVALHO, 700</t>
        </is>
      </c>
      <c r="H104" s="7" t="inlineStr"/>
      <c r="I104" s="8" t="inlineStr">
        <is>
          <t>LANÇADO 534 METROS tmb foi repuxado 300 metros de cabo de 72 para fazer a fist para alimentar o mdu foi feito 2 caixas novas 1 fusão 1 teste 1 derivação</t>
        </is>
      </c>
      <c r="J104" s="8" t="inlineStr">
        <is>
          <t>PAULO GASEN</t>
        </is>
      </c>
      <c r="K104" s="8" t="inlineStr">
        <is>
          <t>DIOGO</t>
        </is>
      </c>
      <c r="L104" s="9" t="n">
        <v>45091</v>
      </c>
      <c r="M104" s="9" t="n">
        <v>45103</v>
      </c>
      <c r="N104" s="9" t="n">
        <v>45104</v>
      </c>
      <c r="O104" s="9" t="n">
        <v>45104</v>
      </c>
      <c r="P104" s="7" t="inlineStr">
        <is>
          <t>NÃO PRECISA</t>
        </is>
      </c>
      <c r="Q104" s="9" t="n">
        <v>45168</v>
      </c>
      <c r="R104" s="7" t="inlineStr">
        <is>
          <t>Concluído Campo</t>
        </is>
      </c>
      <c r="S104" s="7" t="inlineStr"/>
      <c r="T104" s="10" t="inlineStr"/>
      <c r="U104" s="7" t="inlineStr"/>
      <c r="V104" s="7" t="inlineStr"/>
      <c r="W104" s="7" t="inlineStr"/>
      <c r="X104" s="7" t="inlineStr">
        <is>
          <t>AG. MEDIÇÃO</t>
        </is>
      </c>
      <c r="Y104" s="11">
        <f>IF(AND(L104&lt;&gt;"", S104&lt;&gt;""), S104-L104, IF(L104&lt;&gt;"", TODAY()-L104, ""))</f>
        <v/>
      </c>
      <c r="Z104" s="7">
        <f>IF(Y104="", "", IF(Y104&lt;=3, "NO PRAZO", "ATRASADO"))</f>
        <v/>
      </c>
      <c r="AA104" s="8" t="inlineStr">
        <is>
          <t>100% - OK</t>
        </is>
      </c>
    </row>
    <row r="105" ht="20" customHeight="1">
      <c r="A105" s="7" t="inlineStr">
        <is>
          <t>RSCLER0103</t>
        </is>
      </c>
      <c r="B105" s="8" t="inlineStr">
        <is>
          <t>CANOAS</t>
        </is>
      </c>
      <c r="C105" s="7" t="inlineStr">
        <is>
          <t>MRD23A</t>
        </is>
      </c>
      <c r="D105" s="7" t="inlineStr"/>
      <c r="E105" s="7" t="inlineStr"/>
      <c r="F105" s="8" t="inlineStr">
        <is>
          <t>Cond Vida Viva Canoas</t>
        </is>
      </c>
      <c r="G105" s="8" t="inlineStr">
        <is>
          <t>Av Dr Sezefredo Azambuja Vieira 2277</t>
        </is>
      </c>
      <c r="H105" s="7" t="inlineStr"/>
      <c r="I105" s="8" t="inlineStr">
        <is>
          <t>foi lançado um cabo de 12 ,lançado 650 metros de cabo ,tmb foi lancado 78 metros de cordoalha cobrar da claro ,4 abertura e fechamento foram aberta mrdaa.m010,mrd23,mrd01.m020  foram feito 24 fusão porq todas as caixas que foram aberta estava sem fusão  foi feito uma caixa nova tmb e e 7 teste 1 com otdr</t>
        </is>
      </c>
      <c r="J105" s="8" t="inlineStr">
        <is>
          <t>GIOVANE</t>
        </is>
      </c>
      <c r="K105" s="8" t="inlineStr">
        <is>
          <t>GIOVANE</t>
        </is>
      </c>
      <c r="L105" s="9" t="n">
        <v>45127</v>
      </c>
      <c r="M105" s="9" t="n">
        <v>45148</v>
      </c>
      <c r="N105" s="9" t="n">
        <v>45148</v>
      </c>
      <c r="O105" s="9" t="n">
        <v>45160</v>
      </c>
      <c r="P105" s="7" t="inlineStr">
        <is>
          <t>NÃO PRECISA</t>
        </is>
      </c>
      <c r="Q105" s="9" t="n">
        <v>45175</v>
      </c>
      <c r="R105" s="7" t="inlineStr">
        <is>
          <t>Concluído Campo</t>
        </is>
      </c>
      <c r="S105" s="7" t="inlineStr"/>
      <c r="T105" s="10" t="inlineStr"/>
      <c r="U105" s="7" t="inlineStr"/>
      <c r="V105" s="7" t="inlineStr"/>
      <c r="W105" s="7" t="inlineStr"/>
      <c r="X105" s="7" t="inlineStr">
        <is>
          <t>AG. MEDIÇÃO</t>
        </is>
      </c>
      <c r="Y105" s="11">
        <f>IF(AND(L105&lt;&gt;"", S105&lt;&gt;""), S105-L105, IF(L105&lt;&gt;"", TODAY()-L105, ""))</f>
        <v/>
      </c>
      <c r="Z105" s="7">
        <f>IF(Y105="", "", IF(Y105&lt;=3, "NO PRAZO", "ATRASADO"))</f>
        <v/>
      </c>
      <c r="AA105" s="8" t="inlineStr">
        <is>
          <t>100% - OK</t>
        </is>
      </c>
    </row>
    <row r="106" ht="20" customHeight="1">
      <c r="A106" s="7" t="inlineStr">
        <is>
          <t>RSCLER0104</t>
        </is>
      </c>
      <c r="B106" s="8" t="inlineStr">
        <is>
          <t>PORTO ALEGRE</t>
        </is>
      </c>
      <c r="C106" s="7" t="inlineStr">
        <is>
          <t>TRLAA</t>
        </is>
      </c>
      <c r="D106" s="7" t="inlineStr"/>
      <c r="E106" s="7" t="inlineStr"/>
      <c r="F106" s="8" t="inlineStr">
        <is>
          <t>APÓSTOLOS, 403 PARTE 1</t>
        </is>
      </c>
      <c r="G106" s="8" t="inlineStr">
        <is>
          <t>Rua dos Apóstolos 403 PARTE 1</t>
        </is>
      </c>
      <c r="H106" s="7" t="inlineStr"/>
      <c r="I106" s="8" t="inlineStr">
        <is>
          <t>LANÇADO 902 METROS DE CABO DE 12FO ESPINADO, 6 ABERTURA E FECHAMENTO, 3 DERIVAÇÃO, 6 FUSÃO , 1 CX NOVA E 1 TESTE</t>
        </is>
      </c>
      <c r="J106" s="8" t="inlineStr"/>
      <c r="K106" s="8" t="inlineStr">
        <is>
          <t>JEFERSON</t>
        </is>
      </c>
      <c r="L106" s="7" t="inlineStr"/>
      <c r="M106" s="9" t="n">
        <v>45178</v>
      </c>
      <c r="N106" s="9" t="n">
        <v>45178</v>
      </c>
      <c r="O106" s="9" t="n">
        <v>45178</v>
      </c>
      <c r="P106" s="7" t="inlineStr">
        <is>
          <t>NÃO PRECISA</t>
        </is>
      </c>
      <c r="Q106" s="9" t="n">
        <v>45184</v>
      </c>
      <c r="R106" s="7" t="inlineStr">
        <is>
          <t>Concluído Campo</t>
        </is>
      </c>
      <c r="S106" s="7" t="inlineStr"/>
      <c r="T106" s="10" t="inlineStr"/>
      <c r="U106" s="7" t="inlineStr"/>
      <c r="V106" s="7" t="inlineStr"/>
      <c r="W106" s="7" t="inlineStr"/>
      <c r="X106" s="7" t="inlineStr">
        <is>
          <t>AG. MEDIÇÃO</t>
        </is>
      </c>
      <c r="Y106" s="11">
        <f>IF(AND(L106&lt;&gt;"", S106&lt;&gt;""), S106-L106, IF(L106&lt;&gt;"", TODAY()-L106, ""))</f>
        <v/>
      </c>
      <c r="Z106" s="7">
        <f>IF(Y106="", "", IF(Y106&lt;=3, "NO PRAZO", "ATRASADO"))</f>
        <v/>
      </c>
      <c r="AA106" s="8" t="inlineStr">
        <is>
          <t>100% - OK</t>
        </is>
      </c>
    </row>
    <row r="107" ht="20" customHeight="1">
      <c r="A107" s="7" t="inlineStr">
        <is>
          <t>RSCLER0105</t>
        </is>
      </c>
      <c r="B107" s="8" t="inlineStr">
        <is>
          <t>PORTO ALEGRE</t>
        </is>
      </c>
      <c r="C107" s="7" t="inlineStr">
        <is>
          <t>AZNAH</t>
        </is>
      </c>
      <c r="D107" s="7" t="inlineStr"/>
      <c r="E107" s="7" t="inlineStr"/>
      <c r="F107" s="8" t="inlineStr">
        <is>
          <t>ED. GREENWICH</t>
        </is>
      </c>
      <c r="G107" s="8" t="inlineStr">
        <is>
          <t>AV. ERICO VERISSIMO, 595</t>
        </is>
      </c>
      <c r="H107" s="7" t="inlineStr"/>
      <c r="I107" s="8" t="inlineStr">
        <is>
          <t>OBS FOI FEITA  5 ABERTURA E FECHAMENTO , 5 FUSÃO  , 5 TESTE  1 CX NOVA,72 MTS DE CABO DE 12FO ESPINADO</t>
        </is>
      </c>
      <c r="J107" s="8" t="inlineStr">
        <is>
          <t>JORGE MATHUES</t>
        </is>
      </c>
      <c r="K107" s="8" t="inlineStr">
        <is>
          <t>DIOGO</t>
        </is>
      </c>
      <c r="L107" s="9" t="n">
        <v>45092</v>
      </c>
      <c r="M107" s="9" t="n">
        <v>45123</v>
      </c>
      <c r="N107" s="9" t="n">
        <v>45162</v>
      </c>
      <c r="O107" s="9" t="n">
        <v>45166</v>
      </c>
      <c r="P107" s="7" t="inlineStr">
        <is>
          <t>NÃO PRECISA</t>
        </is>
      </c>
      <c r="Q107" s="9" t="n">
        <v>45203</v>
      </c>
      <c r="R107" s="7" t="inlineStr">
        <is>
          <t>Concluído Campo</t>
        </is>
      </c>
      <c r="S107" s="7" t="inlineStr"/>
      <c r="T107" s="10" t="inlineStr"/>
      <c r="U107" s="7" t="inlineStr"/>
      <c r="V107" s="7" t="inlineStr"/>
      <c r="W107" s="7" t="inlineStr"/>
      <c r="X107" s="7" t="inlineStr">
        <is>
          <t>AG. MEDIÇÃO</t>
        </is>
      </c>
      <c r="Y107" s="11">
        <f>IF(AND(L107&lt;&gt;"", S107&lt;&gt;""), S107-L107, IF(L107&lt;&gt;"", TODAY()-L107, ""))</f>
        <v/>
      </c>
      <c r="Z107" s="7">
        <f>IF(Y107="", "", IF(Y107&lt;=3, "NO PRAZO", "ATRASADO"))</f>
        <v/>
      </c>
      <c r="AA107" s="8" t="inlineStr">
        <is>
          <t>100% - OK</t>
        </is>
      </c>
    </row>
    <row r="108" ht="20" customHeight="1">
      <c r="A108" s="7" t="inlineStr">
        <is>
          <t>RSCLER0106</t>
        </is>
      </c>
      <c r="B108" s="8" t="inlineStr">
        <is>
          <t>PORTO ALEGRE</t>
        </is>
      </c>
      <c r="C108" s="7" t="inlineStr">
        <is>
          <t>VNVAEA</t>
        </is>
      </c>
      <c r="D108" s="7" t="inlineStr"/>
      <c r="E108" s="7" t="inlineStr"/>
      <c r="F108" s="8" t="inlineStr">
        <is>
          <t>LOT. CAVALHADA</t>
        </is>
      </c>
      <c r="G108" s="8" t="inlineStr">
        <is>
          <t>R. PÉ-DE-DEUS 81 - 136</t>
        </is>
      </c>
      <c r="H108" s="7" t="inlineStr"/>
      <c r="I108" s="8" t="inlineStr"/>
      <c r="J108" s="8" t="inlineStr">
        <is>
          <t>km</t>
        </is>
      </c>
      <c r="K108" s="8" t="inlineStr"/>
      <c r="L108" s="7" t="inlineStr"/>
      <c r="M108" s="7" t="inlineStr"/>
      <c r="N108" s="7" t="inlineStr"/>
      <c r="O108" s="7" t="inlineStr">
        <is>
          <t>CANCELADO</t>
        </is>
      </c>
      <c r="P108" s="7" t="inlineStr">
        <is>
          <t>Não Precisa</t>
        </is>
      </c>
      <c r="Q108" s="7" t="inlineStr"/>
      <c r="R108" s="7" t="inlineStr">
        <is>
          <t>Cancelado</t>
        </is>
      </c>
      <c r="S108" s="7" t="inlineStr"/>
      <c r="T108" s="10" t="inlineStr"/>
      <c r="U108" s="7" t="inlineStr"/>
      <c r="V108" s="7" t="inlineStr"/>
      <c r="W108" s="7" t="inlineStr"/>
      <c r="X108" s="7" t="inlineStr">
        <is>
          <t>CANCELADO</t>
        </is>
      </c>
      <c r="Y108" s="11">
        <f>IF(AND(L108&lt;&gt;"", S108&lt;&gt;""), S108-L108, IF(L108&lt;&gt;"", TODAY()-L108, ""))</f>
        <v/>
      </c>
      <c r="Z108" s="7">
        <f>IF(Y108="", "", IF(Y108&lt;=3, "NO PRAZO", "ATRASADO"))</f>
        <v/>
      </c>
      <c r="AA108" s="8" t="inlineStr"/>
    </row>
    <row r="109" ht="20" customHeight="1">
      <c r="A109" s="7" t="inlineStr">
        <is>
          <t>RSCLER0107</t>
        </is>
      </c>
      <c r="B109" s="8" t="inlineStr">
        <is>
          <t>PORTO ALEGRE</t>
        </is>
      </c>
      <c r="C109" s="7" t="inlineStr">
        <is>
          <t>PRTANA</t>
        </is>
      </c>
      <c r="D109" s="7" t="inlineStr"/>
      <c r="E109" s="7" t="inlineStr"/>
      <c r="F109" s="8" t="inlineStr">
        <is>
          <t>Tecnopuc(Volters)</t>
        </is>
      </c>
      <c r="G109" s="8" t="inlineStr">
        <is>
          <t>Av. Ipiranga, 6681 - Partenon</t>
        </is>
      </c>
      <c r="H109" s="7" t="inlineStr"/>
      <c r="I109" s="8" t="inlineStr"/>
      <c r="J109" s="8" t="inlineStr"/>
      <c r="K109" s="8" t="inlineStr"/>
      <c r="L109" s="9" t="n">
        <v>45107</v>
      </c>
      <c r="M109" s="7" t="inlineStr"/>
      <c r="N109" s="7" t="inlineStr"/>
      <c r="O109" s="7" t="inlineStr">
        <is>
          <t>CANCELADO</t>
        </is>
      </c>
      <c r="P109" s="7" t="inlineStr">
        <is>
          <t>Não Precisa</t>
        </is>
      </c>
      <c r="Q109" s="7" t="inlineStr"/>
      <c r="R109" s="7" t="inlineStr">
        <is>
          <t>Cancelado</t>
        </is>
      </c>
      <c r="S109" s="7" t="inlineStr"/>
      <c r="T109" s="10" t="inlineStr"/>
      <c r="U109" s="7" t="inlineStr"/>
      <c r="V109" s="7" t="inlineStr"/>
      <c r="W109" s="7" t="inlineStr"/>
      <c r="X109" s="7" t="inlineStr">
        <is>
          <t>CANCELADO</t>
        </is>
      </c>
      <c r="Y109" s="11">
        <f>IF(AND(L109&lt;&gt;"", S109&lt;&gt;""), S109-L109, IF(L109&lt;&gt;"", TODAY()-L109, ""))</f>
        <v/>
      </c>
      <c r="Z109" s="7">
        <f>IF(Y109="", "", IF(Y109&lt;=3, "NO PRAZO", "ATRASADO"))</f>
        <v/>
      </c>
      <c r="AA109" s="8" t="inlineStr"/>
    </row>
    <row r="110" ht="20" customHeight="1">
      <c r="A110" s="7" t="inlineStr">
        <is>
          <t>RSCLER0108</t>
        </is>
      </c>
      <c r="B110" s="8" t="inlineStr">
        <is>
          <t>PORTO ALEGRE</t>
        </is>
      </c>
      <c r="C110" s="7" t="inlineStr"/>
      <c r="D110" s="7" t="inlineStr"/>
      <c r="E110" s="7" t="inlineStr"/>
      <c r="F110" s="8" t="inlineStr">
        <is>
          <t>COND. MONTAIN VILLE</t>
        </is>
      </c>
      <c r="G110" s="8" t="inlineStr">
        <is>
          <t>AVENIDA EDIGAR PIRES DE CASTRO, 540</t>
        </is>
      </c>
      <c r="H110" s="7" t="inlineStr"/>
      <c r="I110" s="8" t="inlineStr"/>
      <c r="J110" s="8" t="inlineStr"/>
      <c r="K110" s="8" t="inlineStr"/>
      <c r="L110" s="9" t="n">
        <v>44928</v>
      </c>
      <c r="M110" s="9" t="n">
        <v>44928</v>
      </c>
      <c r="N110" s="9" t="n">
        <v>44935</v>
      </c>
      <c r="O110" s="7" t="inlineStr">
        <is>
          <t>CANCELADO</t>
        </is>
      </c>
      <c r="P110" s="7" t="inlineStr">
        <is>
          <t>Não Precisa</t>
        </is>
      </c>
      <c r="Q110" s="7" t="inlineStr"/>
      <c r="R110" s="7" t="inlineStr">
        <is>
          <t>Cancelado</t>
        </is>
      </c>
      <c r="S110" s="7" t="inlineStr"/>
      <c r="T110" s="10" t="inlineStr"/>
      <c r="U110" s="7" t="inlineStr"/>
      <c r="V110" s="7" t="inlineStr"/>
      <c r="W110" s="7" t="inlineStr"/>
      <c r="X110" s="7" t="inlineStr">
        <is>
          <t>CANCELADO</t>
        </is>
      </c>
      <c r="Y110" s="11">
        <f>IF(AND(L110&lt;&gt;"", S110&lt;&gt;""), S110-L110, IF(L110&lt;&gt;"", TODAY()-L110, ""))</f>
        <v/>
      </c>
      <c r="Z110" s="7">
        <f>IF(Y110="", "", IF(Y110&lt;=3, "NO PRAZO", "ATRASADO"))</f>
        <v/>
      </c>
      <c r="AA110" s="8" t="inlineStr">
        <is>
          <t>SEM AUTORIZAÇÃO DE ACESSO</t>
        </is>
      </c>
    </row>
    <row r="111" ht="20" customHeight="1">
      <c r="A111" s="7" t="inlineStr">
        <is>
          <t>RSCLER0109</t>
        </is>
      </c>
      <c r="B111" s="8" t="inlineStr">
        <is>
          <t>PORTO ALEGRE</t>
        </is>
      </c>
      <c r="C111" s="7" t="inlineStr">
        <is>
          <t>SRDAPA</t>
        </is>
      </c>
      <c r="D111" s="7" t="inlineStr"/>
      <c r="E111" s="7" t="inlineStr"/>
      <c r="F111" s="8" t="inlineStr">
        <is>
          <t>COND. RESERVA DO TAIM</t>
        </is>
      </c>
      <c r="G111" s="8" t="inlineStr">
        <is>
          <t>AVENIDA ECOVILLE, 190</t>
        </is>
      </c>
      <c r="H111" s="7" t="inlineStr"/>
      <c r="I111" s="8" t="inlineStr">
        <is>
          <t>EXECUTADO POR OUTRA EMPRETEIRA</t>
        </is>
      </c>
      <c r="J111" s="8" t="inlineStr">
        <is>
          <t>PARALISADO</t>
        </is>
      </c>
      <c r="K111" s="8" t="inlineStr">
        <is>
          <t>EM ANDAMENTO</t>
        </is>
      </c>
      <c r="L111" s="9" t="n">
        <v>44974</v>
      </c>
      <c r="M111" s="9" t="n">
        <v>44995</v>
      </c>
      <c r="N111" s="9" t="n">
        <v>45016</v>
      </c>
      <c r="O111" s="7" t="inlineStr">
        <is>
          <t>CANCELADO</t>
        </is>
      </c>
      <c r="P111" s="7" t="inlineStr">
        <is>
          <t>Não Precisa</t>
        </is>
      </c>
      <c r="Q111" s="7" t="inlineStr"/>
      <c r="R111" s="7" t="inlineStr">
        <is>
          <t>Cancelado</t>
        </is>
      </c>
      <c r="S111" s="7" t="inlineStr"/>
      <c r="T111" s="10" t="inlineStr"/>
      <c r="U111" s="7" t="inlineStr"/>
      <c r="V111" s="7" t="inlineStr"/>
      <c r="W111" s="7" t="inlineStr"/>
      <c r="X111" s="7" t="inlineStr">
        <is>
          <t>CANCELADO</t>
        </is>
      </c>
      <c r="Y111" s="11">
        <f>IF(AND(L111&lt;&gt;"", S111&lt;&gt;""), S111-L111, IF(L111&lt;&gt;"", TODAY()-L111, ""))</f>
        <v/>
      </c>
      <c r="Z111" s="7">
        <f>IF(Y111="", "", IF(Y111&lt;=3, "NO PRAZO", "ATRASADO"))</f>
        <v/>
      </c>
      <c r="AA111" s="8" t="inlineStr">
        <is>
          <t>100% - OK</t>
        </is>
      </c>
    </row>
    <row r="112" ht="20" customHeight="1">
      <c r="A112" s="7" t="inlineStr">
        <is>
          <t>RSCLER0110</t>
        </is>
      </c>
      <c r="B112" s="8" t="inlineStr">
        <is>
          <t>PORTO ALEGRE</t>
        </is>
      </c>
      <c r="C112" s="7" t="inlineStr">
        <is>
          <t>VNVAC</t>
        </is>
      </c>
      <c r="D112" s="7" t="inlineStr"/>
      <c r="E112" s="7" t="inlineStr"/>
      <c r="F112" s="8" t="inlineStr">
        <is>
          <t>COND. EUROVILLE</t>
        </is>
      </c>
      <c r="G112" s="8" t="inlineStr">
        <is>
          <t>AVENIDA JOÃO SALOMANI, 500</t>
        </is>
      </c>
      <c r="H112" s="7" t="inlineStr"/>
      <c r="I112" s="8" t="inlineStr"/>
      <c r="J112" s="8" t="inlineStr"/>
      <c r="K112" s="8" t="inlineStr"/>
      <c r="L112" s="9" t="n">
        <v>44979</v>
      </c>
      <c r="M112" s="9" t="n">
        <v>44998</v>
      </c>
      <c r="N112" s="9" t="n">
        <v>45005</v>
      </c>
      <c r="O112" s="7" t="inlineStr">
        <is>
          <t>CANCELADO</t>
        </is>
      </c>
      <c r="P112" s="7" t="inlineStr">
        <is>
          <t>Não Precisa</t>
        </is>
      </c>
      <c r="Q112" s="7" t="inlineStr"/>
      <c r="R112" s="7" t="inlineStr">
        <is>
          <t>Cancelado</t>
        </is>
      </c>
      <c r="S112" s="7" t="inlineStr"/>
      <c r="T112" s="10" t="inlineStr"/>
      <c r="U112" s="7" t="inlineStr"/>
      <c r="V112" s="7" t="inlineStr"/>
      <c r="W112" s="7" t="inlineStr"/>
      <c r="X112" s="7" t="inlineStr">
        <is>
          <t>CANCELADO</t>
        </is>
      </c>
      <c r="Y112" s="11">
        <f>IF(AND(L112&lt;&gt;"", S112&lt;&gt;""), S112-L112, IF(L112&lt;&gt;"", TODAY()-L112, ""))</f>
        <v/>
      </c>
      <c r="Z112" s="7">
        <f>IF(Y112="", "", IF(Y112&lt;=3, "NO PRAZO", "ATRASADO"))</f>
        <v/>
      </c>
      <c r="AA112" s="8" t="inlineStr">
        <is>
          <t>SEM AUTORIZAÇÃO DE ACESSO</t>
        </is>
      </c>
    </row>
    <row r="113" ht="20" customHeight="1">
      <c r="A113" s="7" t="inlineStr">
        <is>
          <t>RSCLER0111</t>
        </is>
      </c>
      <c r="B113" s="8" t="inlineStr">
        <is>
          <t>PORTO ALEGRE</t>
        </is>
      </c>
      <c r="C113" s="7" t="inlineStr">
        <is>
          <t>SANAB</t>
        </is>
      </c>
      <c r="D113" s="7" t="inlineStr"/>
      <c r="E113" s="7" t="inlineStr"/>
      <c r="F113" s="8" t="inlineStr">
        <is>
          <t>MASTER GERIATRIA</t>
        </is>
      </c>
      <c r="G113" s="8" t="inlineStr">
        <is>
          <t>RUA SÃO LUIS, 640</t>
        </is>
      </c>
      <c r="H113" s="7" t="inlineStr"/>
      <c r="I113" s="8" t="inlineStr"/>
      <c r="J113" s="8" t="inlineStr"/>
      <c r="K113" s="8" t="inlineStr"/>
      <c r="L113" s="9" t="n">
        <v>45000</v>
      </c>
      <c r="M113" s="9" t="n">
        <v>45001</v>
      </c>
      <c r="N113" s="9" t="n">
        <v>45010</v>
      </c>
      <c r="O113" s="7" t="inlineStr">
        <is>
          <t>CANCELADO</t>
        </is>
      </c>
      <c r="P113" s="7" t="inlineStr">
        <is>
          <t>Não Precisa</t>
        </is>
      </c>
      <c r="Q113" s="7" t="inlineStr"/>
      <c r="R113" s="7" t="inlineStr">
        <is>
          <t>Cancelado</t>
        </is>
      </c>
      <c r="S113" s="7" t="inlineStr"/>
      <c r="T113" s="10" t="inlineStr"/>
      <c r="U113" s="7" t="inlineStr"/>
      <c r="V113" s="7" t="inlineStr"/>
      <c r="W113" s="7" t="inlineStr"/>
      <c r="X113" s="7" t="inlineStr">
        <is>
          <t>CANCELADO</t>
        </is>
      </c>
      <c r="Y113" s="11">
        <f>IF(AND(L113&lt;&gt;"", S113&lt;&gt;""), S113-L113, IF(L113&lt;&gt;"", TODAY()-L113, ""))</f>
        <v/>
      </c>
      <c r="Z113" s="7">
        <f>IF(Y113="", "", IF(Y113&lt;=3, "NO PRAZO", "ATRASADO"))</f>
        <v/>
      </c>
      <c r="AA113" s="8" t="inlineStr"/>
    </row>
    <row r="114" ht="20" customHeight="1">
      <c r="A114" s="7" t="inlineStr">
        <is>
          <t>RSCLER0112</t>
        </is>
      </c>
      <c r="B114" s="8" t="inlineStr">
        <is>
          <t>PORTO ALEGRE</t>
        </is>
      </c>
      <c r="C114" s="7" t="inlineStr">
        <is>
          <t>VIPAF</t>
        </is>
      </c>
      <c r="D114" s="7" t="inlineStr"/>
      <c r="E114" s="7" t="inlineStr"/>
      <c r="F114" s="8" t="inlineStr">
        <is>
          <t>COND. JARDIM MARQUESA DOS SANTOS</t>
        </is>
      </c>
      <c r="G114" s="8" t="inlineStr">
        <is>
          <t>Gaston Englert 655 a 785</t>
        </is>
      </c>
      <c r="H114" s="7" t="inlineStr"/>
      <c r="I114" s="8" t="inlineStr">
        <is>
          <t>lançado 249 metros de cabo de 24 fo foram feitos 5 abertura e fechamentos,12 fusão 1 caixa nova  1 derivação  e 3 testes ,obs fibra tava parado no site por isto teve 5 abertura</t>
        </is>
      </c>
      <c r="J114" s="8" t="inlineStr">
        <is>
          <t>JEFERSON</t>
        </is>
      </c>
      <c r="K114" s="8" t="inlineStr">
        <is>
          <t>JEFERSON</t>
        </is>
      </c>
      <c r="L114" s="9" t="n">
        <v>45120</v>
      </c>
      <c r="M114" s="9" t="n">
        <v>45121</v>
      </c>
      <c r="N114" s="9" t="n">
        <v>45124</v>
      </c>
      <c r="O114" s="9" t="n">
        <v>45124</v>
      </c>
      <c r="P114" s="7" t="inlineStr">
        <is>
          <t>NÃO PRECISA</t>
        </is>
      </c>
      <c r="Q114" s="9" t="n">
        <v>45175</v>
      </c>
      <c r="R114" s="7" t="inlineStr">
        <is>
          <t>Concluído Campo</t>
        </is>
      </c>
      <c r="S114" s="7" t="inlineStr"/>
      <c r="T114" s="10" t="inlineStr"/>
      <c r="U114" s="7" t="inlineStr"/>
      <c r="V114" s="7" t="inlineStr"/>
      <c r="W114" s="7" t="inlineStr"/>
      <c r="X114" s="7" t="inlineStr">
        <is>
          <t>AG. MEDIÇÃO</t>
        </is>
      </c>
      <c r="Y114" s="11">
        <f>IF(AND(L114&lt;&gt;"", S114&lt;&gt;""), S114-L114, IF(L114&lt;&gt;"", TODAY()-L114, ""))</f>
        <v/>
      </c>
      <c r="Z114" s="7">
        <f>IF(Y114="", "", IF(Y114&lt;=3, "NO PRAZO", "ATRASADO"))</f>
        <v/>
      </c>
      <c r="AA114" s="8" t="inlineStr">
        <is>
          <t>100% - OK</t>
        </is>
      </c>
    </row>
    <row r="115" ht="20" customHeight="1">
      <c r="A115" s="7" t="inlineStr">
        <is>
          <t>RSCLER0113</t>
        </is>
      </c>
      <c r="B115" s="8" t="inlineStr">
        <is>
          <t>PORTO ALEGRE</t>
        </is>
      </c>
      <c r="C115" s="7" t="inlineStr">
        <is>
          <t>MSTAFB</t>
        </is>
      </c>
      <c r="D115" s="7" t="inlineStr"/>
      <c r="E115" s="7" t="inlineStr"/>
      <c r="F115" s="8" t="inlineStr">
        <is>
          <t>COND. ED. RESID MAIS ALTO PETRÓPOLIS</t>
        </is>
      </c>
      <c r="G115" s="8" t="inlineStr">
        <is>
          <t>AV. GERMANO SCMARCZEK, 100 - MORRO SANTANA</t>
        </is>
      </c>
      <c r="H115" s="7" t="inlineStr"/>
      <c r="I115" s="8" t="inlineStr">
        <is>
          <t>FOI LANÇADO 329 METROS DE CABO DE 12FO, 1 CX NOVA, 3 ABERTURA E FECHAMENTO, 12 FUSÃO, 4 TESTE, 1 DERIVAÇÃO.</t>
        </is>
      </c>
      <c r="J115" s="8" t="inlineStr">
        <is>
          <t>JORGE MATEUS</t>
        </is>
      </c>
      <c r="K115" s="8" t="inlineStr">
        <is>
          <t>DIOGO</t>
        </is>
      </c>
      <c r="L115" s="9" t="n">
        <v>45155</v>
      </c>
      <c r="M115" s="9" t="n">
        <v>45187</v>
      </c>
      <c r="N115" s="9" t="n">
        <v>45194</v>
      </c>
      <c r="O115" s="9" t="n">
        <v>45194</v>
      </c>
      <c r="P115" s="7" t="inlineStr">
        <is>
          <t>NÃO PRECISA</t>
        </is>
      </c>
      <c r="Q115" s="9" t="n">
        <v>45203</v>
      </c>
      <c r="R115" s="7" t="inlineStr">
        <is>
          <t>Concluído Campo</t>
        </is>
      </c>
      <c r="S115" s="7" t="inlineStr"/>
      <c r="T115" s="10" t="inlineStr"/>
      <c r="U115" s="7" t="inlineStr"/>
      <c r="V115" s="7" t="inlineStr"/>
      <c r="W115" s="7" t="inlineStr"/>
      <c r="X115" s="7" t="inlineStr">
        <is>
          <t>AG. MEDIÇÃO</t>
        </is>
      </c>
      <c r="Y115" s="11">
        <f>IF(AND(L115&lt;&gt;"", S115&lt;&gt;""), S115-L115, IF(L115&lt;&gt;"", TODAY()-L115, ""))</f>
        <v/>
      </c>
      <c r="Z115" s="7">
        <f>IF(Y115="", "", IF(Y115&lt;=3, "NO PRAZO", "ATRASADO"))</f>
        <v/>
      </c>
      <c r="AA115" s="8" t="inlineStr">
        <is>
          <t>100% - OK</t>
        </is>
      </c>
    </row>
    <row r="116" ht="20" customHeight="1">
      <c r="A116" s="7" t="inlineStr">
        <is>
          <t>RSCLER0114</t>
        </is>
      </c>
      <c r="B116" s="8" t="inlineStr">
        <is>
          <t>PORTO ALEGRE</t>
        </is>
      </c>
      <c r="C116" s="7" t="inlineStr">
        <is>
          <t>MTSAA</t>
        </is>
      </c>
      <c r="D116" s="7" t="inlineStr"/>
      <c r="E116" s="7" t="inlineStr"/>
      <c r="F116" s="8" t="inlineStr">
        <is>
          <t>COND. THE ARCH</t>
        </is>
      </c>
      <c r="G116" s="8" t="inlineStr">
        <is>
          <t>RUA JARDIM SILVA, 785</t>
        </is>
      </c>
      <c r="H116" s="7" t="inlineStr"/>
      <c r="I116" s="8" t="inlineStr">
        <is>
          <t>273 MTS DE CABO DE 12FO ESPINADO / 1 CX NOVA , 3 ABERTURA E FECHAMENTO , 2 DERIVAÇÃO , 4 FUSÃO. OBS: ESSE MDU TEVE ALTERAÇÃO NO PROJETO UNIFILAR, FOI FEITO 2 VEZES, TEVE ALTERAÇÕA DE FIBRA NOVAMENTO</t>
        </is>
      </c>
      <c r="J116" s="8" t="inlineStr">
        <is>
          <t>JORGE MATHEUS</t>
        </is>
      </c>
      <c r="K116" s="8" t="inlineStr">
        <is>
          <t>VINICIUS/ DIOGO/ JEFFERSON</t>
        </is>
      </c>
      <c r="L116" s="9" t="n">
        <v>45166</v>
      </c>
      <c r="M116" s="9" t="n">
        <v>45168</v>
      </c>
      <c r="N116" s="9" t="n">
        <v>45209</v>
      </c>
      <c r="O116" s="9" t="n">
        <v>45210</v>
      </c>
      <c r="P116" s="7" t="inlineStr">
        <is>
          <t>NÃO PRECISA</t>
        </is>
      </c>
      <c r="Q116" s="9" t="n">
        <v>45184</v>
      </c>
      <c r="R116" s="7" t="inlineStr">
        <is>
          <t>Concluído Campo</t>
        </is>
      </c>
      <c r="S116" s="7" t="inlineStr"/>
      <c r="T116" s="10" t="inlineStr"/>
      <c r="U116" s="7" t="inlineStr"/>
      <c r="V116" s="7" t="inlineStr"/>
      <c r="W116" s="7" t="inlineStr"/>
      <c r="X116" s="7" t="inlineStr">
        <is>
          <t>AG. MEDIÇÃO</t>
        </is>
      </c>
      <c r="Y116" s="11">
        <f>IF(AND(L116&lt;&gt;"", S116&lt;&gt;""), S116-L116, IF(L116&lt;&gt;"", TODAY()-L116, ""))</f>
        <v/>
      </c>
      <c r="Z116" s="7">
        <f>IF(Y116="", "", IF(Y116&lt;=3, "NO PRAZO", "ATRASADO"))</f>
        <v/>
      </c>
      <c r="AA116" s="8" t="inlineStr">
        <is>
          <t>100% - OK</t>
        </is>
      </c>
    </row>
    <row r="117" ht="20" customHeight="1">
      <c r="A117" s="7" t="inlineStr">
        <is>
          <t>RSCLER0115</t>
        </is>
      </c>
      <c r="B117" s="8" t="inlineStr">
        <is>
          <t>PORTO ALEGRE</t>
        </is>
      </c>
      <c r="C117" s="7" t="inlineStr">
        <is>
          <t>VIPAA</t>
        </is>
      </c>
      <c r="D117" s="7" t="inlineStr"/>
      <c r="E117" s="7" t="inlineStr"/>
      <c r="F117" s="8" t="inlineStr">
        <is>
          <t>The Highlands</t>
        </is>
      </c>
      <c r="G117" s="8" t="inlineStr">
        <is>
          <t>Av. Eng Ary de Abreu Lima 500,</t>
        </is>
      </c>
      <c r="H117" s="7" t="inlineStr"/>
      <c r="I117" s="8" t="inlineStr">
        <is>
          <t>3 ABERTURA  E FECHAMENTO, 3 FUSÃO, 2 CX NOVA, 1 TESTE, LANÇADO 374 METROS DE CABO DE 12FO</t>
        </is>
      </c>
      <c r="J117" s="8" t="inlineStr">
        <is>
          <t>JORGE MATHEUS/ ALAN GOMES</t>
        </is>
      </c>
      <c r="K117" s="8" t="inlineStr">
        <is>
          <t>MARCOS EMILIANO</t>
        </is>
      </c>
      <c r="L117" s="9" t="n">
        <v>45166</v>
      </c>
      <c r="M117" s="9" t="n">
        <v>45169</v>
      </c>
      <c r="N117" s="9" t="n">
        <v>45183</v>
      </c>
      <c r="O117" s="9" t="n">
        <v>45183</v>
      </c>
      <c r="P117" s="7" t="inlineStr">
        <is>
          <t>NÃO PRECISA</t>
        </is>
      </c>
      <c r="Q117" s="9" t="n">
        <v>45223</v>
      </c>
      <c r="R117" s="7" t="inlineStr">
        <is>
          <t>Concluído Campo</t>
        </is>
      </c>
      <c r="S117" s="7" t="inlineStr"/>
      <c r="T117" s="10" t="inlineStr"/>
      <c r="U117" s="7" t="inlineStr"/>
      <c r="V117" s="7" t="inlineStr"/>
      <c r="W117" s="7" t="inlineStr"/>
      <c r="X117" s="7" t="inlineStr">
        <is>
          <t>AG. MEDIÇÃO</t>
        </is>
      </c>
      <c r="Y117" s="11">
        <f>IF(AND(L117&lt;&gt;"", S117&lt;&gt;""), S117-L117, IF(L117&lt;&gt;"", TODAY()-L117, ""))</f>
        <v/>
      </c>
      <c r="Z117" s="7">
        <f>IF(Y117="", "", IF(Y117&lt;=3, "NO PRAZO", "ATRASADO"))</f>
        <v/>
      </c>
      <c r="AA117" s="8" t="inlineStr">
        <is>
          <t>100% - OK</t>
        </is>
      </c>
    </row>
    <row r="118" ht="20" customHeight="1">
      <c r="A118" s="7" t="inlineStr">
        <is>
          <t>RSCLER0116</t>
        </is>
      </c>
      <c r="B118" s="8" t="inlineStr">
        <is>
          <t>PORTO ALEGRE</t>
        </is>
      </c>
      <c r="C118" s="7" t="inlineStr">
        <is>
          <t>SPEADA</t>
        </is>
      </c>
      <c r="D118" s="7" t="inlineStr"/>
      <c r="E118" s="7" t="inlineStr"/>
      <c r="F118" s="8" t="inlineStr">
        <is>
          <t>COND. THE AMBASSADOR</t>
        </is>
      </c>
      <c r="G118" s="8" t="inlineStr">
        <is>
          <t>R ALBERTO SILVA 355</t>
        </is>
      </c>
      <c r="H118" s="7" t="inlineStr"/>
      <c r="I118" s="8" t="inlineStr">
        <is>
          <t>NÃO TEVE LANÇAMENTO ,FOI 2 ABERTURA E FECHAMENTO 3 FUSÃO , 3 TETES</t>
        </is>
      </c>
      <c r="J118" s="8" t="inlineStr"/>
      <c r="K118" s="8" t="inlineStr">
        <is>
          <t>LUCAS HOBERT</t>
        </is>
      </c>
      <c r="L118" s="9" t="n">
        <v>45167</v>
      </c>
      <c r="M118" s="9" t="n">
        <v>45169</v>
      </c>
      <c r="N118" s="9" t="n">
        <v>45169</v>
      </c>
      <c r="O118" s="7" t="inlineStr">
        <is>
          <t>31/09/2023</t>
        </is>
      </c>
      <c r="P118" s="7" t="inlineStr">
        <is>
          <t>NÃO PRECISA</t>
        </is>
      </c>
      <c r="Q118" s="9" t="n">
        <v>45184</v>
      </c>
      <c r="R118" s="7" t="inlineStr">
        <is>
          <t>Concluído Campo</t>
        </is>
      </c>
      <c r="S118" s="7" t="inlineStr"/>
      <c r="T118" s="10" t="inlineStr"/>
      <c r="U118" s="7" t="inlineStr"/>
      <c r="V118" s="7" t="inlineStr"/>
      <c r="W118" s="7" t="inlineStr"/>
      <c r="X118" s="7" t="inlineStr">
        <is>
          <t>AG. MEDIÇÃO</t>
        </is>
      </c>
      <c r="Y118" s="11">
        <f>IF(AND(L118&lt;&gt;"", S118&lt;&gt;""), S118-L118, IF(L118&lt;&gt;"", TODAY()-L118, ""))</f>
        <v/>
      </c>
      <c r="Z118" s="7">
        <f>IF(Y118="", "", IF(Y118&lt;=3, "NO PRAZO", "ATRASADO"))</f>
        <v/>
      </c>
      <c r="AA118" s="8" t="inlineStr">
        <is>
          <t>100% - OK</t>
        </is>
      </c>
    </row>
    <row r="119" ht="20" customHeight="1">
      <c r="A119" s="7" t="inlineStr">
        <is>
          <t>RSCLER0117</t>
        </is>
      </c>
      <c r="B119" s="8" t="inlineStr">
        <is>
          <t>PORTO ALEGRE</t>
        </is>
      </c>
      <c r="C119" s="7" t="inlineStr">
        <is>
          <t>BVSAB</t>
        </is>
      </c>
      <c r="D119" s="7" t="inlineStr"/>
      <c r="E119" s="7" t="inlineStr"/>
      <c r="F119" s="8" t="inlineStr">
        <is>
          <t>COND. SUPREME</t>
        </is>
      </c>
      <c r="G119" s="8" t="inlineStr">
        <is>
          <t>RUA GRACILIANO RAMOS, 501</t>
        </is>
      </c>
      <c r="H119" s="7" t="inlineStr"/>
      <c r="I119" s="8" t="inlineStr">
        <is>
          <t>OBS ESTAVA ERRADO O PROJETO  ,VEIO ATUALIZAÇAÕ DIA 04/09 316 MTS DE CABO 12FO ESPINADO, 6 FUSÃO , 3 ABERTURA E FECHAMENTO/ 150 METROS DE CABO DE 12FO ESPINADO /8 ABERTURA E FECHAMENTO / 27 FUSÃO / 1 DERIVAÇÃO / 2 CX NOVA, FOI REPULXADO 312 METROS DE CABO DE 12FO</t>
        </is>
      </c>
      <c r="J119" s="8" t="inlineStr">
        <is>
          <t>JORGE MATHEUS</t>
        </is>
      </c>
      <c r="K119" s="8" t="inlineStr">
        <is>
          <t>VINICIUS/ JEFERSON</t>
        </is>
      </c>
      <c r="L119" s="9" t="n">
        <v>45167</v>
      </c>
      <c r="M119" s="9" t="n">
        <v>45169</v>
      </c>
      <c r="N119" s="9" t="n">
        <v>45183</v>
      </c>
      <c r="O119" s="9" t="n">
        <v>45183</v>
      </c>
      <c r="P119" s="7" t="inlineStr">
        <is>
          <t>NÃO PRECISA</t>
        </is>
      </c>
      <c r="Q119" s="9" t="n">
        <v>45184</v>
      </c>
      <c r="R119" s="7" t="inlineStr">
        <is>
          <t>Concluído Campo</t>
        </is>
      </c>
      <c r="S119" s="7" t="inlineStr"/>
      <c r="T119" s="10" t="inlineStr"/>
      <c r="U119" s="7" t="inlineStr"/>
      <c r="V119" s="7" t="inlineStr"/>
      <c r="W119" s="7" t="inlineStr"/>
      <c r="X119" s="7" t="inlineStr">
        <is>
          <t>AG. MEDIÇÃO</t>
        </is>
      </c>
      <c r="Y119" s="11">
        <f>IF(AND(L119&lt;&gt;"", S119&lt;&gt;""), S119-L119, IF(L119&lt;&gt;"", TODAY()-L119, ""))</f>
        <v/>
      </c>
      <c r="Z119" s="7">
        <f>IF(Y119="", "", IF(Y119&lt;=3, "NO PRAZO", "ATRASADO"))</f>
        <v/>
      </c>
      <c r="AA119" s="8" t="inlineStr">
        <is>
          <t>100% - OK</t>
        </is>
      </c>
    </row>
    <row r="120" ht="20" customHeight="1">
      <c r="A120" s="7" t="inlineStr">
        <is>
          <t>RSCLER0118</t>
        </is>
      </c>
      <c r="B120" s="8" t="inlineStr">
        <is>
          <t>PORTO ALEGRE</t>
        </is>
      </c>
      <c r="C120" s="7" t="inlineStr">
        <is>
          <t>TRZAB</t>
        </is>
      </c>
      <c r="D120" s="7" t="inlineStr"/>
      <c r="E120" s="7" t="inlineStr"/>
      <c r="F120" s="8" t="inlineStr">
        <is>
          <t>SEDE OAB</t>
        </is>
      </c>
      <c r="G120" s="8" t="inlineStr">
        <is>
          <t>AV. CEL MARCOS, 2179</t>
        </is>
      </c>
      <c r="H120" s="7" t="inlineStr"/>
      <c r="I120" s="8" t="inlineStr">
        <is>
          <t>5 ABERTURA E FECHAMENTO /   5 FUSÃO / 4 TESTE / 1 DERIVAÇÃO / FIZEMOS A FUSÃO DO MDU</t>
        </is>
      </c>
      <c r="J120" s="8" t="inlineStr"/>
      <c r="K120" s="8" t="inlineStr">
        <is>
          <t>DIOGO</t>
        </is>
      </c>
      <c r="L120" s="9" t="n">
        <v>45160</v>
      </c>
      <c r="M120" s="9" t="n">
        <v>45160</v>
      </c>
      <c r="N120" s="9" t="n">
        <v>45160</v>
      </c>
      <c r="O120" s="9" t="n">
        <v>45161</v>
      </c>
      <c r="P120" s="7" t="inlineStr">
        <is>
          <t>NÃO PRECISA</t>
        </is>
      </c>
      <c r="Q120" s="9" t="n">
        <v>45175</v>
      </c>
      <c r="R120" s="7" t="inlineStr">
        <is>
          <t>Concluído Campo</t>
        </is>
      </c>
      <c r="S120" s="7" t="inlineStr"/>
      <c r="T120" s="10" t="inlineStr"/>
      <c r="U120" s="7" t="inlineStr"/>
      <c r="V120" s="7" t="inlineStr"/>
      <c r="W120" s="7" t="inlineStr"/>
      <c r="X120" s="7" t="inlineStr">
        <is>
          <t>AG. MEDIÇÃO</t>
        </is>
      </c>
      <c r="Y120" s="11">
        <f>IF(AND(L120&lt;&gt;"", S120&lt;&gt;""), S120-L120, IF(L120&lt;&gt;"", TODAY()-L120, ""))</f>
        <v/>
      </c>
      <c r="Z120" s="7">
        <f>IF(Y120="", "", IF(Y120&lt;=3, "NO PRAZO", "ATRASADO"))</f>
        <v/>
      </c>
      <c r="AA120" s="8" t="inlineStr">
        <is>
          <t>100% - OK</t>
        </is>
      </c>
    </row>
    <row r="121" ht="20" customHeight="1">
      <c r="A121" s="7" t="inlineStr">
        <is>
          <t>RSCLER0119</t>
        </is>
      </c>
      <c r="B121" s="8" t="inlineStr">
        <is>
          <t>PORTO ALEGRE</t>
        </is>
      </c>
      <c r="C121" s="7" t="inlineStr">
        <is>
          <t>GUAAA</t>
        </is>
      </c>
      <c r="D121" s="7" t="inlineStr"/>
      <c r="E121" s="7" t="inlineStr"/>
      <c r="F121" s="8" t="inlineStr">
        <is>
          <t>COND. GUARUJÁ</t>
        </is>
      </c>
      <c r="G121" s="8" t="inlineStr">
        <is>
          <t>AV. ORLEAES, 105</t>
        </is>
      </c>
      <c r="H121" s="7" t="inlineStr"/>
      <c r="I121" s="8" t="inlineStr">
        <is>
          <t>180 metros de cabo de 12 fo tmb foi lançado 105 metros de cordoalhas cobrar feragem e cordoalha ,foi feita 3 abertura e fechamento 24 fusão  uma fosc nova e 5 teste ,,,obs foi tudo isto de fusão póis o alex pediu para lançar o cabo da cto 23.01.04 deixar sangria na m e fusão na 23.01.05</t>
        </is>
      </c>
      <c r="J121" s="8" t="inlineStr">
        <is>
          <t>MARCOS DUTRA (JLE)</t>
        </is>
      </c>
      <c r="K121" s="8" t="inlineStr">
        <is>
          <t>MARCOS EMILIANO</t>
        </is>
      </c>
      <c r="L121" s="9" t="n">
        <v>45169</v>
      </c>
      <c r="M121" s="9" t="n">
        <v>45170</v>
      </c>
      <c r="N121" s="9" t="n">
        <v>45170</v>
      </c>
      <c r="O121" s="9" t="n">
        <v>45170</v>
      </c>
      <c r="P121" s="7" t="inlineStr">
        <is>
          <t>NÃO PRECISA</t>
        </is>
      </c>
      <c r="Q121" s="9" t="n">
        <v>45184</v>
      </c>
      <c r="R121" s="7" t="inlineStr">
        <is>
          <t>Concluído Campo</t>
        </is>
      </c>
      <c r="S121" s="7" t="inlineStr"/>
      <c r="T121" s="10" t="inlineStr"/>
      <c r="U121" s="7" t="inlineStr"/>
      <c r="V121" s="7" t="inlineStr"/>
      <c r="W121" s="7" t="inlineStr"/>
      <c r="X121" s="7" t="inlineStr">
        <is>
          <t>AG. MEDIÇÃO</t>
        </is>
      </c>
      <c r="Y121" s="11">
        <f>IF(AND(L121&lt;&gt;"", S121&lt;&gt;""), S121-L121, IF(L121&lt;&gt;"", TODAY()-L121, ""))</f>
        <v/>
      </c>
      <c r="Z121" s="7">
        <f>IF(Y121="", "", IF(Y121&lt;=3, "NO PRAZO", "ATRASADO"))</f>
        <v/>
      </c>
      <c r="AA121" s="8" t="inlineStr">
        <is>
          <t>100% - OK</t>
        </is>
      </c>
    </row>
    <row r="122" ht="20" customHeight="1">
      <c r="A122" s="7" t="inlineStr">
        <is>
          <t>RSCLER0120</t>
        </is>
      </c>
      <c r="B122" s="8" t="inlineStr">
        <is>
          <t>NOVO HAMBURGO</t>
        </is>
      </c>
      <c r="C122" s="7" t="inlineStr">
        <is>
          <t>CNTAA</t>
        </is>
      </c>
      <c r="D122" s="7" t="inlineStr"/>
      <c r="E122" s="7" t="inlineStr"/>
      <c r="F122" s="8" t="inlineStr">
        <is>
          <t>MAGUALHÕES CALVET</t>
        </is>
      </c>
      <c r="G122" s="8" t="inlineStr">
        <is>
          <t>RUA MAGALHÕES CALVET, 251</t>
        </is>
      </c>
      <c r="H122" s="7" t="inlineStr"/>
      <c r="I122" s="8" t="inlineStr">
        <is>
          <t>2 ABERTURA E FECHAMENTO / 1 FUSÃO  / 2 TESTE /  1 COM OTDR</t>
        </is>
      </c>
      <c r="J122" s="8" t="inlineStr"/>
      <c r="K122" s="8" t="inlineStr">
        <is>
          <t>DIOGO</t>
        </is>
      </c>
      <c r="L122" s="9" t="n">
        <v>45160</v>
      </c>
      <c r="M122" s="9" t="n">
        <v>45160</v>
      </c>
      <c r="N122" s="9" t="n">
        <v>45160</v>
      </c>
      <c r="O122" s="9" t="n">
        <v>45160</v>
      </c>
      <c r="P122" s="7" t="inlineStr">
        <is>
          <t>NÃO PRECISA</t>
        </is>
      </c>
      <c r="Q122" s="9" t="n">
        <v>45175</v>
      </c>
      <c r="R122" s="7" t="inlineStr">
        <is>
          <t>Concluído Campo</t>
        </is>
      </c>
      <c r="S122" s="7" t="inlineStr"/>
      <c r="T122" s="10" t="inlineStr"/>
      <c r="U122" s="7" t="inlineStr"/>
      <c r="V122" s="7" t="inlineStr"/>
      <c r="W122" s="7" t="inlineStr"/>
      <c r="X122" s="7" t="inlineStr">
        <is>
          <t>AG. MEDIÇÃO</t>
        </is>
      </c>
      <c r="Y122" s="11">
        <f>IF(AND(L122&lt;&gt;"", S122&lt;&gt;""), S122-L122, IF(L122&lt;&gt;"", TODAY()-L122, ""))</f>
        <v/>
      </c>
      <c r="Z122" s="7">
        <f>IF(Y122="", "", IF(Y122&lt;=3, "NO PRAZO", "ATRASADO"))</f>
        <v/>
      </c>
      <c r="AA122" s="8" t="inlineStr">
        <is>
          <t>100% - OK</t>
        </is>
      </c>
    </row>
    <row r="123" ht="20" customHeight="1">
      <c r="A123" s="7" t="inlineStr">
        <is>
          <t>RSCLER0121</t>
        </is>
      </c>
      <c r="B123" s="8" t="inlineStr">
        <is>
          <t>PORTO ALEGRE</t>
        </is>
      </c>
      <c r="C123" s="7" t="inlineStr">
        <is>
          <t>BVSAB</t>
        </is>
      </c>
      <c r="D123" s="7" t="inlineStr"/>
      <c r="E123" s="7" t="inlineStr"/>
      <c r="F123" s="8" t="inlineStr">
        <is>
          <t>COND. ALLURE</t>
        </is>
      </c>
      <c r="G123" s="8" t="inlineStr">
        <is>
          <t>RUA FELIZARDO, 491 •JARDIM BOTÂNICO</t>
        </is>
      </c>
      <c r="H123" s="7" t="inlineStr"/>
      <c r="I123" s="8" t="inlineStr">
        <is>
          <t>FOI LANÇADO 285 METROS DE CABO 12FO,150 METROS DE CORDOALHA, 3 ABERTURA E FECHAMENTO, 1 DERIVAÇÃO, 1 CX NOVA, 9 FUSÃO, 3 TESTE</t>
        </is>
      </c>
      <c r="J123" s="8" t="inlineStr">
        <is>
          <t>ALAN GOMES</t>
        </is>
      </c>
      <c r="K123" s="8" t="inlineStr">
        <is>
          <t>FABIO AMARILIO</t>
        </is>
      </c>
      <c r="L123" s="9" t="n">
        <v>45180</v>
      </c>
      <c r="M123" s="9" t="n">
        <v>45198</v>
      </c>
      <c r="N123" s="9" t="n">
        <v>45199</v>
      </c>
      <c r="O123" s="9" t="n">
        <v>45199</v>
      </c>
      <c r="P123" s="7" t="inlineStr">
        <is>
          <t>NÃO PRECISA</t>
        </is>
      </c>
      <c r="Q123" s="9" t="n">
        <v>45203</v>
      </c>
      <c r="R123" s="7" t="inlineStr">
        <is>
          <t>Concluído Campo</t>
        </is>
      </c>
      <c r="S123" s="7" t="inlineStr"/>
      <c r="T123" s="10" t="inlineStr"/>
      <c r="U123" s="7" t="inlineStr"/>
      <c r="V123" s="7" t="inlineStr"/>
      <c r="W123" s="7" t="inlineStr"/>
      <c r="X123" s="7" t="inlineStr">
        <is>
          <t>AG. MEDIÇÃO</t>
        </is>
      </c>
      <c r="Y123" s="11">
        <f>IF(AND(L123&lt;&gt;"", S123&lt;&gt;""), S123-L123, IF(L123&lt;&gt;"", TODAY()-L123, ""))</f>
        <v/>
      </c>
      <c r="Z123" s="7">
        <f>IF(Y123="", "", IF(Y123&lt;=3, "NO PRAZO", "ATRASADO"))</f>
        <v/>
      </c>
      <c r="AA123" s="8" t="inlineStr">
        <is>
          <t>100% - OK</t>
        </is>
      </c>
    </row>
    <row r="124" ht="20" customHeight="1">
      <c r="A124" s="7" t="inlineStr">
        <is>
          <t>RSCLER0122</t>
        </is>
      </c>
      <c r="B124" s="8" t="inlineStr">
        <is>
          <t>PORTO ALEGRE</t>
        </is>
      </c>
      <c r="C124" s="7" t="inlineStr">
        <is>
          <t>JITAB</t>
        </is>
      </c>
      <c r="D124" s="7" t="inlineStr"/>
      <c r="E124" s="7" t="inlineStr"/>
      <c r="F124" s="8" t="inlineStr">
        <is>
          <t>POA - Cond. Morada do Norte</t>
        </is>
      </c>
      <c r="G124" s="8" t="inlineStr">
        <is>
          <t>Av Dom Claudio Jose Goncalves Ponce De Leão</t>
        </is>
      </c>
      <c r="H124" s="7" t="inlineStr"/>
      <c r="I124" s="8" t="inlineStr">
        <is>
          <t>1 ABERTURA E FECHAMENTO, 3 TESTE</t>
        </is>
      </c>
      <c r="J124" s="8" t="inlineStr"/>
      <c r="K124" s="8" t="inlineStr">
        <is>
          <t>BRUNO MACIEL</t>
        </is>
      </c>
      <c r="L124" s="9" t="n">
        <v>45180</v>
      </c>
      <c r="M124" s="7" t="inlineStr"/>
      <c r="N124" s="9" t="n">
        <v>45205</v>
      </c>
      <c r="O124" s="9" t="n">
        <v>45205</v>
      </c>
      <c r="P124" s="7" t="inlineStr">
        <is>
          <t>NÃO PRECISA</t>
        </is>
      </c>
      <c r="Q124" s="9" t="n">
        <v>45223</v>
      </c>
      <c r="R124" s="7" t="inlineStr">
        <is>
          <t>Concluído Campo</t>
        </is>
      </c>
      <c r="S124" s="7" t="inlineStr"/>
      <c r="T124" s="10" t="inlineStr"/>
      <c r="U124" s="7" t="inlineStr"/>
      <c r="V124" s="7" t="inlineStr"/>
      <c r="W124" s="7" t="inlineStr"/>
      <c r="X124" s="7" t="inlineStr">
        <is>
          <t>AG. MEDIÇÃO</t>
        </is>
      </c>
      <c r="Y124" s="11">
        <f>IF(AND(L124&lt;&gt;"", S124&lt;&gt;""), S124-L124, IF(L124&lt;&gt;"", TODAY()-L124, ""))</f>
        <v/>
      </c>
      <c r="Z124" s="7">
        <f>IF(Y124="", "", IF(Y124&lt;=3, "NO PRAZO", "ATRASADO"))</f>
        <v/>
      </c>
      <c r="AA124" s="8" t="inlineStr">
        <is>
          <t>100% - OK</t>
        </is>
      </c>
    </row>
    <row r="125" ht="20" customHeight="1">
      <c r="A125" s="7" t="inlineStr">
        <is>
          <t>RSCLER0123</t>
        </is>
      </c>
      <c r="B125" s="8" t="inlineStr">
        <is>
          <t>PORTO ALEGRE</t>
        </is>
      </c>
      <c r="C125" s="7" t="inlineStr">
        <is>
          <t>TRLAA</t>
        </is>
      </c>
      <c r="D125" s="7" t="inlineStr"/>
      <c r="E125" s="7" t="inlineStr"/>
      <c r="F125" s="8" t="inlineStr">
        <is>
          <t>APARICIO BORGES</t>
        </is>
      </c>
      <c r="G125" s="8" t="inlineStr">
        <is>
          <t>R CEL APARICIO BORGES 1568</t>
        </is>
      </c>
      <c r="H125" s="7" t="inlineStr"/>
      <c r="I125" s="8" t="inlineStr">
        <is>
          <t>3 ABERTURA E FECHAMENTO, 9 FUSÃO, 1 CX NOVA, 1 DERIVAÇÃO, 3 TESTE, FOI LANÇADO 452 METROS DE CABO DE 12FO, 27 METROS DE CORDOALHA.</t>
        </is>
      </c>
      <c r="J125" s="8" t="inlineStr">
        <is>
          <t>ALAN GOMES</t>
        </is>
      </c>
      <c r="K125" s="8" t="inlineStr">
        <is>
          <t>FABIO AMARILIO</t>
        </is>
      </c>
      <c r="L125" s="9" t="n">
        <v>45175</v>
      </c>
      <c r="M125" s="9" t="n">
        <v>45183</v>
      </c>
      <c r="N125" s="9" t="n">
        <v>45185</v>
      </c>
      <c r="O125" s="9" t="n">
        <v>45185</v>
      </c>
      <c r="P125" s="7" t="inlineStr">
        <is>
          <t>NÃO PRECISA</t>
        </is>
      </c>
      <c r="Q125" s="9" t="n">
        <v>45203</v>
      </c>
      <c r="R125" s="7" t="inlineStr">
        <is>
          <t>Concluído Campo</t>
        </is>
      </c>
      <c r="S125" s="7" t="inlineStr"/>
      <c r="T125" s="10" t="inlineStr"/>
      <c r="U125" s="7" t="inlineStr"/>
      <c r="V125" s="7" t="inlineStr"/>
      <c r="W125" s="7" t="inlineStr"/>
      <c r="X125" s="7" t="inlineStr">
        <is>
          <t>AG. MEDIÇÃO</t>
        </is>
      </c>
      <c r="Y125" s="11">
        <f>IF(AND(L125&lt;&gt;"", S125&lt;&gt;""), S125-L125, IF(L125&lt;&gt;"", TODAY()-L125, ""))</f>
        <v/>
      </c>
      <c r="Z125" s="7">
        <f>IF(Y125="", "", IF(Y125&lt;=3, "NO PRAZO", "ATRASADO"))</f>
        <v/>
      </c>
      <c r="AA125" s="8" t="inlineStr">
        <is>
          <t>100% - OK</t>
        </is>
      </c>
    </row>
    <row r="126" ht="20" customHeight="1">
      <c r="A126" s="7" t="inlineStr">
        <is>
          <t>RSCLER0124</t>
        </is>
      </c>
      <c r="B126" s="8" t="inlineStr">
        <is>
          <t>PORTO ALEGRE</t>
        </is>
      </c>
      <c r="C126" s="7" t="inlineStr">
        <is>
          <t>JCVAA</t>
        </is>
      </c>
      <c r="D126" s="7" t="inlineStr"/>
      <c r="E126" s="7" t="inlineStr"/>
      <c r="F126" s="8" t="inlineStr">
        <is>
          <t>COND. TERRARA</t>
        </is>
      </c>
      <c r="G126" s="8" t="inlineStr">
        <is>
          <t>RUA GRALHA AZUL, 555</t>
        </is>
      </c>
      <c r="H126" s="7" t="inlineStr"/>
      <c r="I126" s="8" t="inlineStr">
        <is>
          <t>FOI LANÇADO 284 METROS DE CABO DE 12FO, 2 CX NOVA, 4 FUSÃO, 1 DERIVAÇÃO E 2 ABERTURA E FECHAMENTO</t>
        </is>
      </c>
      <c r="J126" s="8" t="inlineStr">
        <is>
          <t>VALDIR PASSOS ( ADRIANO)</t>
        </is>
      </c>
      <c r="K126" s="8" t="inlineStr">
        <is>
          <t>JEFERSON</t>
        </is>
      </c>
      <c r="L126" s="9" t="n">
        <v>45175</v>
      </c>
      <c r="M126" s="9" t="n">
        <v>45198</v>
      </c>
      <c r="N126" s="9" t="n">
        <v>45198</v>
      </c>
      <c r="O126" s="9" t="n">
        <v>45198</v>
      </c>
      <c r="P126" s="7" t="inlineStr">
        <is>
          <t>NÃO PRECISA</t>
        </is>
      </c>
      <c r="Q126" s="9" t="n">
        <v>45203</v>
      </c>
      <c r="R126" s="7" t="inlineStr">
        <is>
          <t>Concluído Campo</t>
        </is>
      </c>
      <c r="S126" s="7" t="inlineStr"/>
      <c r="T126" s="10" t="inlineStr"/>
      <c r="U126" s="7" t="inlineStr"/>
      <c r="V126" s="7" t="inlineStr"/>
      <c r="W126" s="7" t="inlineStr"/>
      <c r="X126" s="7" t="inlineStr">
        <is>
          <t>AG. MEDIÇÃO</t>
        </is>
      </c>
      <c r="Y126" s="11">
        <f>IF(AND(L126&lt;&gt;"", S126&lt;&gt;""), S126-L126, IF(L126&lt;&gt;"", TODAY()-L126, ""))</f>
        <v/>
      </c>
      <c r="Z126" s="7">
        <f>IF(Y126="", "", IF(Y126&lt;=3, "NO PRAZO", "ATRASADO"))</f>
        <v/>
      </c>
      <c r="AA126" s="8" t="inlineStr">
        <is>
          <t>100% - OK</t>
        </is>
      </c>
    </row>
    <row r="127" ht="20" customHeight="1">
      <c r="A127" s="7" t="inlineStr">
        <is>
          <t>RSCLER0125</t>
        </is>
      </c>
      <c r="B127" s="8" t="inlineStr">
        <is>
          <t>PORTO ALEGRE</t>
        </is>
      </c>
      <c r="C127" s="7" t="inlineStr">
        <is>
          <t>VJDAB</t>
        </is>
      </c>
      <c r="D127" s="7" t="inlineStr"/>
      <c r="E127" s="7" t="inlineStr"/>
      <c r="F127" s="8" t="inlineStr">
        <is>
          <t>JARDIM SABARÁ</t>
        </is>
      </c>
      <c r="G127" s="8" t="inlineStr">
        <is>
          <t>RUA MANOEL LOPES MEIRELLES, 115 - JARDIM SABARÁ</t>
        </is>
      </c>
      <c r="H127" s="7" t="inlineStr"/>
      <c r="I127" s="8" t="inlineStr">
        <is>
          <t>LANÇADO 513 METROS DE CABO DE 12FO, 1 ABERTURA E FECHAMENTO, 3 FUSÃO , 3 TESTE , 1 CX NOVA , 1 DERIVAÇÃO / Este mdu teve mudança mandar email pra Brenda mudou conforme o print 
Mudou o unifilar criar um cabo saindo da fist pegando as mesmas fibras em roxo e levando até a m</t>
        </is>
      </c>
      <c r="J127" s="8" t="inlineStr">
        <is>
          <t>alan gomes</t>
        </is>
      </c>
      <c r="K127" s="8" t="inlineStr">
        <is>
          <t>DIOGO</t>
        </is>
      </c>
      <c r="L127" s="9" t="n">
        <v>45183</v>
      </c>
      <c r="M127" s="9" t="n">
        <v>45184</v>
      </c>
      <c r="N127" s="9" t="n">
        <v>45187</v>
      </c>
      <c r="O127" s="9" t="n">
        <v>45187</v>
      </c>
      <c r="P127" s="7" t="inlineStr">
        <is>
          <t>NÃO PRECISA</t>
        </is>
      </c>
      <c r="Q127" s="9" t="n">
        <v>45198</v>
      </c>
      <c r="R127" s="7" t="inlineStr">
        <is>
          <t>Concluído Campo</t>
        </is>
      </c>
      <c r="S127" s="7" t="inlineStr"/>
      <c r="T127" s="10" t="inlineStr"/>
      <c r="U127" s="7" t="inlineStr"/>
      <c r="V127" s="7" t="inlineStr"/>
      <c r="W127" s="7" t="inlineStr"/>
      <c r="X127" s="7" t="inlineStr">
        <is>
          <t>AG. MEDIÇÃO</t>
        </is>
      </c>
      <c r="Y127" s="11">
        <f>IF(AND(L127&lt;&gt;"", S127&lt;&gt;""), S127-L127, IF(L127&lt;&gt;"", TODAY()-L127, ""))</f>
        <v/>
      </c>
      <c r="Z127" s="7">
        <f>IF(Y127="", "", IF(Y127&lt;=3, "NO PRAZO", "ATRASADO"))</f>
        <v/>
      </c>
      <c r="AA127" s="8" t="inlineStr">
        <is>
          <t>100% - OK</t>
        </is>
      </c>
    </row>
    <row r="128" ht="20" customHeight="1">
      <c r="A128" s="7" t="inlineStr">
        <is>
          <t>RSCLER0126</t>
        </is>
      </c>
      <c r="B128" s="8" t="inlineStr">
        <is>
          <t>NOVO HAMBURGO</t>
        </is>
      </c>
      <c r="C128" s="7" t="inlineStr">
        <is>
          <t>CNTAA</t>
        </is>
      </c>
      <c r="D128" s="7" t="inlineStr"/>
      <c r="E128" s="7" t="inlineStr"/>
      <c r="F128" s="8" t="inlineStr">
        <is>
          <t>COND. MONREALE</t>
        </is>
      </c>
      <c r="G128" s="8" t="inlineStr">
        <is>
          <t>Centro RUA DOMINGOS DE ALMEIDA, 522 CENTRO</t>
        </is>
      </c>
      <c r="H128" s="7" t="inlineStr"/>
      <c r="I128" s="8" t="inlineStr">
        <is>
          <t>2 ABERTURA E FECHAMENTO, 5 FUSÃO,  5 TESTE</t>
        </is>
      </c>
      <c r="J128" s="8" t="inlineStr"/>
      <c r="K128" s="8" t="inlineStr">
        <is>
          <t>DIOGO</t>
        </is>
      </c>
      <c r="L128" s="9" t="n">
        <v>45175</v>
      </c>
      <c r="M128" s="9" t="n">
        <v>45177</v>
      </c>
      <c r="N128" s="9" t="n">
        <v>45177</v>
      </c>
      <c r="O128" s="9" t="n">
        <v>45177</v>
      </c>
      <c r="P128" s="7" t="inlineStr">
        <is>
          <t>NÃO PRECISA</t>
        </is>
      </c>
      <c r="Q128" s="9" t="n">
        <v>45198</v>
      </c>
      <c r="R128" s="7" t="inlineStr">
        <is>
          <t>Concluído Campo</t>
        </is>
      </c>
      <c r="S128" s="7" t="inlineStr"/>
      <c r="T128" s="10" t="inlineStr"/>
      <c r="U128" s="7" t="inlineStr"/>
      <c r="V128" s="7" t="inlineStr"/>
      <c r="W128" s="7" t="inlineStr"/>
      <c r="X128" s="7" t="inlineStr">
        <is>
          <t>AG. MEDIÇÃO</t>
        </is>
      </c>
      <c r="Y128" s="11">
        <f>IF(AND(L128&lt;&gt;"", S128&lt;&gt;""), S128-L128, IF(L128&lt;&gt;"", TODAY()-L128, ""))</f>
        <v/>
      </c>
      <c r="Z128" s="7">
        <f>IF(Y128="", "", IF(Y128&lt;=3, "NO PRAZO", "ATRASADO"))</f>
        <v/>
      </c>
      <c r="AA128" s="8" t="inlineStr">
        <is>
          <t>100% - OK</t>
        </is>
      </c>
    </row>
    <row r="129" ht="20" customHeight="1">
      <c r="A129" s="7" t="inlineStr">
        <is>
          <t>RSCLER0127</t>
        </is>
      </c>
      <c r="B129" s="8" t="inlineStr">
        <is>
          <t>PORTO ALEGRE</t>
        </is>
      </c>
      <c r="C129" s="7" t="inlineStr">
        <is>
          <t>BVSAB</t>
        </is>
      </c>
      <c r="D129" s="7" t="inlineStr"/>
      <c r="E129" s="7" t="inlineStr"/>
      <c r="F129" s="8" t="inlineStr">
        <is>
          <t>COND. FLOAT RESIDENCE</t>
        </is>
      </c>
      <c r="G129" s="8" t="inlineStr">
        <is>
          <t>AV. SENADOR TARSO DUTRA, 431</t>
        </is>
      </c>
      <c r="H129" s="7" t="inlineStr"/>
      <c r="I129" s="8" t="inlineStr">
        <is>
          <t>FOI LANÇADO 360 METROS DE CABO DE 12FO, 2 ABERTURA E FECHAMENTO, 1 CX NOVA, 6 FUSÃO, 2 DERIVAÇÃO, 2 TESTE</t>
        </is>
      </c>
      <c r="J129" s="8" t="inlineStr">
        <is>
          <t>JEFERSON</t>
        </is>
      </c>
      <c r="K129" s="8" t="inlineStr">
        <is>
          <t>JEFERSON</t>
        </is>
      </c>
      <c r="L129" s="9" t="n">
        <v>45180</v>
      </c>
      <c r="M129" s="9" t="n">
        <v>45197</v>
      </c>
      <c r="N129" s="9" t="n">
        <v>45198</v>
      </c>
      <c r="O129" s="9" t="n">
        <v>45199</v>
      </c>
      <c r="P129" s="7" t="inlineStr">
        <is>
          <t>NÃO PRECISA</t>
        </is>
      </c>
      <c r="Q129" s="9" t="n">
        <v>45203</v>
      </c>
      <c r="R129" s="7" t="inlineStr">
        <is>
          <t>Concluído Campo</t>
        </is>
      </c>
      <c r="S129" s="7" t="inlineStr"/>
      <c r="T129" s="10" t="inlineStr"/>
      <c r="U129" s="7" t="inlineStr"/>
      <c r="V129" s="7" t="inlineStr"/>
      <c r="W129" s="7" t="inlineStr"/>
      <c r="X129" s="7" t="inlineStr">
        <is>
          <t>AG. MEDIÇÃO</t>
        </is>
      </c>
      <c r="Y129" s="11">
        <f>IF(AND(L129&lt;&gt;"", S129&lt;&gt;""), S129-L129, IF(L129&lt;&gt;"", TODAY()-L129, ""))</f>
        <v/>
      </c>
      <c r="Z129" s="7">
        <f>IF(Y129="", "", IF(Y129&lt;=3, "NO PRAZO", "ATRASADO"))</f>
        <v/>
      </c>
      <c r="AA129" s="8" t="inlineStr">
        <is>
          <t>100% - OK</t>
        </is>
      </c>
    </row>
    <row r="130" ht="20" customHeight="1">
      <c r="A130" s="7" t="inlineStr">
        <is>
          <t>RSCLER0128</t>
        </is>
      </c>
      <c r="B130" s="8" t="inlineStr">
        <is>
          <t>PORTO ALEGRE</t>
        </is>
      </c>
      <c r="C130" s="7" t="inlineStr">
        <is>
          <t>PRTAA</t>
        </is>
      </c>
      <c r="D130" s="7" t="inlineStr"/>
      <c r="E130" s="7" t="inlineStr"/>
      <c r="F130" s="8" t="inlineStr">
        <is>
          <t>COND. LIKE</t>
        </is>
      </c>
      <c r="G130" s="8" t="inlineStr">
        <is>
          <t>CAP. PEDRO WERLANG, 1066</t>
        </is>
      </c>
      <c r="H130" s="7" t="inlineStr"/>
      <c r="I130" s="8" t="inlineStr">
        <is>
          <t>6 ABERTURA E FECHAMENTO, 10 FUSÃO, 1 DERIVAÇÃO, 2 TESTE E 1 CX NOVA</t>
        </is>
      </c>
      <c r="J130" s="8" t="inlineStr"/>
      <c r="K130" s="8" t="inlineStr">
        <is>
          <t>DIOGO</t>
        </is>
      </c>
      <c r="L130" s="9" t="n">
        <v>45187</v>
      </c>
      <c r="M130" s="7" t="inlineStr"/>
      <c r="N130" s="9" t="n">
        <v>45191</v>
      </c>
      <c r="O130" s="9" t="n">
        <v>45191</v>
      </c>
      <c r="P130" s="7" t="inlineStr">
        <is>
          <t>NÃO PRECISA</t>
        </is>
      </c>
      <c r="Q130" s="9" t="n">
        <v>45198</v>
      </c>
      <c r="R130" s="7" t="inlineStr">
        <is>
          <t>Concluído Campo</t>
        </is>
      </c>
      <c r="S130" s="7" t="inlineStr"/>
      <c r="T130" s="10" t="inlineStr"/>
      <c r="U130" s="7" t="inlineStr"/>
      <c r="V130" s="7" t="inlineStr"/>
      <c r="W130" s="7" t="inlineStr"/>
      <c r="X130" s="7" t="inlineStr">
        <is>
          <t>AG. MEDIÇÃO</t>
        </is>
      </c>
      <c r="Y130" s="11">
        <f>IF(AND(L130&lt;&gt;"", S130&lt;&gt;""), S130-L130, IF(L130&lt;&gt;"", TODAY()-L130, ""))</f>
        <v/>
      </c>
      <c r="Z130" s="7">
        <f>IF(Y130="", "", IF(Y130&lt;=3, "NO PRAZO", "ATRASADO"))</f>
        <v/>
      </c>
      <c r="AA130" s="8" t="inlineStr">
        <is>
          <t>100% - OK</t>
        </is>
      </c>
    </row>
    <row r="131" ht="20" customHeight="1">
      <c r="A131" s="7" t="inlineStr">
        <is>
          <t>RSCLER0129</t>
        </is>
      </c>
      <c r="B131" s="8" t="inlineStr">
        <is>
          <t>PORTO ALEGRE</t>
        </is>
      </c>
      <c r="C131" s="7" t="inlineStr">
        <is>
          <t>RBRAA</t>
        </is>
      </c>
      <c r="D131" s="7" t="inlineStr"/>
      <c r="E131" s="7" t="inlineStr"/>
      <c r="F131" s="8" t="inlineStr">
        <is>
          <t>GO RIO BRANCO</t>
        </is>
      </c>
      <c r="G131" s="8" t="inlineStr">
        <is>
          <t>R PRF DUPLAN 60</t>
        </is>
      </c>
      <c r="H131" s="7" t="inlineStr"/>
      <c r="I131" s="8" t="inlineStr">
        <is>
          <t>5 ABERTURA E FECHAMENTO, 9 FUSÃO , 3 TESTE</t>
        </is>
      </c>
      <c r="J131" s="8" t="inlineStr"/>
      <c r="K131" s="8" t="inlineStr">
        <is>
          <t>MARCOS EMILIANO</t>
        </is>
      </c>
      <c r="L131" s="9" t="n">
        <v>45195</v>
      </c>
      <c r="M131" s="7" t="inlineStr"/>
      <c r="N131" s="9" t="n">
        <v>45205</v>
      </c>
      <c r="O131" s="9" t="n">
        <v>45218</v>
      </c>
      <c r="P131" s="7" t="inlineStr">
        <is>
          <t>NÃO PRECISA</t>
        </is>
      </c>
      <c r="Q131" s="9" t="n">
        <v>45229</v>
      </c>
      <c r="R131" s="7" t="inlineStr">
        <is>
          <t>Concluído Campo</t>
        </is>
      </c>
      <c r="S131" s="7" t="inlineStr"/>
      <c r="T131" s="10" t="inlineStr"/>
      <c r="U131" s="7" t="inlineStr"/>
      <c r="V131" s="7" t="inlineStr"/>
      <c r="W131" s="7" t="inlineStr"/>
      <c r="X131" s="7" t="inlineStr">
        <is>
          <t>AG. MEDIÇÃO</t>
        </is>
      </c>
      <c r="Y131" s="11">
        <f>IF(AND(L131&lt;&gt;"", S131&lt;&gt;""), S131-L131, IF(L131&lt;&gt;"", TODAY()-L131, ""))</f>
        <v/>
      </c>
      <c r="Z131" s="7">
        <f>IF(Y131="", "", IF(Y131&lt;=3, "NO PRAZO", "ATRASADO"))</f>
        <v/>
      </c>
      <c r="AA131" s="8" t="inlineStr">
        <is>
          <t>100% - OK</t>
        </is>
      </c>
    </row>
    <row r="132" ht="20" customHeight="1">
      <c r="A132" s="7" t="inlineStr">
        <is>
          <t>RSCLER0130</t>
        </is>
      </c>
      <c r="B132" s="8" t="inlineStr">
        <is>
          <t>PORTO ALEGRE</t>
        </is>
      </c>
      <c r="C132" s="7" t="inlineStr">
        <is>
          <t>JITAB</t>
        </is>
      </c>
      <c r="D132" s="7" t="inlineStr"/>
      <c r="E132" s="7" t="inlineStr"/>
      <c r="F132" s="8" t="inlineStr">
        <is>
          <t>COND. RESD. RIO DE JANEIRO</t>
        </is>
      </c>
      <c r="G132" s="8" t="inlineStr">
        <is>
          <t>AV. DONA ADDA MASCARENHAS DE MORAES, 286</t>
        </is>
      </c>
      <c r="H132" s="7" t="inlineStr"/>
      <c r="I132" s="8" t="inlineStr">
        <is>
          <t>FOI LANÇADO 123 METROS DE CABO DE 12FO, 2 ABERTURA E FECHAMENTO, 1 DERIVAÇÃO, 1 CX NOVA, 6 FUSÃO, 5 TESTE.</t>
        </is>
      </c>
      <c r="J132" s="8" t="inlineStr">
        <is>
          <t>VALDIR PASSOS (ADRIANO)</t>
        </is>
      </c>
      <c r="K132" s="8" t="inlineStr">
        <is>
          <t>MARCOS EMILIANO/ VINICIUS</t>
        </is>
      </c>
      <c r="L132" s="9" t="n">
        <v>45196</v>
      </c>
      <c r="M132" s="9" t="n">
        <v>45198</v>
      </c>
      <c r="N132" s="9" t="n">
        <v>45202</v>
      </c>
      <c r="O132" s="9" t="n">
        <v>45202</v>
      </c>
      <c r="P132" s="7" t="inlineStr">
        <is>
          <t>NÃO PRECISA</t>
        </is>
      </c>
      <c r="Q132" s="9" t="n">
        <v>45203</v>
      </c>
      <c r="R132" s="7" t="inlineStr">
        <is>
          <t>Concluído Campo</t>
        </is>
      </c>
      <c r="S132" s="7" t="inlineStr"/>
      <c r="T132" s="10" t="inlineStr"/>
      <c r="U132" s="7" t="inlineStr"/>
      <c r="V132" s="7" t="inlineStr"/>
      <c r="W132" s="7" t="inlineStr"/>
      <c r="X132" s="7" t="inlineStr">
        <is>
          <t>AG. MEDIÇÃO</t>
        </is>
      </c>
      <c r="Y132" s="11">
        <f>IF(AND(L132&lt;&gt;"", S132&lt;&gt;""), S132-L132, IF(L132&lt;&gt;"", TODAY()-L132, ""))</f>
        <v/>
      </c>
      <c r="Z132" s="7">
        <f>IF(Y132="", "", IF(Y132&lt;=3, "NO PRAZO", "ATRASADO"))</f>
        <v/>
      </c>
      <c r="AA132" s="8" t="inlineStr">
        <is>
          <t>100% - OK</t>
        </is>
      </c>
    </row>
    <row r="133" ht="20" customHeight="1">
      <c r="A133" s="7" t="inlineStr">
        <is>
          <t>RSCLER0131</t>
        </is>
      </c>
      <c r="B133" s="8" t="inlineStr">
        <is>
          <t>ESTEIO</t>
        </is>
      </c>
      <c r="C133" s="7" t="inlineStr">
        <is>
          <t>CNTAA</t>
        </is>
      </c>
      <c r="D133" s="7" t="inlineStr"/>
      <c r="E133" s="7" t="inlineStr"/>
      <c r="F133" s="8" t="inlineStr">
        <is>
          <t>MDU RAFAEL KOLORASH</t>
        </is>
      </c>
      <c r="G133" s="8" t="inlineStr">
        <is>
          <t>RUA BOM JESUS</t>
        </is>
      </c>
      <c r="H133" s="7" t="inlineStr"/>
      <c r="I133" s="8" t="inlineStr">
        <is>
          <t>FOI LANÇADO 174 METROS DE CABO DE 12FO, FOI REPUXADO 50 METROS DE CABO, 1 NAP NOVA, 5 ABERTURA E FECHAMENTO, 3 DERIVAÇÃO, 5 FUSÃO E 1 TESTE.</t>
        </is>
      </c>
      <c r="J133" s="8" t="inlineStr">
        <is>
          <t>NEIMAR</t>
        </is>
      </c>
      <c r="K133" s="8" t="inlineStr"/>
      <c r="L133" s="9" t="n">
        <v>45194</v>
      </c>
      <c r="M133" s="9" t="n">
        <v>45194</v>
      </c>
      <c r="N133" s="9" t="n">
        <v>45194</v>
      </c>
      <c r="O133" s="9" t="n">
        <v>45194</v>
      </c>
      <c r="P133" s="7" t="inlineStr">
        <is>
          <t>NÃO PRECISA</t>
        </is>
      </c>
      <c r="Q133" s="9" t="n">
        <v>45203</v>
      </c>
      <c r="R133" s="7" t="inlineStr">
        <is>
          <t>Concluído Campo</t>
        </is>
      </c>
      <c r="S133" s="7" t="inlineStr"/>
      <c r="T133" s="10" t="inlineStr"/>
      <c r="U133" s="7" t="inlineStr"/>
      <c r="V133" s="7" t="inlineStr"/>
      <c r="W133" s="7" t="inlineStr"/>
      <c r="X133" s="7" t="inlineStr">
        <is>
          <t>AG. MEDIÇÃO</t>
        </is>
      </c>
      <c r="Y133" s="11">
        <f>IF(AND(L133&lt;&gt;"", S133&lt;&gt;""), S133-L133, IF(L133&lt;&gt;"", TODAY()-L133, ""))</f>
        <v/>
      </c>
      <c r="Z133" s="7">
        <f>IF(Y133="", "", IF(Y133&lt;=3, "NO PRAZO", "ATRASADO"))</f>
        <v/>
      </c>
      <c r="AA133" s="8" t="inlineStr">
        <is>
          <t>100% - OK</t>
        </is>
      </c>
    </row>
    <row r="134" ht="20" customHeight="1">
      <c r="A134" s="7" t="inlineStr">
        <is>
          <t>RSCLER0132</t>
        </is>
      </c>
      <c r="B134" s="8" t="inlineStr">
        <is>
          <t>PORTO ALEGRE</t>
        </is>
      </c>
      <c r="C134" s="7" t="inlineStr">
        <is>
          <t>RBTAC</t>
        </is>
      </c>
      <c r="D134" s="7" t="inlineStr"/>
      <c r="E134" s="7" t="inlineStr"/>
      <c r="F134" s="8" t="inlineStr">
        <is>
          <t>COND. VIVENDA DAS FLORES</t>
        </is>
      </c>
      <c r="G134" s="8" t="inlineStr">
        <is>
          <t>RUA. JOÃO FERREIRA JARDIM N°:700</t>
        </is>
      </c>
      <c r="H134" s="7" t="inlineStr"/>
      <c r="I134" s="8" t="inlineStr">
        <is>
          <t>INSUFICIÊNCIA DE FIBRA, FAZER AS BULTS</t>
        </is>
      </c>
      <c r="J134" s="8" t="inlineStr">
        <is>
          <t>ALAN GOMES</t>
        </is>
      </c>
      <c r="K134" s="8" t="inlineStr">
        <is>
          <t>GABRIEL</t>
        </is>
      </c>
      <c r="L134" s="9" t="n">
        <v>45197</v>
      </c>
      <c r="M134" s="7" t="inlineStr"/>
      <c r="N134" s="9" t="n">
        <v>45210</v>
      </c>
      <c r="O134" s="9" t="n">
        <v>45219</v>
      </c>
      <c r="P134" s="7" t="inlineStr">
        <is>
          <t>NÃO PRECISA</t>
        </is>
      </c>
      <c r="Q134" s="9" t="n">
        <v>45250</v>
      </c>
      <c r="R134" s="7" t="inlineStr">
        <is>
          <t>Concluído Campo</t>
        </is>
      </c>
      <c r="S134" s="7" t="inlineStr"/>
      <c r="T134" s="10" t="inlineStr"/>
      <c r="U134" s="7" t="inlineStr"/>
      <c r="V134" s="7" t="inlineStr"/>
      <c r="W134" s="7" t="inlineStr"/>
      <c r="X134" s="7" t="inlineStr">
        <is>
          <t>AG. MEDIÇÃO</t>
        </is>
      </c>
      <c r="Y134" s="11">
        <f>IF(AND(L134&lt;&gt;"", S134&lt;&gt;""), S134-L134, IF(L134&lt;&gt;"", TODAY()-L134, ""))</f>
        <v/>
      </c>
      <c r="Z134" s="7">
        <f>IF(Y134="", "", IF(Y134&lt;=3, "NO PRAZO", "ATRASADO"))</f>
        <v/>
      </c>
      <c r="AA134" s="8" t="inlineStr">
        <is>
          <t>100% - OK</t>
        </is>
      </c>
    </row>
    <row r="135" ht="20" customHeight="1">
      <c r="A135" s="7" t="inlineStr">
        <is>
          <t>RSCLER0133</t>
        </is>
      </c>
      <c r="B135" s="8" t="inlineStr">
        <is>
          <t>CANOAS</t>
        </is>
      </c>
      <c r="C135" s="7" t="inlineStr">
        <is>
          <t>CNTAA</t>
        </is>
      </c>
      <c r="D135" s="7" t="inlineStr"/>
      <c r="E135" s="7" t="inlineStr"/>
      <c r="F135" s="8" t="inlineStr">
        <is>
          <t>RESID VILLAGGIO BRASIL</t>
        </is>
      </c>
      <c r="G135" s="8" t="inlineStr">
        <is>
          <t>R BRASIL 121</t>
        </is>
      </c>
      <c r="H135" s="7" t="inlineStr"/>
      <c r="I135" s="8" t="inlineStr">
        <is>
          <t>1 ABERTURA E FECHAMENTO, 9 FUSÃO</t>
        </is>
      </c>
      <c r="J135" s="8" t="inlineStr"/>
      <c r="K135" s="8" t="inlineStr">
        <is>
          <t>MARCOS EMILIANO/ FELIPE</t>
        </is>
      </c>
      <c r="L135" s="9" t="n">
        <v>45197</v>
      </c>
      <c r="M135" s="7" t="inlineStr"/>
      <c r="N135" s="9" t="n">
        <v>45205</v>
      </c>
      <c r="O135" s="9" t="n">
        <v>45209</v>
      </c>
      <c r="P135" s="7" t="inlineStr">
        <is>
          <t>NÃO PRECISA</t>
        </is>
      </c>
      <c r="Q135" s="9" t="n">
        <v>45229</v>
      </c>
      <c r="R135" s="7" t="inlineStr">
        <is>
          <t>Concluído Campo</t>
        </is>
      </c>
      <c r="S135" s="7" t="inlineStr"/>
      <c r="T135" s="10" t="inlineStr"/>
      <c r="U135" s="7" t="inlineStr"/>
      <c r="V135" s="7" t="inlineStr"/>
      <c r="W135" s="7" t="inlineStr"/>
      <c r="X135" s="7" t="inlineStr">
        <is>
          <t>AG. MEDIÇÃO</t>
        </is>
      </c>
      <c r="Y135" s="11">
        <f>IF(AND(L135&lt;&gt;"", S135&lt;&gt;""), S135-L135, IF(L135&lt;&gt;"", TODAY()-L135, ""))</f>
        <v/>
      </c>
      <c r="Z135" s="7">
        <f>IF(Y135="", "", IF(Y135&lt;=3, "NO PRAZO", "ATRASADO"))</f>
        <v/>
      </c>
      <c r="AA135" s="8" t="inlineStr">
        <is>
          <t>100% - OK</t>
        </is>
      </c>
    </row>
    <row r="136" ht="20" customHeight="1">
      <c r="A136" s="7" t="inlineStr">
        <is>
          <t>RSCLER0134</t>
        </is>
      </c>
      <c r="B136" s="8" t="inlineStr">
        <is>
          <t>PORTO ALEGRE</t>
        </is>
      </c>
      <c r="C136" s="7" t="inlineStr">
        <is>
          <t>PRTAA</t>
        </is>
      </c>
      <c r="D136" s="7" t="inlineStr"/>
      <c r="E136" s="7" t="inlineStr"/>
      <c r="F136" s="8" t="inlineStr">
        <is>
          <t>Rua Josemaria Escriva 741</t>
        </is>
      </c>
      <c r="G136" s="8" t="inlineStr">
        <is>
          <t>Rua Josemaria Escriva 741</t>
        </is>
      </c>
      <c r="H136" s="7" t="inlineStr"/>
      <c r="I136" s="8" t="inlineStr">
        <is>
          <t>4 ABERTURA E FECHAMENTO, 2 DERIVAÇÃO, 8 FUSÃO,  2 TESTE  1 CX NOVA</t>
        </is>
      </c>
      <c r="J136" s="8" t="inlineStr"/>
      <c r="K136" s="8" t="inlineStr">
        <is>
          <t>MARCOS EMILIANO</t>
        </is>
      </c>
      <c r="L136" s="9" t="n">
        <v>45196</v>
      </c>
      <c r="M136" s="7" t="inlineStr"/>
      <c r="N136" s="9" t="n">
        <v>45205</v>
      </c>
      <c r="O136" s="9" t="n">
        <v>45210</v>
      </c>
      <c r="P136" s="7" t="inlineStr">
        <is>
          <t>NÃO PRECISA</t>
        </is>
      </c>
      <c r="Q136" s="9" t="n">
        <v>45223</v>
      </c>
      <c r="R136" s="7" t="inlineStr">
        <is>
          <t>Concluído Campo</t>
        </is>
      </c>
      <c r="S136" s="7" t="inlineStr"/>
      <c r="T136" s="10" t="inlineStr"/>
      <c r="U136" s="7" t="inlineStr"/>
      <c r="V136" s="7" t="inlineStr"/>
      <c r="W136" s="7" t="inlineStr"/>
      <c r="X136" s="7" t="inlineStr">
        <is>
          <t>AG. MEDIÇÃO</t>
        </is>
      </c>
      <c r="Y136" s="11">
        <f>IF(AND(L136&lt;&gt;"", S136&lt;&gt;""), S136-L136, IF(L136&lt;&gt;"", TODAY()-L136, ""))</f>
        <v/>
      </c>
      <c r="Z136" s="7">
        <f>IF(Y136="", "", IF(Y136&lt;=3, "NO PRAZO", "ATRASADO"))</f>
        <v/>
      </c>
      <c r="AA136" s="8" t="inlineStr">
        <is>
          <t>100% - OK</t>
        </is>
      </c>
    </row>
    <row r="137" ht="20" customHeight="1">
      <c r="A137" s="7" t="inlineStr">
        <is>
          <t>RSCLER0135</t>
        </is>
      </c>
      <c r="B137" s="8" t="inlineStr">
        <is>
          <t>PORTO ALEGRE</t>
        </is>
      </c>
      <c r="C137" s="7" t="inlineStr">
        <is>
          <t>TRZAA</t>
        </is>
      </c>
      <c r="D137" s="7" t="inlineStr"/>
      <c r="E137" s="7" t="inlineStr"/>
      <c r="F137" s="8" t="inlineStr">
        <is>
          <t>Cond. Scenario</t>
        </is>
      </c>
      <c r="G137" s="8" t="inlineStr">
        <is>
          <t>R Dr Dias de Carvalho 530</t>
        </is>
      </c>
      <c r="H137" s="7" t="inlineStr"/>
      <c r="I137" s="8" t="inlineStr">
        <is>
          <t>FOI LANÇADO 105 METROS DE CABO DE 12FO, 3 ABERTURA E FECHAMENTO, 12 FUSÃO, 3 DERIVAÇÃO , 1 CX NOVA E 3 TESTE</t>
        </is>
      </c>
      <c r="J137" s="8" t="inlineStr">
        <is>
          <t>ALAN</t>
        </is>
      </c>
      <c r="K137" s="8" t="inlineStr">
        <is>
          <t>GABRIEL</t>
        </is>
      </c>
      <c r="L137" s="9" t="n">
        <v>45205</v>
      </c>
      <c r="M137" s="9" t="n">
        <v>45217</v>
      </c>
      <c r="N137" s="9" t="n">
        <v>45217</v>
      </c>
      <c r="O137" s="9" t="n">
        <v>45217</v>
      </c>
      <c r="P137" s="7" t="inlineStr">
        <is>
          <t>NÃO PRECISA</t>
        </is>
      </c>
      <c r="Q137" s="9" t="n">
        <v>45223</v>
      </c>
      <c r="R137" s="7" t="inlineStr">
        <is>
          <t>Concluído Campo</t>
        </is>
      </c>
      <c r="S137" s="7" t="inlineStr"/>
      <c r="T137" s="10" t="inlineStr"/>
      <c r="U137" s="7" t="inlineStr"/>
      <c r="V137" s="7" t="inlineStr"/>
      <c r="W137" s="7" t="inlineStr"/>
      <c r="X137" s="7" t="inlineStr">
        <is>
          <t>AG. MEDIÇÃO</t>
        </is>
      </c>
      <c r="Y137" s="11">
        <f>IF(AND(L137&lt;&gt;"", S137&lt;&gt;""), S137-L137, IF(L137&lt;&gt;"", TODAY()-L137, ""))</f>
        <v/>
      </c>
      <c r="Z137" s="7">
        <f>IF(Y137="", "", IF(Y137&lt;=3, "NO PRAZO", "ATRASADO"))</f>
        <v/>
      </c>
      <c r="AA137" s="8" t="inlineStr">
        <is>
          <t>100% - OK</t>
        </is>
      </c>
    </row>
    <row r="138" ht="20" customHeight="1">
      <c r="A138" s="7" t="inlineStr">
        <is>
          <t>RSCLER0136</t>
        </is>
      </c>
      <c r="B138" s="8" t="inlineStr">
        <is>
          <t>PORTO ALEGRE</t>
        </is>
      </c>
      <c r="C138" s="7" t="inlineStr">
        <is>
          <t>NAVAB</t>
        </is>
      </c>
      <c r="D138" s="7" t="inlineStr"/>
      <c r="E138" s="7" t="inlineStr"/>
      <c r="F138" s="8" t="inlineStr">
        <is>
          <t>Cond Ef Finkler</t>
        </is>
      </c>
      <c r="G138" s="8" t="inlineStr">
        <is>
          <t>AV CAIRÚ 856</t>
        </is>
      </c>
      <c r="H138" s="7" t="inlineStr"/>
      <c r="I138" s="8" t="inlineStr">
        <is>
          <t>2 ABERTURA E FECHAMENTO, 6 FUSÃO , 1 DERIVAÇÃO , 1 CAIXA  NOVA 3 TESTE</t>
        </is>
      </c>
      <c r="J138" s="8" t="inlineStr">
        <is>
          <t>VITOR</t>
        </is>
      </c>
      <c r="K138" s="8" t="inlineStr">
        <is>
          <t>MARCOS EMILIANO</t>
        </is>
      </c>
      <c r="L138" s="9" t="n">
        <v>45205</v>
      </c>
      <c r="M138" s="9" t="n">
        <v>45205</v>
      </c>
      <c r="N138" s="9" t="n">
        <v>45209</v>
      </c>
      <c r="O138" s="9" t="n">
        <v>45230</v>
      </c>
      <c r="P138" s="7" t="inlineStr">
        <is>
          <t>NÃO PRECISA</t>
        </is>
      </c>
      <c r="Q138" s="9" t="n">
        <v>45229</v>
      </c>
      <c r="R138" s="7" t="inlineStr">
        <is>
          <t>Concluído Campo</t>
        </is>
      </c>
      <c r="S138" s="7" t="inlineStr"/>
      <c r="T138" s="10" t="inlineStr"/>
      <c r="U138" s="7" t="inlineStr"/>
      <c r="V138" s="7" t="inlineStr"/>
      <c r="W138" s="7" t="inlineStr"/>
      <c r="X138" s="7" t="inlineStr">
        <is>
          <t>AG. MEDIÇÃO</t>
        </is>
      </c>
      <c r="Y138" s="11">
        <f>IF(AND(L138&lt;&gt;"", S138&lt;&gt;""), S138-L138, IF(L138&lt;&gt;"", TODAY()-L138, ""))</f>
        <v/>
      </c>
      <c r="Z138" s="7">
        <f>IF(Y138="", "", IF(Y138&lt;=3, "NO PRAZO", "ATRASADO"))</f>
        <v/>
      </c>
      <c r="AA138" s="8" t="inlineStr">
        <is>
          <t>100% - OK</t>
        </is>
      </c>
    </row>
    <row r="139" ht="20" customHeight="1">
      <c r="A139" s="7" t="inlineStr">
        <is>
          <t>RSCLER0137</t>
        </is>
      </c>
      <c r="B139" s="8" t="inlineStr">
        <is>
          <t>PORTO ALEGRE</t>
        </is>
      </c>
      <c r="C139" s="7" t="inlineStr">
        <is>
          <t>BVSAB</t>
        </is>
      </c>
      <c r="D139" s="7" t="inlineStr"/>
      <c r="E139" s="7" t="inlineStr"/>
      <c r="F139" s="8" t="inlineStr">
        <is>
          <t>Edf Teená</t>
        </is>
      </c>
      <c r="G139" s="8" t="inlineStr">
        <is>
          <t>R Eng Ildefonso Simões Lopes 190</t>
        </is>
      </c>
      <c r="H139" s="7" t="inlineStr"/>
      <c r="I139" s="8" t="inlineStr">
        <is>
          <t>SEM SINAL/ INSUFICIÊNCIA DE FIBRA, SERÁ NECESSARIO OUTRO CABO DE 12FO, FAZER AS BULTS 3 ABERTURA E FECHAMENTO, 3 FUSÃO , 1 TESTE</t>
        </is>
      </c>
      <c r="J139" s="8" t="inlineStr"/>
      <c r="K139" s="8" t="inlineStr">
        <is>
          <t>LUCAS HOBERT</t>
        </is>
      </c>
      <c r="L139" s="9" t="n">
        <v>45205</v>
      </c>
      <c r="M139" s="7" t="inlineStr"/>
      <c r="N139" s="9" t="n">
        <v>45210</v>
      </c>
      <c r="O139" s="9" t="n">
        <v>45224</v>
      </c>
      <c r="P139" s="7" t="inlineStr">
        <is>
          <t>NÃO PRECISA</t>
        </is>
      </c>
      <c r="Q139" s="9" t="n">
        <v>45250</v>
      </c>
      <c r="R139" s="7" t="inlineStr">
        <is>
          <t>Concluído Campo</t>
        </is>
      </c>
      <c r="S139" s="7" t="inlineStr"/>
      <c r="T139" s="10" t="inlineStr"/>
      <c r="U139" s="7" t="inlineStr"/>
      <c r="V139" s="7" t="inlineStr"/>
      <c r="W139" s="7" t="inlineStr"/>
      <c r="X139" s="7" t="inlineStr">
        <is>
          <t>AG. MEDIÇÃO</t>
        </is>
      </c>
      <c r="Y139" s="11">
        <f>IF(AND(L139&lt;&gt;"", S139&lt;&gt;""), S139-L139, IF(L139&lt;&gt;"", TODAY()-L139, ""))</f>
        <v/>
      </c>
      <c r="Z139" s="7">
        <f>IF(Y139="", "", IF(Y139&lt;=3, "NO PRAZO", "ATRASADO"))</f>
        <v/>
      </c>
      <c r="AA139" s="8" t="inlineStr">
        <is>
          <t>100% - OK</t>
        </is>
      </c>
    </row>
    <row r="140" ht="20" customHeight="1">
      <c r="A140" s="7" t="inlineStr">
        <is>
          <t>RSCLER0138</t>
        </is>
      </c>
      <c r="B140" s="8" t="inlineStr">
        <is>
          <t>PORTO ALEGRE</t>
        </is>
      </c>
      <c r="C140" s="7" t="inlineStr">
        <is>
          <t>FLOAB</t>
        </is>
      </c>
      <c r="D140" s="7" t="inlineStr"/>
      <c r="E140" s="7" t="inlineStr"/>
      <c r="F140" s="8" t="inlineStr">
        <is>
          <t>Cond Edifício Maira</t>
        </is>
      </c>
      <c r="G140" s="8" t="inlineStr">
        <is>
          <t>Rua Garibaldi, 920 - Independência</t>
        </is>
      </c>
      <c r="H140" s="7" t="inlineStr"/>
      <c r="I140" s="8" t="inlineStr">
        <is>
          <t>3 ABERTURA E FECHAMENTO, 4 FUSÃO, 2 TESTE</t>
        </is>
      </c>
      <c r="J140" s="8" t="inlineStr"/>
      <c r="K140" s="8" t="inlineStr">
        <is>
          <t>MARCOS EMILIANO</t>
        </is>
      </c>
      <c r="L140" s="9" t="n">
        <v>45205</v>
      </c>
      <c r="M140" s="7" t="inlineStr"/>
      <c r="N140" s="9" t="n">
        <v>45212</v>
      </c>
      <c r="O140" s="9" t="n">
        <v>45213</v>
      </c>
      <c r="P140" s="7" t="inlineStr">
        <is>
          <t>NÃO PRECISA</t>
        </is>
      </c>
      <c r="Q140" s="9" t="n">
        <v>45223</v>
      </c>
      <c r="R140" s="7" t="inlineStr">
        <is>
          <t>Concluído Campo</t>
        </is>
      </c>
      <c r="S140" s="7" t="inlineStr"/>
      <c r="T140" s="10" t="inlineStr"/>
      <c r="U140" s="7" t="inlineStr"/>
      <c r="V140" s="7" t="inlineStr"/>
      <c r="W140" s="7" t="inlineStr"/>
      <c r="X140" s="7" t="inlineStr">
        <is>
          <t>AG. MEDIÇÃO</t>
        </is>
      </c>
      <c r="Y140" s="11">
        <f>IF(AND(L140&lt;&gt;"", S140&lt;&gt;""), S140-L140, IF(L140&lt;&gt;"", TODAY()-L140, ""))</f>
        <v/>
      </c>
      <c r="Z140" s="7">
        <f>IF(Y140="", "", IF(Y140&lt;=3, "NO PRAZO", "ATRASADO"))</f>
        <v/>
      </c>
      <c r="AA140" s="8" t="inlineStr">
        <is>
          <t>100% - OK</t>
        </is>
      </c>
    </row>
    <row r="141" ht="20" customHeight="1">
      <c r="A141" s="7" t="inlineStr">
        <is>
          <t>RSCLER0139</t>
        </is>
      </c>
      <c r="B141" s="8" t="inlineStr">
        <is>
          <t>PORTO ALEGRE</t>
        </is>
      </c>
      <c r="C141" s="7" t="inlineStr">
        <is>
          <t>NAVAB</t>
        </is>
      </c>
      <c r="D141" s="7" t="inlineStr"/>
      <c r="E141" s="7" t="inlineStr"/>
      <c r="F141" s="8" t="inlineStr">
        <is>
          <t>Cond Ef Sonata</t>
        </is>
      </c>
      <c r="G141" s="8" t="inlineStr">
        <is>
          <t>AV CAIRÚ 992</t>
        </is>
      </c>
      <c r="H141" s="7" t="inlineStr"/>
      <c r="I141" s="8" t="inlineStr">
        <is>
          <t>2 ABERTURA E FECHAMENTO, 4 FUSÃO , 1 DERIVAÇÃO , 1 CAIXA  NOVA 2 TESTE</t>
        </is>
      </c>
      <c r="J141" s="8" t="inlineStr">
        <is>
          <t>VITOR</t>
        </is>
      </c>
      <c r="K141" s="8" t="inlineStr">
        <is>
          <t>MARCOS EMILIANO</t>
        </is>
      </c>
      <c r="L141" s="9" t="n">
        <v>45205</v>
      </c>
      <c r="M141" s="9" t="n">
        <v>45205</v>
      </c>
      <c r="N141" s="9" t="n">
        <v>45209</v>
      </c>
      <c r="O141" s="9" t="n">
        <v>45230</v>
      </c>
      <c r="P141" s="7" t="inlineStr">
        <is>
          <t>NÃO PRECISA</t>
        </is>
      </c>
      <c r="Q141" s="9" t="n">
        <v>45229</v>
      </c>
      <c r="R141" s="7" t="inlineStr">
        <is>
          <t>Concluído Campo</t>
        </is>
      </c>
      <c r="S141" s="7" t="inlineStr"/>
      <c r="T141" s="10" t="inlineStr"/>
      <c r="U141" s="7" t="inlineStr"/>
      <c r="V141" s="7" t="inlineStr"/>
      <c r="W141" s="7" t="inlineStr"/>
      <c r="X141" s="7" t="inlineStr">
        <is>
          <t>AG. MEDIÇÃO</t>
        </is>
      </c>
      <c r="Y141" s="11">
        <f>IF(AND(L141&lt;&gt;"", S141&lt;&gt;""), S141-L141, IF(L141&lt;&gt;"", TODAY()-L141, ""))</f>
        <v/>
      </c>
      <c r="Z141" s="7">
        <f>IF(Y141="", "", IF(Y141&lt;=3, "NO PRAZO", "ATRASADO"))</f>
        <v/>
      </c>
      <c r="AA141" s="8" t="inlineStr">
        <is>
          <t>100% - OK</t>
        </is>
      </c>
    </row>
    <row r="142" ht="20" customHeight="1">
      <c r="A142" s="7" t="inlineStr">
        <is>
          <t>RSCLER0140</t>
        </is>
      </c>
      <c r="B142" s="8" t="inlineStr">
        <is>
          <t>PORTO ALEGRE</t>
        </is>
      </c>
      <c r="C142" s="7" t="inlineStr">
        <is>
          <t>MNDAA</t>
        </is>
      </c>
      <c r="D142" s="7" t="inlineStr"/>
      <c r="E142" s="7" t="inlineStr"/>
      <c r="F142" s="8" t="inlineStr">
        <is>
          <t>Edf Prime</t>
        </is>
      </c>
      <c r="G142" s="8" t="inlineStr">
        <is>
          <t>R Nunes Machado 76</t>
        </is>
      </c>
      <c r="H142" s="7" t="inlineStr"/>
      <c r="I142" s="8" t="inlineStr">
        <is>
          <t>2 ABERTURA E FECHAMENTO, 2 FUSÃO, 2 TESTE</t>
        </is>
      </c>
      <c r="J142" s="8" t="inlineStr"/>
      <c r="K142" s="8" t="inlineStr">
        <is>
          <t>PAULO GOMES</t>
        </is>
      </c>
      <c r="L142" s="9" t="n">
        <v>45211</v>
      </c>
      <c r="M142" s="7" t="inlineStr"/>
      <c r="N142" s="9" t="n">
        <v>45219</v>
      </c>
      <c r="O142" s="9" t="n">
        <v>45219</v>
      </c>
      <c r="P142" s="7" t="inlineStr">
        <is>
          <t>NÃO PRECISA</t>
        </is>
      </c>
      <c r="Q142" s="9" t="n">
        <v>45223</v>
      </c>
      <c r="R142" s="7" t="inlineStr">
        <is>
          <t>Concluído Campo</t>
        </is>
      </c>
      <c r="S142" s="7" t="inlineStr"/>
      <c r="T142" s="10" t="inlineStr"/>
      <c r="U142" s="7" t="inlineStr"/>
      <c r="V142" s="7" t="inlineStr"/>
      <c r="W142" s="7" t="inlineStr"/>
      <c r="X142" s="7" t="inlineStr">
        <is>
          <t>AG. MEDIÇÃO</t>
        </is>
      </c>
      <c r="Y142" s="11">
        <f>IF(AND(L142&lt;&gt;"", S142&lt;&gt;""), S142-L142, IF(L142&lt;&gt;"", TODAY()-L142, ""))</f>
        <v/>
      </c>
      <c r="Z142" s="7">
        <f>IF(Y142="", "", IF(Y142&lt;=3, "NO PRAZO", "ATRASADO"))</f>
        <v/>
      </c>
      <c r="AA142" s="8" t="inlineStr">
        <is>
          <t>100% - OK</t>
        </is>
      </c>
    </row>
    <row r="143" ht="20" customHeight="1">
      <c r="A143" s="7" t="inlineStr">
        <is>
          <t>RSCLER0141</t>
        </is>
      </c>
      <c r="B143" s="8" t="inlineStr">
        <is>
          <t>PORTO ALEGRE</t>
        </is>
      </c>
      <c r="C143" s="7" t="inlineStr">
        <is>
          <t>CNTAA</t>
        </is>
      </c>
      <c r="D143" s="7" t="inlineStr"/>
      <c r="E143" s="7" t="inlineStr"/>
      <c r="F143" s="8" t="inlineStr">
        <is>
          <t>Edf Santa Lucia</t>
        </is>
      </c>
      <c r="G143" s="8" t="inlineStr">
        <is>
          <t>R Cel Genuino 280</t>
        </is>
      </c>
      <c r="H143" s="7" t="inlineStr"/>
      <c r="I143" s="8" t="inlineStr">
        <is>
          <t>2 ABERTURA E FECHAMENTO, 4 FUSÃO, 2 DERIVAÇÃO, 100 METROS DE CABO</t>
        </is>
      </c>
      <c r="J143" s="8" t="inlineStr"/>
      <c r="K143" s="8" t="inlineStr">
        <is>
          <t>BRUNO</t>
        </is>
      </c>
      <c r="L143" s="9" t="n">
        <v>45211</v>
      </c>
      <c r="M143" s="9" t="n">
        <v>45216</v>
      </c>
      <c r="N143" s="9" t="n">
        <v>45216</v>
      </c>
      <c r="O143" s="9" t="n">
        <v>45216</v>
      </c>
      <c r="P143" s="7" t="inlineStr">
        <is>
          <t>NÃO PRECISA</t>
        </is>
      </c>
      <c r="Q143" s="9" t="n">
        <v>45223</v>
      </c>
      <c r="R143" s="7" t="inlineStr">
        <is>
          <t>Concluído Campo</t>
        </is>
      </c>
      <c r="S143" s="7" t="inlineStr"/>
      <c r="T143" s="10" t="inlineStr"/>
      <c r="U143" s="7" t="inlineStr"/>
      <c r="V143" s="7" t="inlineStr"/>
      <c r="W143" s="7" t="inlineStr"/>
      <c r="X143" s="7" t="inlineStr">
        <is>
          <t>AG. MEDIÇÃO</t>
        </is>
      </c>
      <c r="Y143" s="11">
        <f>IF(AND(L143&lt;&gt;"", S143&lt;&gt;""), S143-L143, IF(L143&lt;&gt;"", TODAY()-L143, ""))</f>
        <v/>
      </c>
      <c r="Z143" s="7">
        <f>IF(Y143="", "", IF(Y143&lt;=3, "NO PRAZO", "ATRASADO"))</f>
        <v/>
      </c>
      <c r="AA143" s="8" t="inlineStr">
        <is>
          <t>100% - OK</t>
        </is>
      </c>
    </row>
    <row r="144" ht="20" customHeight="1">
      <c r="A144" s="7" t="inlineStr">
        <is>
          <t>RSCLER0142</t>
        </is>
      </c>
      <c r="B144" s="8" t="inlineStr">
        <is>
          <t>PORTO ALEGRE</t>
        </is>
      </c>
      <c r="C144" s="7" t="inlineStr">
        <is>
          <t>SPEAA</t>
        </is>
      </c>
      <c r="D144" s="7" t="inlineStr"/>
      <c r="E144" s="7" t="inlineStr"/>
      <c r="F144" s="8" t="inlineStr">
        <is>
          <t>Curaçao Acqua Home</t>
        </is>
      </c>
      <c r="G144" s="8" t="inlineStr">
        <is>
          <t>Rua Edmundo Bastian 1012</t>
        </is>
      </c>
      <c r="H144" s="7" t="inlineStr"/>
      <c r="I144" s="8" t="inlineStr">
        <is>
          <t>foi lançado 50 metros  de sobras feita 2 abertura  11 fusão 5 teste OBS: FOI FEITO FUSÃO NO MDU</t>
        </is>
      </c>
      <c r="J144" s="8" t="inlineStr">
        <is>
          <t>LUCAS HOBERT</t>
        </is>
      </c>
      <c r="K144" s="8" t="inlineStr">
        <is>
          <t>LUCAS HOBERT</t>
        </is>
      </c>
      <c r="L144" s="9" t="n">
        <v>45217</v>
      </c>
      <c r="M144" s="9" t="n">
        <v>45217</v>
      </c>
      <c r="N144" s="9" t="n">
        <v>45217</v>
      </c>
      <c r="O144" s="9" t="n">
        <v>45222</v>
      </c>
      <c r="P144" s="7" t="inlineStr">
        <is>
          <t>NÃO PRECISA</t>
        </is>
      </c>
      <c r="Q144" s="9" t="n">
        <v>45223</v>
      </c>
      <c r="R144" s="7" t="inlineStr">
        <is>
          <t>Concluído Campo</t>
        </is>
      </c>
      <c r="S144" s="7" t="inlineStr"/>
      <c r="T144" s="10" t="inlineStr"/>
      <c r="U144" s="7" t="inlineStr"/>
      <c r="V144" s="7" t="inlineStr"/>
      <c r="W144" s="7" t="inlineStr"/>
      <c r="X144" s="7" t="inlineStr">
        <is>
          <t>AG. MEDIÇÃO</t>
        </is>
      </c>
      <c r="Y144" s="11">
        <f>IF(AND(L144&lt;&gt;"", S144&lt;&gt;""), S144-L144, IF(L144&lt;&gt;"", TODAY()-L144, ""))</f>
        <v/>
      </c>
      <c r="Z144" s="7">
        <f>IF(Y144="", "", IF(Y144&lt;=3, "NO PRAZO", "ATRASADO"))</f>
        <v/>
      </c>
      <c r="AA144" s="8" t="inlineStr">
        <is>
          <t>100% - OK</t>
        </is>
      </c>
    </row>
    <row r="145" ht="20" customHeight="1">
      <c r="A145" s="7" t="inlineStr">
        <is>
          <t>RSCLER0143</t>
        </is>
      </c>
      <c r="B145" s="8" t="inlineStr">
        <is>
          <t>PORTO ALEGRE</t>
        </is>
      </c>
      <c r="C145" s="7" t="inlineStr">
        <is>
          <t>BVSAA</t>
        </is>
      </c>
      <c r="D145" s="7" t="inlineStr"/>
      <c r="E145" s="7" t="inlineStr"/>
      <c r="F145" s="8" t="inlineStr">
        <is>
          <t>RES. PARQUE IGUATEMI</t>
        </is>
      </c>
      <c r="G145" s="8" t="inlineStr">
        <is>
          <t>AV NILO PEÇANHA 2863</t>
        </is>
      </c>
      <c r="H145" s="7" t="inlineStr"/>
      <c r="I145" s="8" t="inlineStr">
        <is>
          <t>2 ABERTURA E FECHAMENTO, 2 FUSÃO, 2 TESTE</t>
        </is>
      </c>
      <c r="J145" s="8" t="inlineStr"/>
      <c r="K145" s="8" t="inlineStr">
        <is>
          <t>GABRIEL</t>
        </is>
      </c>
      <c r="L145" s="9" t="n">
        <v>45217</v>
      </c>
      <c r="M145" s="7" t="inlineStr"/>
      <c r="N145" s="7" t="inlineStr"/>
      <c r="O145" s="9" t="n">
        <v>45219</v>
      </c>
      <c r="P145" s="7" t="inlineStr">
        <is>
          <t>NÃO PRECISA</t>
        </is>
      </c>
      <c r="Q145" s="9" t="n">
        <v>45229</v>
      </c>
      <c r="R145" s="7" t="inlineStr">
        <is>
          <t>Concluído Campo</t>
        </is>
      </c>
      <c r="S145" s="7" t="inlineStr"/>
      <c r="T145" s="10" t="inlineStr"/>
      <c r="U145" s="7" t="inlineStr"/>
      <c r="V145" s="7" t="inlineStr"/>
      <c r="W145" s="7" t="inlineStr"/>
      <c r="X145" s="7" t="inlineStr">
        <is>
          <t>AG. MEDIÇÃO</t>
        </is>
      </c>
      <c r="Y145" s="11">
        <f>IF(AND(L145&lt;&gt;"", S145&lt;&gt;""), S145-L145, IF(L145&lt;&gt;"", TODAY()-L145, ""))</f>
        <v/>
      </c>
      <c r="Z145" s="7">
        <f>IF(Y145="", "", IF(Y145&lt;=3, "NO PRAZO", "ATRASADO"))</f>
        <v/>
      </c>
      <c r="AA145" s="8" t="inlineStr">
        <is>
          <t>100% - OK</t>
        </is>
      </c>
    </row>
    <row r="146" ht="20" customHeight="1">
      <c r="A146" s="7" t="inlineStr">
        <is>
          <t>RSCLER0144</t>
        </is>
      </c>
      <c r="B146" s="8" t="inlineStr">
        <is>
          <t>PORTO ALEGRE</t>
        </is>
      </c>
      <c r="C146" s="7" t="inlineStr">
        <is>
          <t>RBRAA</t>
        </is>
      </c>
      <c r="D146" s="7" t="inlineStr"/>
      <c r="E146" s="7" t="inlineStr"/>
      <c r="F146" s="8" t="inlineStr">
        <is>
          <t>CORTE REAL, 310</t>
        </is>
      </c>
      <c r="G146" s="8" t="inlineStr">
        <is>
          <t>CORTE REAL; 310</t>
        </is>
      </c>
      <c r="H146" s="7" t="inlineStr"/>
      <c r="I146" s="8" t="inlineStr">
        <is>
          <t>180 METROS DE CABO LANÇADO , 12 FUSÃO , 1CX NOVA, 2 ABERTURA E FECHAMENTO , 4 TESTE OBS: FOI FEITO FUSÃO DO MDU</t>
        </is>
      </c>
      <c r="J146" s="8" t="inlineStr">
        <is>
          <t>ADRIANO</t>
        </is>
      </c>
      <c r="K146" s="8" t="inlineStr">
        <is>
          <t>LUCAS HOBERT</t>
        </is>
      </c>
      <c r="L146" s="9" t="n">
        <v>45219</v>
      </c>
      <c r="M146" s="9" t="n">
        <v>45218</v>
      </c>
      <c r="N146" s="9" t="n">
        <v>45223</v>
      </c>
      <c r="O146" s="9" t="n">
        <v>45223</v>
      </c>
      <c r="P146" s="7" t="inlineStr">
        <is>
          <t>NÃO PRECISA</t>
        </is>
      </c>
      <c r="Q146" s="9" t="n">
        <v>45229</v>
      </c>
      <c r="R146" s="7" t="inlineStr">
        <is>
          <t>Concluído Campo</t>
        </is>
      </c>
      <c r="S146" s="7" t="inlineStr"/>
      <c r="T146" s="10" t="inlineStr"/>
      <c r="U146" s="7" t="inlineStr"/>
      <c r="V146" s="7" t="inlineStr"/>
      <c r="W146" s="7" t="inlineStr"/>
      <c r="X146" s="7" t="inlineStr">
        <is>
          <t>AG. MEDIÇÃO</t>
        </is>
      </c>
      <c r="Y146" s="11">
        <f>IF(AND(L146&lt;&gt;"", S146&lt;&gt;""), S146-L146, IF(L146&lt;&gt;"", TODAY()-L146, ""))</f>
        <v/>
      </c>
      <c r="Z146" s="7">
        <f>IF(Y146="", "", IF(Y146&lt;=3, "NO PRAZO", "ATRASADO"))</f>
        <v/>
      </c>
      <c r="AA146" s="8" t="inlineStr">
        <is>
          <t>100% - OK</t>
        </is>
      </c>
    </row>
    <row r="147" ht="20" customHeight="1">
      <c r="A147" s="7" t="inlineStr">
        <is>
          <t>RSCLER0145</t>
        </is>
      </c>
      <c r="B147" s="8" t="inlineStr">
        <is>
          <t>PORTO ALEGRE</t>
        </is>
      </c>
      <c r="C147" s="7" t="inlineStr">
        <is>
          <t>MTSAA</t>
        </is>
      </c>
      <c r="D147" s="7" t="inlineStr"/>
      <c r="E147" s="7" t="inlineStr"/>
      <c r="F147" s="8" t="inlineStr">
        <is>
          <t>Cond. Astley</t>
        </is>
      </c>
      <c r="G147" s="8" t="inlineStr">
        <is>
          <t>Rua Jaraguá, 38</t>
        </is>
      </c>
      <c r="H147" s="7" t="inlineStr"/>
      <c r="I147" s="8" t="inlineStr">
        <is>
          <t>3 ABERTURA E FECHAMENTO, 3 FUSÃO, 1 TESTE</t>
        </is>
      </c>
      <c r="J147" s="8" t="inlineStr"/>
      <c r="K147" s="8" t="inlineStr">
        <is>
          <t>PAULO GOMES</t>
        </is>
      </c>
      <c r="L147" s="9" t="n">
        <v>45224</v>
      </c>
      <c r="M147" s="7" t="inlineStr"/>
      <c r="N147" s="9" t="n">
        <v>45224</v>
      </c>
      <c r="O147" s="9" t="n">
        <v>45224</v>
      </c>
      <c r="P147" s="7" t="inlineStr">
        <is>
          <t>NÃO PRECISA</t>
        </is>
      </c>
      <c r="Q147" s="9" t="n">
        <v>45229</v>
      </c>
      <c r="R147" s="7" t="inlineStr">
        <is>
          <t>Concluído Campo</t>
        </is>
      </c>
      <c r="S147" s="7" t="inlineStr"/>
      <c r="T147" s="10" t="inlineStr"/>
      <c r="U147" s="7" t="inlineStr"/>
      <c r="V147" s="7" t="inlineStr"/>
      <c r="W147" s="7" t="inlineStr"/>
      <c r="X147" s="7" t="inlineStr">
        <is>
          <t>AG. MEDIÇÃO</t>
        </is>
      </c>
      <c r="Y147" s="11">
        <f>IF(AND(L147&lt;&gt;"", S147&lt;&gt;""), S147-L147, IF(L147&lt;&gt;"", TODAY()-L147, ""))</f>
        <v/>
      </c>
      <c r="Z147" s="7">
        <f>IF(Y147="", "", IF(Y147&lt;=3, "NO PRAZO", "ATRASADO"))</f>
        <v/>
      </c>
      <c r="AA147" s="8" t="inlineStr">
        <is>
          <t>100% - OK</t>
        </is>
      </c>
    </row>
    <row r="148" ht="20" customHeight="1">
      <c r="A148" s="7" t="inlineStr">
        <is>
          <t>RSCLER0146</t>
        </is>
      </c>
      <c r="B148" s="8" t="inlineStr">
        <is>
          <t>PORTO ALEGRE</t>
        </is>
      </c>
      <c r="C148" s="7" t="inlineStr">
        <is>
          <t>NAVAB</t>
        </is>
      </c>
      <c r="D148" s="7" t="inlineStr"/>
      <c r="E148" s="7" t="inlineStr"/>
      <c r="F148" s="8" t="inlineStr">
        <is>
          <t>Av Pernambuco 1634</t>
        </is>
      </c>
      <c r="G148" s="8" t="inlineStr">
        <is>
          <t>Av Pernambuco 1634</t>
        </is>
      </c>
      <c r="H148" s="7" t="inlineStr"/>
      <c r="I148" s="8" t="inlineStr">
        <is>
          <t>2 ABERTURA E FECHAMENTO, 2 FUSÃO , 1 TESTE</t>
        </is>
      </c>
      <c r="J148" s="8" t="inlineStr"/>
      <c r="K148" s="8" t="inlineStr">
        <is>
          <t>PAULO GOMES</t>
        </is>
      </c>
      <c r="L148" s="9" t="n">
        <v>45224</v>
      </c>
      <c r="M148" s="7" t="inlineStr"/>
      <c r="N148" s="9" t="n">
        <v>45224</v>
      </c>
      <c r="O148" s="9" t="n">
        <v>45224</v>
      </c>
      <c r="P148" s="7" t="inlineStr">
        <is>
          <t>NÃO PRECISA</t>
        </is>
      </c>
      <c r="Q148" s="9" t="n">
        <v>45229</v>
      </c>
      <c r="R148" s="7" t="inlineStr">
        <is>
          <t>Concluído Campo</t>
        </is>
      </c>
      <c r="S148" s="7" t="inlineStr"/>
      <c r="T148" s="10" t="inlineStr"/>
      <c r="U148" s="7" t="inlineStr"/>
      <c r="V148" s="7" t="inlineStr"/>
      <c r="W148" s="7" t="inlineStr"/>
      <c r="X148" s="7" t="inlineStr">
        <is>
          <t>AG. MEDIÇÃO</t>
        </is>
      </c>
      <c r="Y148" s="11">
        <f>IF(AND(L148&lt;&gt;"", S148&lt;&gt;""), S148-L148, IF(L148&lt;&gt;"", TODAY()-L148, ""))</f>
        <v/>
      </c>
      <c r="Z148" s="7">
        <f>IF(Y148="", "", IF(Y148&lt;=3, "NO PRAZO", "ATRASADO"))</f>
        <v/>
      </c>
      <c r="AA148" s="8" t="inlineStr">
        <is>
          <t>100% - OK</t>
        </is>
      </c>
    </row>
    <row r="149" ht="20" customHeight="1">
      <c r="A149" s="7" t="inlineStr">
        <is>
          <t>RSCLER0147</t>
        </is>
      </c>
      <c r="B149" s="8" t="inlineStr">
        <is>
          <t>PORTO ALEGRE</t>
        </is>
      </c>
      <c r="C149" s="7" t="inlineStr">
        <is>
          <t>MNDAA</t>
        </is>
      </c>
      <c r="D149" s="7" t="inlineStr"/>
      <c r="E149" s="7" t="inlineStr"/>
      <c r="F149" s="8" t="inlineStr">
        <is>
          <t>Res. Toledo</t>
        </is>
      </c>
      <c r="G149" s="8" t="inlineStr">
        <is>
          <t>Av. Getúlio Vargas, 1026</t>
        </is>
      </c>
      <c r="H149" s="7" t="inlineStr"/>
      <c r="I149" s="8" t="inlineStr">
        <is>
          <t>2 ABERTURA E FECHAMENTO, 5 FUSÃO, 5 TESTE</t>
        </is>
      </c>
      <c r="J149" s="8" t="inlineStr"/>
      <c r="K149" s="8" t="inlineStr">
        <is>
          <t>LUCAS HOBERT</t>
        </is>
      </c>
      <c r="L149" s="9" t="n">
        <v>45224</v>
      </c>
      <c r="M149" s="7" t="inlineStr"/>
      <c r="N149" s="9" t="n">
        <v>45231</v>
      </c>
      <c r="O149" s="9" t="n">
        <v>45230</v>
      </c>
      <c r="P149" s="7" t="inlineStr">
        <is>
          <t>NÃO PRECISA</t>
        </is>
      </c>
      <c r="Q149" s="9" t="n">
        <v>45250</v>
      </c>
      <c r="R149" s="7" t="inlineStr">
        <is>
          <t>Concluído Campo</t>
        </is>
      </c>
      <c r="S149" s="7" t="inlineStr"/>
      <c r="T149" s="10" t="inlineStr"/>
      <c r="U149" s="7" t="inlineStr"/>
      <c r="V149" s="7" t="inlineStr"/>
      <c r="W149" s="7" t="inlineStr"/>
      <c r="X149" s="7" t="inlineStr">
        <is>
          <t>AG. MEDIÇÃO</t>
        </is>
      </c>
      <c r="Y149" s="11">
        <f>IF(AND(L149&lt;&gt;"", S149&lt;&gt;""), S149-L149, IF(L149&lt;&gt;"", TODAY()-L149, ""))</f>
        <v/>
      </c>
      <c r="Z149" s="7">
        <f>IF(Y149="", "", IF(Y149&lt;=3, "NO PRAZO", "ATRASADO"))</f>
        <v/>
      </c>
      <c r="AA149" s="8" t="inlineStr">
        <is>
          <t>100% - OK</t>
        </is>
      </c>
    </row>
    <row r="150" ht="20" customHeight="1">
      <c r="A150" s="7" t="inlineStr">
        <is>
          <t>RSCLER0148</t>
        </is>
      </c>
      <c r="B150" s="8" t="inlineStr">
        <is>
          <t>PORTO ALEGRE</t>
        </is>
      </c>
      <c r="C150" s="7" t="inlineStr">
        <is>
          <t>BFMAA</t>
        </is>
      </c>
      <c r="D150" s="7" t="inlineStr"/>
      <c r="E150" s="7" t="inlineStr"/>
      <c r="F150" s="8" t="inlineStr">
        <is>
          <t>Cond Ed Dr Jose Ricaldone</t>
        </is>
      </c>
      <c r="G150" s="8" t="inlineStr">
        <is>
          <t>Santo Antônio, 505</t>
        </is>
      </c>
      <c r="H150" s="7" t="inlineStr"/>
      <c r="I150" s="8" t="inlineStr">
        <is>
          <t>2 ABERTURA E FECHAMENTO -4 FUSÃO, 2 TESTE</t>
        </is>
      </c>
      <c r="J150" s="8" t="inlineStr"/>
      <c r="K150" s="8" t="inlineStr">
        <is>
          <t>LUCAS HOBERT</t>
        </is>
      </c>
      <c r="L150" s="9" t="n">
        <v>45224</v>
      </c>
      <c r="M150" s="7" t="inlineStr"/>
      <c r="N150" s="9" t="n">
        <v>45224</v>
      </c>
      <c r="O150" s="9" t="n">
        <v>45224</v>
      </c>
      <c r="P150" s="7" t="inlineStr">
        <is>
          <t>NÃO PRECISA</t>
        </is>
      </c>
      <c r="Q150" s="9" t="n">
        <v>45229</v>
      </c>
      <c r="R150" s="7" t="inlineStr">
        <is>
          <t>Concluído Campo</t>
        </is>
      </c>
      <c r="S150" s="7" t="inlineStr"/>
      <c r="T150" s="10" t="inlineStr"/>
      <c r="U150" s="7" t="inlineStr"/>
      <c r="V150" s="7" t="inlineStr"/>
      <c r="W150" s="7" t="inlineStr"/>
      <c r="X150" s="7" t="inlineStr">
        <is>
          <t>AG. MEDIÇÃO</t>
        </is>
      </c>
      <c r="Y150" s="11">
        <f>IF(AND(L150&lt;&gt;"", S150&lt;&gt;""), S150-L150, IF(L150&lt;&gt;"", TODAY()-L150, ""))</f>
        <v/>
      </c>
      <c r="Z150" s="7">
        <f>IF(Y150="", "", IF(Y150&lt;=3, "NO PRAZO", "ATRASADO"))</f>
        <v/>
      </c>
      <c r="AA150" s="8" t="inlineStr">
        <is>
          <t>100% - OK</t>
        </is>
      </c>
    </row>
    <row r="151" ht="20" customHeight="1">
      <c r="A151" s="7" t="inlineStr">
        <is>
          <t>RSCLER0149</t>
        </is>
      </c>
      <c r="B151" s="8" t="inlineStr">
        <is>
          <t>PORTO ALEGRE</t>
        </is>
      </c>
      <c r="C151" s="7" t="inlineStr">
        <is>
          <t>RBTAA</t>
        </is>
      </c>
      <c r="D151" s="7" t="inlineStr"/>
      <c r="E151" s="7" t="inlineStr"/>
      <c r="F151" s="8" t="inlineStr">
        <is>
          <t>ED. LUXOR</t>
        </is>
      </c>
      <c r="G151" s="8" t="inlineStr">
        <is>
          <t>R ENG FERNANDO ABREU PEREIRA 710</t>
        </is>
      </c>
      <c r="H151" s="7" t="inlineStr"/>
      <c r="I151" s="8" t="inlineStr">
        <is>
          <t>2 ABERTURA E FECHAMENTO, 1 FUSÃO, 1 TESTE</t>
        </is>
      </c>
      <c r="J151" s="8" t="inlineStr"/>
      <c r="K151" s="8" t="inlineStr">
        <is>
          <t>PAULO GOMES</t>
        </is>
      </c>
      <c r="L151" s="9" t="n">
        <v>45225</v>
      </c>
      <c r="M151" s="7" t="inlineStr"/>
      <c r="N151" s="9" t="n">
        <v>45225</v>
      </c>
      <c r="O151" s="9" t="n">
        <v>45225</v>
      </c>
      <c r="P151" s="7" t="inlineStr">
        <is>
          <t>NÃO PRECISA</t>
        </is>
      </c>
      <c r="Q151" s="9" t="n">
        <v>45229</v>
      </c>
      <c r="R151" s="7" t="inlineStr">
        <is>
          <t>Concluído Campo</t>
        </is>
      </c>
      <c r="S151" s="7" t="inlineStr"/>
      <c r="T151" s="10" t="inlineStr"/>
      <c r="U151" s="7" t="inlineStr"/>
      <c r="V151" s="7" t="inlineStr"/>
      <c r="W151" s="7" t="inlineStr"/>
      <c r="X151" s="7" t="inlineStr">
        <is>
          <t>AG. MEDIÇÃO</t>
        </is>
      </c>
      <c r="Y151" s="11">
        <f>IF(AND(L151&lt;&gt;"", S151&lt;&gt;""), S151-L151, IF(L151&lt;&gt;"", TODAY()-L151, ""))</f>
        <v/>
      </c>
      <c r="Z151" s="7">
        <f>IF(Y151="", "", IF(Y151&lt;=3, "NO PRAZO", "ATRASADO"))</f>
        <v/>
      </c>
      <c r="AA151" s="8" t="inlineStr">
        <is>
          <t>100% - OK</t>
        </is>
      </c>
    </row>
    <row r="152" ht="20" customHeight="1">
      <c r="A152" s="7" t="inlineStr">
        <is>
          <t>RSCLER0150</t>
        </is>
      </c>
      <c r="B152" s="8" t="inlineStr">
        <is>
          <t>PORTO ALEGRE</t>
        </is>
      </c>
      <c r="C152" s="7" t="inlineStr">
        <is>
          <t>BVSAA</t>
        </is>
      </c>
      <c r="D152" s="7" t="inlineStr"/>
      <c r="E152" s="7" t="inlineStr"/>
      <c r="F152" s="8" t="inlineStr">
        <is>
          <t>RES. VILLAGIO DI FIRENZE</t>
        </is>
      </c>
      <c r="G152" s="8" t="inlineStr">
        <is>
          <t>R ESTÁCIO DE SÁ 905</t>
        </is>
      </c>
      <c r="H152" s="7" t="inlineStr"/>
      <c r="I152" s="8" t="inlineStr">
        <is>
          <t>5 ABERTURA E FECHAMENTO, 7 FUSÃO , OBS: HAVIAMOS QUEBRADO O SPLITTER PARA USAR A FIBRA RETA, MAIS TINHA SINAL, TIVEMOS QUE REFAZER E AGUARDAR ATÉ A SEGUNDA ORDEM, POR ISSO DEU MAIS FUSÕES E ABERTURA.</t>
        </is>
      </c>
      <c r="J152" s="8" t="inlineStr"/>
      <c r="K152" s="8" t="inlineStr">
        <is>
          <t>LUCAS HOBERT/ PAULO GOMES</t>
        </is>
      </c>
      <c r="L152" s="9" t="n">
        <v>45225</v>
      </c>
      <c r="M152" s="7" t="inlineStr"/>
      <c r="N152" s="9" t="n">
        <v>45231</v>
      </c>
      <c r="O152" s="9" t="n">
        <v>45251</v>
      </c>
      <c r="P152" s="7" t="inlineStr">
        <is>
          <t>NÃO PRECISA</t>
        </is>
      </c>
      <c r="Q152" s="9" t="n">
        <v>45250</v>
      </c>
      <c r="R152" s="7" t="inlineStr">
        <is>
          <t>Concluído Campo</t>
        </is>
      </c>
      <c r="S152" s="7" t="inlineStr"/>
      <c r="T152" s="10" t="inlineStr"/>
      <c r="U152" s="7" t="inlineStr"/>
      <c r="V152" s="7" t="inlineStr"/>
      <c r="W152" s="7" t="inlineStr"/>
      <c r="X152" s="7" t="inlineStr">
        <is>
          <t>AG. MEDIÇÃO</t>
        </is>
      </c>
      <c r="Y152" s="11">
        <f>IF(AND(L152&lt;&gt;"", S152&lt;&gt;""), S152-L152, IF(L152&lt;&gt;"", TODAY()-L152, ""))</f>
        <v/>
      </c>
      <c r="Z152" s="7">
        <f>IF(Y152="", "", IF(Y152&lt;=3, "NO PRAZO", "ATRASADO"))</f>
        <v/>
      </c>
      <c r="AA152" s="8" t="inlineStr">
        <is>
          <t>100% - OK</t>
        </is>
      </c>
    </row>
    <row r="153" ht="20" customHeight="1">
      <c r="A153" s="7" t="inlineStr">
        <is>
          <t>RSCLER0151</t>
        </is>
      </c>
      <c r="B153" s="8" t="inlineStr">
        <is>
          <t>PORTO ALEGRE</t>
        </is>
      </c>
      <c r="C153" s="7" t="inlineStr">
        <is>
          <t>BVSAB</t>
        </is>
      </c>
      <c r="D153" s="7" t="inlineStr"/>
      <c r="E153" s="7" t="inlineStr"/>
      <c r="F153" s="8" t="inlineStr">
        <is>
          <t>Cap. 1 Três Figueiras</t>
        </is>
      </c>
      <c r="G153" s="8" t="inlineStr">
        <is>
          <t>RUA CARLOS HUBER 200</t>
        </is>
      </c>
      <c r="H153" s="7" t="inlineStr"/>
      <c r="I153" s="8" t="inlineStr">
        <is>
          <t>FOI LANÇADO 278 METROS DE CABO DE 12FO, 3 ABERTURA E FECHAMENTO, 6 FUSÃO, 1 DERIVAÇÃO, 2 TESTE, 1 CX NOVA</t>
        </is>
      </c>
      <c r="J153" s="8" t="inlineStr">
        <is>
          <t>ADRIANO</t>
        </is>
      </c>
      <c r="K153" s="8" t="inlineStr">
        <is>
          <t>PAULO GOMES</t>
        </is>
      </c>
      <c r="L153" s="9" t="n">
        <v>45225</v>
      </c>
      <c r="M153" s="7" t="inlineStr"/>
      <c r="N153" s="9" t="n">
        <v>45226</v>
      </c>
      <c r="O153" s="9" t="n">
        <v>45226</v>
      </c>
      <c r="P153" s="7" t="inlineStr">
        <is>
          <t>NÃO PRECISA</t>
        </is>
      </c>
      <c r="Q153" s="9" t="n">
        <v>45229</v>
      </c>
      <c r="R153" s="7" t="inlineStr">
        <is>
          <t>Concluído Campo</t>
        </is>
      </c>
      <c r="S153" s="7" t="inlineStr"/>
      <c r="T153" s="10" t="inlineStr"/>
      <c r="U153" s="7" t="inlineStr"/>
      <c r="V153" s="7" t="inlineStr"/>
      <c r="W153" s="7" t="inlineStr"/>
      <c r="X153" s="7" t="inlineStr">
        <is>
          <t>AG. MEDIÇÃO</t>
        </is>
      </c>
      <c r="Y153" s="11">
        <f>IF(AND(L153&lt;&gt;"", S153&lt;&gt;""), S153-L153, IF(L153&lt;&gt;"", TODAY()-L153, ""))</f>
        <v/>
      </c>
      <c r="Z153" s="7">
        <f>IF(Y153="", "", IF(Y153&lt;=3, "NO PRAZO", "ATRASADO"))</f>
        <v/>
      </c>
      <c r="AA153" s="8" t="inlineStr">
        <is>
          <t>100% - OK</t>
        </is>
      </c>
    </row>
    <row r="154" ht="20" customHeight="1">
      <c r="A154" s="7" t="inlineStr">
        <is>
          <t>RSCLER0152</t>
        </is>
      </c>
      <c r="B154" s="8" t="inlineStr">
        <is>
          <t>PORTO ALEGRE</t>
        </is>
      </c>
      <c r="C154" s="7" t="inlineStr">
        <is>
          <t>RBTAA</t>
        </is>
      </c>
      <c r="D154" s="7" t="inlineStr"/>
      <c r="E154" s="7" t="inlineStr"/>
      <c r="F154" s="8" t="inlineStr">
        <is>
          <t>Cond do Edifício Parque das Flores</t>
        </is>
      </c>
      <c r="G154" s="8" t="inlineStr">
        <is>
          <t>Av. Baltazar de Oliveira Garcia, 2770 a 2870</t>
        </is>
      </c>
      <c r="H154" s="7" t="inlineStr"/>
      <c r="I154" s="8" t="inlineStr">
        <is>
          <t>2 ABERTURA E FECHAMENTO , 2 FUSÃO , 1 TESTE</t>
        </is>
      </c>
      <c r="J154" s="8" t="inlineStr"/>
      <c r="K154" s="8" t="inlineStr">
        <is>
          <t>PAULO GOMES</t>
        </is>
      </c>
      <c r="L154" s="9" t="n">
        <v>45225</v>
      </c>
      <c r="M154" s="7" t="inlineStr"/>
      <c r="N154" s="9" t="n">
        <v>45227</v>
      </c>
      <c r="O154" s="9" t="n">
        <v>45227</v>
      </c>
      <c r="P154" s="7" t="inlineStr">
        <is>
          <t>NÃO PRECISA</t>
        </is>
      </c>
      <c r="Q154" s="9" t="n">
        <v>45229</v>
      </c>
      <c r="R154" s="7" t="inlineStr">
        <is>
          <t>Concluído Campo</t>
        </is>
      </c>
      <c r="S154" s="7" t="inlineStr"/>
      <c r="T154" s="10" t="inlineStr"/>
      <c r="U154" s="7" t="inlineStr"/>
      <c r="V154" s="7" t="inlineStr"/>
      <c r="W154" s="7" t="inlineStr"/>
      <c r="X154" s="7" t="inlineStr">
        <is>
          <t>AG. MEDIÇÃO</t>
        </is>
      </c>
      <c r="Y154" s="11">
        <f>IF(AND(L154&lt;&gt;"", S154&lt;&gt;""), S154-L154, IF(L154&lt;&gt;"", TODAY()-L154, ""))</f>
        <v/>
      </c>
      <c r="Z154" s="7">
        <f>IF(Y154="", "", IF(Y154&lt;=3, "NO PRAZO", "ATRASADO"))</f>
        <v/>
      </c>
      <c r="AA154" s="8" t="inlineStr">
        <is>
          <t>100% - OK</t>
        </is>
      </c>
    </row>
    <row r="155" ht="20" customHeight="1">
      <c r="A155" s="7" t="inlineStr">
        <is>
          <t>RSCLER0153</t>
        </is>
      </c>
      <c r="B155" s="8" t="inlineStr">
        <is>
          <t>CANOAS</t>
        </is>
      </c>
      <c r="C155" s="7" t="inlineStr">
        <is>
          <t>FATAA</t>
        </is>
      </c>
      <c r="D155" s="7" t="inlineStr"/>
      <c r="E155" s="7" t="inlineStr"/>
      <c r="F155" s="8" t="inlineStr">
        <is>
          <t>R. Butenbender, 155</t>
        </is>
      </c>
      <c r="G155" s="8" t="inlineStr">
        <is>
          <t>Bairro Fátima, Canoas - Res. Pedro Gomes - FATAA</t>
        </is>
      </c>
      <c r="H155" s="7" t="inlineStr"/>
      <c r="I155" s="8" t="inlineStr">
        <is>
          <t>LANÇADO 922 METROS DE CABO DE 12FO, 1 ABERTURA E FECHAMENTO, 15 FUSÃO , 1 DERIVAÇÃO, 2 CX NOVA, 2 TESTE, DEVIDO A UM ROMPIMENTO TEVE UMA EMENDA EXTRA COM 12 FUSÕES. FAZER AS BUILTS</t>
        </is>
      </c>
      <c r="J155" s="8" t="inlineStr">
        <is>
          <t>GIOVANE</t>
        </is>
      </c>
      <c r="K155" s="8" t="inlineStr">
        <is>
          <t>LUCAS HOBERT</t>
        </is>
      </c>
      <c r="L155" s="9" t="n">
        <v>45229</v>
      </c>
      <c r="M155" s="7" t="inlineStr"/>
      <c r="N155" s="9" t="n">
        <v>45230</v>
      </c>
      <c r="O155" s="9" t="n">
        <v>45232</v>
      </c>
      <c r="P155" s="7" t="inlineStr">
        <is>
          <t>NÃO PRECISA</t>
        </is>
      </c>
      <c r="Q155" s="9" t="n">
        <v>45250</v>
      </c>
      <c r="R155" s="7" t="inlineStr">
        <is>
          <t>Concluído Campo</t>
        </is>
      </c>
      <c r="S155" s="7" t="inlineStr"/>
      <c r="T155" s="10" t="inlineStr"/>
      <c r="U155" s="7" t="inlineStr"/>
      <c r="V155" s="7" t="inlineStr"/>
      <c r="W155" s="7" t="inlineStr"/>
      <c r="X155" s="7" t="inlineStr">
        <is>
          <t>AG. MEDIÇÃO</t>
        </is>
      </c>
      <c r="Y155" s="11">
        <f>IF(AND(L155&lt;&gt;"", S155&lt;&gt;""), S155-L155, IF(L155&lt;&gt;"", TODAY()-L155, ""))</f>
        <v/>
      </c>
      <c r="Z155" s="7">
        <f>IF(Y155="", "", IF(Y155&lt;=3, "NO PRAZO", "ATRASADO"))</f>
        <v/>
      </c>
      <c r="AA155" s="8" t="inlineStr">
        <is>
          <t>100% - OK</t>
        </is>
      </c>
    </row>
    <row r="156" ht="20" customHeight="1">
      <c r="A156" s="7" t="inlineStr">
        <is>
          <t>RSCLER0154</t>
        </is>
      </c>
      <c r="B156" s="8" t="inlineStr">
        <is>
          <t>PORTO ALEGRE</t>
        </is>
      </c>
      <c r="C156" s="7" t="inlineStr">
        <is>
          <t>JCVAA</t>
        </is>
      </c>
      <c r="D156" s="7" t="inlineStr"/>
      <c r="E156" s="7" t="inlineStr"/>
      <c r="F156" s="8" t="inlineStr">
        <is>
          <t>Edifício New Life</t>
        </is>
      </c>
      <c r="G156" s="8" t="inlineStr">
        <is>
          <t>AV ATTILIO BILIBIO 251</t>
        </is>
      </c>
      <c r="H156" s="7" t="inlineStr"/>
      <c r="I156" s="8" t="inlineStr">
        <is>
          <t>420 MTS DE CABO DE 12FO AS, 3 ABERTURA E FECHAMENTO, 12 FUSÃO, 4 TESTE, 1 CX NOVA</t>
        </is>
      </c>
      <c r="J156" s="8" t="inlineStr">
        <is>
          <t>NEIMAR</t>
        </is>
      </c>
      <c r="K156" s="8" t="inlineStr">
        <is>
          <t>LUCAS HOBERT/MARCOS EMILIANO</t>
        </is>
      </c>
      <c r="L156" s="9" t="n">
        <v>45229</v>
      </c>
      <c r="M156" s="9" t="n">
        <v>45230</v>
      </c>
      <c r="N156" s="9" t="n">
        <v>45242</v>
      </c>
      <c r="O156" s="9" t="n">
        <v>45242</v>
      </c>
      <c r="P156" s="7" t="inlineStr">
        <is>
          <t>NÃO PRECISA</t>
        </is>
      </c>
      <c r="Q156" s="9" t="n">
        <v>45250</v>
      </c>
      <c r="R156" s="7" t="inlineStr">
        <is>
          <t>Concluído Campo</t>
        </is>
      </c>
      <c r="S156" s="7" t="inlineStr"/>
      <c r="T156" s="10" t="inlineStr"/>
      <c r="U156" s="7" t="inlineStr"/>
      <c r="V156" s="7" t="inlineStr"/>
      <c r="W156" s="7" t="inlineStr"/>
      <c r="X156" s="7" t="inlineStr">
        <is>
          <t>AG. MEDIÇÃO</t>
        </is>
      </c>
      <c r="Y156" s="11">
        <f>IF(AND(L156&lt;&gt;"", S156&lt;&gt;""), S156-L156, IF(L156&lt;&gt;"", TODAY()-L156, ""))</f>
        <v/>
      </c>
      <c r="Z156" s="7">
        <f>IF(Y156="", "", IF(Y156&lt;=3, "NO PRAZO", "ATRASADO"))</f>
        <v/>
      </c>
      <c r="AA156" s="8" t="inlineStr">
        <is>
          <t>100% - OK</t>
        </is>
      </c>
    </row>
    <row r="157" ht="20" customHeight="1">
      <c r="A157" s="7" t="inlineStr">
        <is>
          <t>RSCLER0155</t>
        </is>
      </c>
      <c r="B157" s="8" t="inlineStr">
        <is>
          <t>PORTO ALEGRE</t>
        </is>
      </c>
      <c r="C157" s="7" t="inlineStr">
        <is>
          <t>MTSAA</t>
        </is>
      </c>
      <c r="D157" s="7" t="inlineStr"/>
      <c r="E157" s="7" t="inlineStr"/>
      <c r="F157" s="8" t="inlineStr">
        <is>
          <t>Cond. Ed. Aspen</t>
        </is>
      </c>
      <c r="G157" s="8" t="inlineStr">
        <is>
          <t>R. Jaraguá, 192</t>
        </is>
      </c>
      <c r="H157" s="7" t="inlineStr"/>
      <c r="I157" s="8" t="inlineStr">
        <is>
          <t>2 ABERTURA E FECHAMENTO, 3 FUSÃO, 1 TESTE</t>
        </is>
      </c>
      <c r="J157" s="8" t="inlineStr"/>
      <c r="K157" s="8" t="inlineStr">
        <is>
          <t>LUCAS HOBERT</t>
        </is>
      </c>
      <c r="L157" s="9" t="n">
        <v>45231</v>
      </c>
      <c r="M157" s="7" t="inlineStr"/>
      <c r="N157" s="9" t="n">
        <v>45234</v>
      </c>
      <c r="O157" s="9" t="n">
        <v>45234</v>
      </c>
      <c r="P157" s="7" t="inlineStr">
        <is>
          <t>NÃO PRECISA</t>
        </is>
      </c>
      <c r="Q157" s="9" t="n">
        <v>45250</v>
      </c>
      <c r="R157" s="7" t="inlineStr">
        <is>
          <t>Concluído Campo</t>
        </is>
      </c>
      <c r="S157" s="7" t="inlineStr"/>
      <c r="T157" s="10" t="inlineStr"/>
      <c r="U157" s="7" t="inlineStr"/>
      <c r="V157" s="7" t="inlineStr"/>
      <c r="W157" s="7" t="inlineStr"/>
      <c r="X157" s="7" t="inlineStr">
        <is>
          <t>AG. MEDIÇÃO</t>
        </is>
      </c>
      <c r="Y157" s="11">
        <f>IF(AND(L157&lt;&gt;"", S157&lt;&gt;""), S157-L157, IF(L157&lt;&gt;"", TODAY()-L157, ""))</f>
        <v/>
      </c>
      <c r="Z157" s="7">
        <f>IF(Y157="", "", IF(Y157&lt;=3, "NO PRAZO", "ATRASADO"))</f>
        <v/>
      </c>
      <c r="AA157" s="8" t="inlineStr">
        <is>
          <t>100% - OK</t>
        </is>
      </c>
    </row>
    <row r="158" ht="20" customHeight="1">
      <c r="A158" s="7" t="inlineStr">
        <is>
          <t>RSCLER0156</t>
        </is>
      </c>
      <c r="B158" s="8" t="inlineStr">
        <is>
          <t>PORTO ALEGRE</t>
        </is>
      </c>
      <c r="C158" s="7" t="inlineStr">
        <is>
          <t>RBRAA</t>
        </is>
      </c>
      <c r="D158" s="7" t="inlineStr"/>
      <c r="E158" s="7" t="inlineStr"/>
      <c r="F158" s="8" t="inlineStr">
        <is>
          <t>RUA PAULINO TEIXEIRA N°400</t>
        </is>
      </c>
      <c r="G158" s="8" t="inlineStr">
        <is>
          <t>RUA PAULINO TEIXEIRA N°400</t>
        </is>
      </c>
      <c r="H158" s="7" t="inlineStr"/>
      <c r="I158" s="8" t="inlineStr">
        <is>
          <t>2 ABERTURA E FECHAMENTO, 2 FUSÃO, 1 TESTE</t>
        </is>
      </c>
      <c r="J158" s="8" t="inlineStr"/>
      <c r="K158" s="8" t="inlineStr">
        <is>
          <t>LUCAS HOBERT</t>
        </is>
      </c>
      <c r="L158" s="9" t="n">
        <v>45231</v>
      </c>
      <c r="M158" s="7" t="inlineStr"/>
      <c r="N158" s="9" t="n">
        <v>45236</v>
      </c>
      <c r="O158" s="9" t="n">
        <v>45236</v>
      </c>
      <c r="P158" s="7" t="inlineStr">
        <is>
          <t>NÃO PRECISA</t>
        </is>
      </c>
      <c r="Q158" s="9" t="n">
        <v>45250</v>
      </c>
      <c r="R158" s="7" t="inlineStr">
        <is>
          <t>Concluído Campo</t>
        </is>
      </c>
      <c r="S158" s="7" t="inlineStr"/>
      <c r="T158" s="10" t="inlineStr"/>
      <c r="U158" s="7" t="inlineStr"/>
      <c r="V158" s="7" t="inlineStr"/>
      <c r="W158" s="7" t="inlineStr"/>
      <c r="X158" s="7" t="inlineStr">
        <is>
          <t>AG. MEDIÇÃO</t>
        </is>
      </c>
      <c r="Y158" s="11">
        <f>IF(AND(L158&lt;&gt;"", S158&lt;&gt;""), S158-L158, IF(L158&lt;&gt;"", TODAY()-L158, ""))</f>
        <v/>
      </c>
      <c r="Z158" s="7">
        <f>IF(Y158="", "", IF(Y158&lt;=3, "NO PRAZO", "ATRASADO"))</f>
        <v/>
      </c>
      <c r="AA158" s="8" t="inlineStr">
        <is>
          <t>100% - OK</t>
        </is>
      </c>
    </row>
    <row r="159" ht="20" customHeight="1">
      <c r="A159" s="7" t="inlineStr">
        <is>
          <t>RSCLER0157</t>
        </is>
      </c>
      <c r="B159" s="8" t="inlineStr">
        <is>
          <t>PORTO ALEGRE</t>
        </is>
      </c>
      <c r="C159" s="7" t="inlineStr">
        <is>
          <t>TRZAA</t>
        </is>
      </c>
      <c r="D159" s="7" t="inlineStr"/>
      <c r="E159" s="7" t="inlineStr"/>
      <c r="F159" s="8" t="inlineStr">
        <is>
          <t>Res. Guaíba</t>
        </is>
      </c>
      <c r="G159" s="8" t="inlineStr">
        <is>
          <t>R Gen. Rondon 1044 / 1050</t>
        </is>
      </c>
      <c r="H159" s="7" t="inlineStr"/>
      <c r="I159" s="8" t="inlineStr">
        <is>
          <t>2 ABERTURA E FECHAMENTO, 2 FUSÃO, 1 TESTE</t>
        </is>
      </c>
      <c r="J159" s="8" t="inlineStr"/>
      <c r="K159" s="8" t="inlineStr">
        <is>
          <t>PAULO GOMES</t>
        </is>
      </c>
      <c r="L159" s="9" t="n">
        <v>45233</v>
      </c>
      <c r="M159" s="7" t="inlineStr"/>
      <c r="N159" s="9" t="n">
        <v>45236</v>
      </c>
      <c r="O159" s="9" t="n">
        <v>45236</v>
      </c>
      <c r="P159" s="7" t="inlineStr">
        <is>
          <t>NÃO PRECISA</t>
        </is>
      </c>
      <c r="Q159" s="9" t="n">
        <v>45250</v>
      </c>
      <c r="R159" s="7" t="inlineStr">
        <is>
          <t>Concluído Campo</t>
        </is>
      </c>
      <c r="S159" s="7" t="inlineStr"/>
      <c r="T159" s="10" t="inlineStr"/>
      <c r="U159" s="7" t="inlineStr"/>
      <c r="V159" s="7" t="inlineStr"/>
      <c r="W159" s="7" t="inlineStr"/>
      <c r="X159" s="7" t="inlineStr">
        <is>
          <t>AG. MEDIÇÃO</t>
        </is>
      </c>
      <c r="Y159" s="11">
        <f>IF(AND(L159&lt;&gt;"", S159&lt;&gt;""), S159-L159, IF(L159&lt;&gt;"", TODAY()-L159, ""))</f>
        <v/>
      </c>
      <c r="Z159" s="7">
        <f>IF(Y159="", "", IF(Y159&lt;=3, "NO PRAZO", "ATRASADO"))</f>
        <v/>
      </c>
      <c r="AA159" s="8" t="inlineStr">
        <is>
          <t>100% - OK</t>
        </is>
      </c>
    </row>
    <row r="160" ht="20" customHeight="1">
      <c r="A160" s="7" t="inlineStr">
        <is>
          <t>RSCLER0158</t>
        </is>
      </c>
      <c r="B160" s="8" t="inlineStr">
        <is>
          <t>PORTO ALEGRE</t>
        </is>
      </c>
      <c r="C160" s="7" t="inlineStr">
        <is>
          <t>JCVAA</t>
        </is>
      </c>
      <c r="D160" s="7" t="inlineStr"/>
      <c r="E160" s="7" t="inlineStr"/>
      <c r="F160" s="8" t="inlineStr">
        <is>
          <t>Porto Bahamas</t>
        </is>
      </c>
      <c r="G160" s="8" t="inlineStr">
        <is>
          <t>R Imo Francisco Rauch 575 TOR 2</t>
        </is>
      </c>
      <c r="H160" s="7" t="inlineStr"/>
      <c r="I160" s="8" t="inlineStr">
        <is>
          <t>4 ABERTURA E FECHAMENTO, 3 FUSÃO , 1 TESTE</t>
        </is>
      </c>
      <c r="J160" s="8" t="inlineStr"/>
      <c r="K160" s="8" t="inlineStr">
        <is>
          <t>MARCOS EMILIANO</t>
        </is>
      </c>
      <c r="L160" s="9" t="n">
        <v>45237</v>
      </c>
      <c r="M160" s="7" t="inlineStr"/>
      <c r="N160" s="9" t="n">
        <v>45240</v>
      </c>
      <c r="O160" s="9" t="n">
        <v>45240</v>
      </c>
      <c r="P160" s="7" t="inlineStr">
        <is>
          <t>NÃO PRECISA</t>
        </is>
      </c>
      <c r="Q160" s="9" t="n">
        <v>45250</v>
      </c>
      <c r="R160" s="7" t="inlineStr">
        <is>
          <t>Concluído Campo</t>
        </is>
      </c>
      <c r="S160" s="7" t="inlineStr"/>
      <c r="T160" s="10" t="inlineStr"/>
      <c r="U160" s="7" t="inlineStr"/>
      <c r="V160" s="7" t="inlineStr"/>
      <c r="W160" s="7" t="inlineStr"/>
      <c r="X160" s="7" t="inlineStr">
        <is>
          <t>AG. MEDIÇÃO</t>
        </is>
      </c>
      <c r="Y160" s="11">
        <f>IF(AND(L160&lt;&gt;"", S160&lt;&gt;""), S160-L160, IF(L160&lt;&gt;"", TODAY()-L160, ""))</f>
        <v/>
      </c>
      <c r="Z160" s="7">
        <f>IF(Y160="", "", IF(Y160&lt;=3, "NO PRAZO", "ATRASADO"))</f>
        <v/>
      </c>
      <c r="AA160" s="8" t="inlineStr">
        <is>
          <t>100% - OK</t>
        </is>
      </c>
    </row>
    <row r="161" ht="20" customHeight="1">
      <c r="A161" s="7" t="inlineStr">
        <is>
          <t>RSCLER0159</t>
        </is>
      </c>
      <c r="B161" s="8" t="inlineStr">
        <is>
          <t>PORTO ALEGRE</t>
        </is>
      </c>
      <c r="C161" s="7" t="inlineStr">
        <is>
          <t>MNDAC</t>
        </is>
      </c>
      <c r="D161" s="7" t="inlineStr"/>
      <c r="E161" s="7" t="inlineStr"/>
      <c r="F161" s="8" t="inlineStr">
        <is>
          <t>Cond. Edf. Mundial</t>
        </is>
      </c>
      <c r="G161" s="8" t="inlineStr">
        <is>
          <t>Av Pe Cacique 740</t>
        </is>
      </c>
      <c r="H161" s="7" t="inlineStr"/>
      <c r="I161" s="8" t="inlineStr">
        <is>
          <t>1 ABERTURA E FECHAMENTO, 2 CAIXA NOVA, 24 FUSÃO , 4 TESTE , 50 METROS DE CABO DE 12FO</t>
        </is>
      </c>
      <c r="J161" s="8" t="inlineStr"/>
      <c r="K161" s="8" t="inlineStr">
        <is>
          <t>LUCAS HOBERT</t>
        </is>
      </c>
      <c r="L161" s="9" t="n">
        <v>45238</v>
      </c>
      <c r="M161" s="7" t="inlineStr"/>
      <c r="N161" s="9" t="n">
        <v>45244</v>
      </c>
      <c r="O161" s="9" t="n">
        <v>45244</v>
      </c>
      <c r="P161" s="7" t="inlineStr">
        <is>
          <t>NÃO PRECISA</t>
        </is>
      </c>
      <c r="Q161" s="9" t="n">
        <v>45250</v>
      </c>
      <c r="R161" s="7" t="inlineStr">
        <is>
          <t>Concluído Campo</t>
        </is>
      </c>
      <c r="S161" s="7" t="inlineStr"/>
      <c r="T161" s="10" t="inlineStr"/>
      <c r="U161" s="7" t="inlineStr"/>
      <c r="V161" s="7" t="inlineStr"/>
      <c r="W161" s="7" t="inlineStr"/>
      <c r="X161" s="7" t="inlineStr">
        <is>
          <t>AG. MEDIÇÃO</t>
        </is>
      </c>
      <c r="Y161" s="11">
        <f>IF(AND(L161&lt;&gt;"", S161&lt;&gt;""), S161-L161, IF(L161&lt;&gt;"", TODAY()-L161, ""))</f>
        <v/>
      </c>
      <c r="Z161" s="7">
        <f>IF(Y161="", "", IF(Y161&lt;=3, "NO PRAZO", "ATRASADO"))</f>
        <v/>
      </c>
      <c r="AA161" s="8" t="inlineStr">
        <is>
          <t>100% - OK</t>
        </is>
      </c>
    </row>
    <row r="162" ht="20" customHeight="1">
      <c r="A162" s="7" t="inlineStr">
        <is>
          <t>RSCLER0160</t>
        </is>
      </c>
      <c r="B162" s="8" t="inlineStr">
        <is>
          <t>PORTO ALEGRE</t>
        </is>
      </c>
      <c r="C162" s="7" t="inlineStr">
        <is>
          <t>MTSAA</t>
        </is>
      </c>
      <c r="D162" s="7" t="inlineStr"/>
      <c r="E162" s="7" t="inlineStr"/>
      <c r="F162" s="8" t="inlineStr">
        <is>
          <t>Cond. Ed . Maryland village</t>
        </is>
      </c>
      <c r="G162" s="8" t="inlineStr">
        <is>
          <t>AV. Maryland 1462</t>
        </is>
      </c>
      <c r="H162" s="7" t="inlineStr"/>
      <c r="I162" s="8" t="inlineStr">
        <is>
          <t>2 ABERTURA E FECHAMENTO, 1 FUSÃO , 1 TESTE</t>
        </is>
      </c>
      <c r="J162" s="8" t="inlineStr"/>
      <c r="K162" s="8" t="inlineStr">
        <is>
          <t>MARCOS EMILIANO</t>
        </is>
      </c>
      <c r="L162" s="9" t="n">
        <v>45238</v>
      </c>
      <c r="M162" s="7" t="inlineStr"/>
      <c r="N162" s="9" t="n">
        <v>45238</v>
      </c>
      <c r="O162" s="9" t="n">
        <v>45238</v>
      </c>
      <c r="P162" s="7" t="inlineStr">
        <is>
          <t>NÃO PRECISA</t>
        </is>
      </c>
      <c r="Q162" s="9" t="n">
        <v>45250</v>
      </c>
      <c r="R162" s="7" t="inlineStr">
        <is>
          <t>Concluído Campo</t>
        </is>
      </c>
      <c r="S162" s="7" t="inlineStr"/>
      <c r="T162" s="10" t="inlineStr"/>
      <c r="U162" s="7" t="inlineStr"/>
      <c r="V162" s="7" t="inlineStr"/>
      <c r="W162" s="7" t="inlineStr"/>
      <c r="X162" s="7" t="inlineStr">
        <is>
          <t>AG. MEDIÇÃO</t>
        </is>
      </c>
      <c r="Y162" s="11">
        <f>IF(AND(L162&lt;&gt;"", S162&lt;&gt;""), S162-L162, IF(L162&lt;&gt;"", TODAY()-L162, ""))</f>
        <v/>
      </c>
      <c r="Z162" s="7">
        <f>IF(Y162="", "", IF(Y162&lt;=3, "NO PRAZO", "ATRASADO"))</f>
        <v/>
      </c>
      <c r="AA162" s="8" t="inlineStr">
        <is>
          <t>100% - OK</t>
        </is>
      </c>
    </row>
    <row r="163" ht="20" customHeight="1">
      <c r="A163" s="7" t="inlineStr">
        <is>
          <t>RSCLER0161</t>
        </is>
      </c>
      <c r="B163" s="8" t="inlineStr">
        <is>
          <t>BAGÉ</t>
        </is>
      </c>
      <c r="C163" s="7" t="inlineStr">
        <is>
          <t>CNTAB</t>
        </is>
      </c>
      <c r="D163" s="7" t="inlineStr"/>
      <c r="E163" s="7" t="inlineStr"/>
      <c r="F163" s="8" t="inlineStr">
        <is>
          <t>RUA TIRADENTES, 670</t>
        </is>
      </c>
      <c r="G163" s="8" t="inlineStr">
        <is>
          <t>RUA TIRADENTES, 670</t>
        </is>
      </c>
      <c r="H163" s="7" t="inlineStr"/>
      <c r="I163" s="8" t="inlineStr">
        <is>
          <t>3 ABERTURA E FECHAMENTO, 1 CX NOVA. 1 DERIVAÇÃO, 6 FUSÃO , 2 TESTE, 20 MTS CABO DE 12FO OBS: COBRAR ESSE MDU POR EMAIL DO VELEDA.</t>
        </is>
      </c>
      <c r="J163" s="8" t="inlineStr"/>
      <c r="K163" s="8" t="inlineStr">
        <is>
          <t>LUCAS HOBERT</t>
        </is>
      </c>
      <c r="L163" s="7" t="inlineStr"/>
      <c r="M163" s="7" t="inlineStr"/>
      <c r="N163" s="9" t="n">
        <v>45219</v>
      </c>
      <c r="O163" s="9" t="n">
        <v>45219</v>
      </c>
      <c r="P163" s="7" t="inlineStr">
        <is>
          <t>NÃO PRECISA</t>
        </is>
      </c>
      <c r="Q163" s="9" t="n">
        <v>45250</v>
      </c>
      <c r="R163" s="7" t="inlineStr">
        <is>
          <t>Concluído Campo</t>
        </is>
      </c>
      <c r="S163" s="7" t="inlineStr"/>
      <c r="T163" s="10" t="inlineStr"/>
      <c r="U163" s="7" t="inlineStr"/>
      <c r="V163" s="7" t="inlineStr"/>
      <c r="W163" s="7" t="inlineStr"/>
      <c r="X163" s="7" t="inlineStr">
        <is>
          <t>AG. MEDIÇÃO</t>
        </is>
      </c>
      <c r="Y163" s="11">
        <f>IF(AND(L163&lt;&gt;"", S163&lt;&gt;""), S163-L163, IF(L163&lt;&gt;"", TODAY()-L163, ""))</f>
        <v/>
      </c>
      <c r="Z163" s="7">
        <f>IF(Y163="", "", IF(Y163&lt;=3, "NO PRAZO", "ATRASADO"))</f>
        <v/>
      </c>
      <c r="AA163" s="8" t="inlineStr">
        <is>
          <t>100% - OK</t>
        </is>
      </c>
    </row>
    <row r="164" ht="20" customHeight="1">
      <c r="A164" s="7" t="inlineStr">
        <is>
          <t>RSCLER0162</t>
        </is>
      </c>
      <c r="B164" s="8" t="inlineStr">
        <is>
          <t>PORTO ALEGRE</t>
        </is>
      </c>
      <c r="C164" s="7" t="inlineStr">
        <is>
          <t>BVSAA</t>
        </is>
      </c>
      <c r="D164" s="7" t="inlineStr"/>
      <c r="E164" s="7" t="inlineStr"/>
      <c r="F164" s="8" t="inlineStr">
        <is>
          <t>Cond. Io Boa Vista</t>
        </is>
      </c>
      <c r="G164" s="8" t="inlineStr">
        <is>
          <t>R Francisco Petuco 288</t>
        </is>
      </c>
      <c r="H164" s="7" t="inlineStr"/>
      <c r="I164" s="8" t="inlineStr">
        <is>
          <t>2 ABERTURA E FECHAMENTO, 1 FUSÃO, 1 TESTE</t>
        </is>
      </c>
      <c r="J164" s="8" t="inlineStr">
        <is>
          <t>NEIMAR</t>
        </is>
      </c>
      <c r="K164" s="8" t="inlineStr">
        <is>
          <t>LUCAS HOBERT</t>
        </is>
      </c>
      <c r="L164" s="9" t="n">
        <v>45238</v>
      </c>
      <c r="M164" s="7" t="inlineStr"/>
      <c r="N164" s="9" t="n">
        <v>45239</v>
      </c>
      <c r="O164" s="9" t="n">
        <v>45239</v>
      </c>
      <c r="P164" s="7" t="inlineStr">
        <is>
          <t>NÃO PRECISA</t>
        </is>
      </c>
      <c r="Q164" s="9" t="n">
        <v>45250</v>
      </c>
      <c r="R164" s="7" t="inlineStr">
        <is>
          <t>Concluído Campo</t>
        </is>
      </c>
      <c r="S164" s="7" t="inlineStr"/>
      <c r="T164" s="10" t="inlineStr"/>
      <c r="U164" s="7" t="inlineStr"/>
      <c r="V164" s="7" t="inlineStr"/>
      <c r="W164" s="7" t="inlineStr"/>
      <c r="X164" s="7" t="inlineStr">
        <is>
          <t>AG. MEDIÇÃO</t>
        </is>
      </c>
      <c r="Y164" s="11">
        <f>IF(AND(L164&lt;&gt;"", S164&lt;&gt;""), S164-L164, IF(L164&lt;&gt;"", TODAY()-L164, ""))</f>
        <v/>
      </c>
      <c r="Z164" s="7">
        <f>IF(Y164="", "", IF(Y164&lt;=3, "NO PRAZO", "ATRASADO"))</f>
        <v/>
      </c>
      <c r="AA164" s="8" t="inlineStr">
        <is>
          <t>100% - OK</t>
        </is>
      </c>
    </row>
    <row r="165" ht="20" customHeight="1">
      <c r="A165" s="7" t="inlineStr">
        <is>
          <t>RSCLER0163</t>
        </is>
      </c>
      <c r="B165" s="8" t="inlineStr">
        <is>
          <t>PORTO ALEGRE</t>
        </is>
      </c>
      <c r="C165" s="7" t="inlineStr">
        <is>
          <t>MTSAA</t>
        </is>
      </c>
      <c r="D165" s="7" t="inlineStr"/>
      <c r="E165" s="7" t="inlineStr"/>
      <c r="F165" s="8" t="inlineStr">
        <is>
          <t>Cond. Ubah Bela Vista</t>
        </is>
      </c>
      <c r="G165" s="8" t="inlineStr">
        <is>
          <t>R BR DE UBA 23</t>
        </is>
      </c>
      <c r="H165" s="7" t="inlineStr"/>
      <c r="I165" s="8" t="inlineStr">
        <is>
          <t>2 ABERTURA E FECHAMENTO, 3 FUSÃO, 3 TESTE</t>
        </is>
      </c>
      <c r="J165" s="8" t="inlineStr"/>
      <c r="K165" s="8" t="inlineStr">
        <is>
          <t>LUCAS HOBERT</t>
        </is>
      </c>
      <c r="L165" s="9" t="n">
        <v>45244</v>
      </c>
      <c r="M165" s="7" t="inlineStr"/>
      <c r="N165" s="9" t="n">
        <v>45246</v>
      </c>
      <c r="O165" s="9" t="n">
        <v>45246</v>
      </c>
      <c r="P165" s="7" t="inlineStr">
        <is>
          <t>NÃO PRECISA</t>
        </is>
      </c>
      <c r="Q165" s="9" t="n">
        <v>45250</v>
      </c>
      <c r="R165" s="7" t="inlineStr">
        <is>
          <t>Concluído Campo</t>
        </is>
      </c>
      <c r="S165" s="7" t="inlineStr"/>
      <c r="T165" s="10" t="inlineStr"/>
      <c r="U165" s="7" t="inlineStr"/>
      <c r="V165" s="7" t="inlineStr"/>
      <c r="W165" s="7" t="inlineStr"/>
      <c r="X165" s="7" t="inlineStr">
        <is>
          <t>AG. MEDIÇÃO</t>
        </is>
      </c>
      <c r="Y165" s="11">
        <f>IF(AND(L165&lt;&gt;"", S165&lt;&gt;""), S165-L165, IF(L165&lt;&gt;"", TODAY()-L165, ""))</f>
        <v/>
      </c>
      <c r="Z165" s="7">
        <f>IF(Y165="", "", IF(Y165&lt;=3, "NO PRAZO", "ATRASADO"))</f>
        <v/>
      </c>
      <c r="AA165" s="8" t="inlineStr">
        <is>
          <t>100% - OK</t>
        </is>
      </c>
    </row>
    <row r="166" ht="20" customHeight="1">
      <c r="A166" s="7" t="inlineStr">
        <is>
          <t>RSCLER0164</t>
        </is>
      </c>
      <c r="B166" s="8" t="inlineStr">
        <is>
          <t>PORTO ALEGRE</t>
        </is>
      </c>
      <c r="C166" s="7" t="inlineStr">
        <is>
          <t>MNDAC</t>
        </is>
      </c>
      <c r="D166" s="7" t="inlineStr"/>
      <c r="E166" s="7" t="inlineStr"/>
      <c r="F166" s="8" t="inlineStr">
        <is>
          <t>Cond. Patio Costa Menino Deus</t>
        </is>
      </c>
      <c r="G166" s="8" t="inlineStr">
        <is>
          <t>R Costa 419</t>
        </is>
      </c>
      <c r="H166" s="7" t="inlineStr"/>
      <c r="I166" s="8" t="inlineStr">
        <is>
          <t>260 METROS DE CABO DE 12FO, 16 ABERTURA E FECHAMENTO, 25 FUSÃO, 2 DERIVAÇÃO, 1 CX NOVA OBS TEVE BASTANTE ABERTURA E FECHAMENTO, POIS TINHA MUITA FIBRA QUEBRADA E MUITA CAIXA DE MANUTENÇÃO.</t>
        </is>
      </c>
      <c r="J166" s="8" t="inlineStr">
        <is>
          <t>SAMURAI</t>
        </is>
      </c>
      <c r="K166" s="8" t="inlineStr">
        <is>
          <t>PAULO GOMES / LUCAS HOBERT</t>
        </is>
      </c>
      <c r="L166" s="9" t="n">
        <v>45244</v>
      </c>
      <c r="M166" s="7" t="inlineStr"/>
      <c r="N166" s="9" t="n">
        <v>45253</v>
      </c>
      <c r="O166" s="9" t="n">
        <v>45257</v>
      </c>
      <c r="P166" s="7" t="inlineStr">
        <is>
          <t>NÃO PRECISA</t>
        </is>
      </c>
      <c r="Q166" s="9" t="n">
        <v>45260</v>
      </c>
      <c r="R166" s="7" t="inlineStr">
        <is>
          <t>Concluído Campo</t>
        </is>
      </c>
      <c r="S166" s="7" t="inlineStr"/>
      <c r="T166" s="10" t="inlineStr"/>
      <c r="U166" s="7" t="inlineStr"/>
      <c r="V166" s="7" t="inlineStr"/>
      <c r="W166" s="7" t="inlineStr"/>
      <c r="X166" s="7" t="inlineStr">
        <is>
          <t>AG. MEDIÇÃO</t>
        </is>
      </c>
      <c r="Y166" s="11">
        <f>IF(AND(L166&lt;&gt;"", S166&lt;&gt;""), S166-L166, IF(L166&lt;&gt;"", TODAY()-L166, ""))</f>
        <v/>
      </c>
      <c r="Z166" s="7">
        <f>IF(Y166="", "", IF(Y166&lt;=3, "NO PRAZO", "ATRASADO"))</f>
        <v/>
      </c>
      <c r="AA166" s="8" t="inlineStr">
        <is>
          <t>100% - OK</t>
        </is>
      </c>
    </row>
    <row r="167" ht="20" customHeight="1">
      <c r="A167" s="7" t="inlineStr">
        <is>
          <t>RSCLER0165</t>
        </is>
      </c>
      <c r="B167" s="8" t="inlineStr">
        <is>
          <t>PORTO ALEGRE</t>
        </is>
      </c>
      <c r="C167" s="7" t="inlineStr">
        <is>
          <t>BVSAA</t>
        </is>
      </c>
      <c r="D167" s="7" t="inlineStr"/>
      <c r="E167" s="7" t="inlineStr"/>
      <c r="F167" s="8" t="inlineStr">
        <is>
          <t>Cond. Ed. Mirage</t>
        </is>
      </c>
      <c r="G167" s="8" t="inlineStr">
        <is>
          <t>R Anita Garibaldi 2298</t>
        </is>
      </c>
      <c r="H167" s="7" t="inlineStr"/>
      <c r="I167" s="8" t="inlineStr">
        <is>
          <t>2 ABERTURA E FECHAMENTO, 4 FUSÃO, 4 TESTE</t>
        </is>
      </c>
      <c r="J167" s="8" t="inlineStr"/>
      <c r="K167" s="8" t="inlineStr">
        <is>
          <t>PAULO GOMES</t>
        </is>
      </c>
      <c r="L167" s="9" t="n">
        <v>45244</v>
      </c>
      <c r="M167" s="7" t="inlineStr"/>
      <c r="N167" s="9" t="n">
        <v>45246</v>
      </c>
      <c r="O167" s="9" t="n">
        <v>45246</v>
      </c>
      <c r="P167" s="7" t="inlineStr">
        <is>
          <t>NÃO PRECISA</t>
        </is>
      </c>
      <c r="Q167" s="9" t="n">
        <v>45250</v>
      </c>
      <c r="R167" s="7" t="inlineStr">
        <is>
          <t>Concluído Campo</t>
        </is>
      </c>
      <c r="S167" s="7" t="inlineStr"/>
      <c r="T167" s="10" t="inlineStr"/>
      <c r="U167" s="7" t="inlineStr"/>
      <c r="V167" s="7" t="inlineStr"/>
      <c r="W167" s="7" t="inlineStr"/>
      <c r="X167" s="7" t="inlineStr">
        <is>
          <t>AG. MEDIÇÃO</t>
        </is>
      </c>
      <c r="Y167" s="11">
        <f>IF(AND(L167&lt;&gt;"", S167&lt;&gt;""), S167-L167, IF(L167&lt;&gt;"", TODAY()-L167, ""))</f>
        <v/>
      </c>
      <c r="Z167" s="7">
        <f>IF(Y167="", "", IF(Y167&lt;=3, "NO PRAZO", "ATRASADO"))</f>
        <v/>
      </c>
      <c r="AA167" s="8" t="inlineStr">
        <is>
          <t>100% - OK</t>
        </is>
      </c>
    </row>
    <row r="168" ht="20" customHeight="1">
      <c r="A168" s="7" t="inlineStr">
        <is>
          <t>RSCLER0166</t>
        </is>
      </c>
      <c r="B168" s="8" t="inlineStr">
        <is>
          <t>PORTO ALEGRE</t>
        </is>
      </c>
      <c r="C168" s="7" t="inlineStr">
        <is>
          <t>GUAAA</t>
        </is>
      </c>
      <c r="D168" s="7" t="inlineStr"/>
      <c r="E168" s="7" t="inlineStr"/>
      <c r="F168" s="8" t="inlineStr">
        <is>
          <t>Bistek</t>
        </is>
      </c>
      <c r="G168" s="8" t="inlineStr">
        <is>
          <t>Juca Batista, 1870</t>
        </is>
      </c>
      <c r="H168" s="7" t="inlineStr"/>
      <c r="I168" s="8" t="inlineStr">
        <is>
          <t>280 METROS DE CABO DE 12FO, 4 ABERTURA E FECHAMENTO, 8 FUSÃO , 2 DERIVAÇÃO, 2 TESTE</t>
        </is>
      </c>
      <c r="J168" s="8" t="inlineStr">
        <is>
          <t>THIAGO</t>
        </is>
      </c>
      <c r="K168" s="8" t="inlineStr">
        <is>
          <t>LUCAS HOBET/ PAULO GOMES</t>
        </is>
      </c>
      <c r="L168" s="9" t="n">
        <v>45252</v>
      </c>
      <c r="M168" s="7" t="inlineStr"/>
      <c r="N168" s="9" t="n">
        <v>45253</v>
      </c>
      <c r="O168" s="9" t="n">
        <v>45253</v>
      </c>
      <c r="P168" s="7" t="inlineStr">
        <is>
          <t>NÃO PRECISA</t>
        </is>
      </c>
      <c r="Q168" s="9" t="n">
        <v>45260</v>
      </c>
      <c r="R168" s="7" t="inlineStr">
        <is>
          <t>Concluído Campo</t>
        </is>
      </c>
      <c r="S168" s="7" t="inlineStr"/>
      <c r="T168" s="10" t="inlineStr"/>
      <c r="U168" s="7" t="inlineStr"/>
      <c r="V168" s="7" t="inlineStr"/>
      <c r="W168" s="7" t="inlineStr"/>
      <c r="X168" s="7" t="inlineStr">
        <is>
          <t>AG. MEDIÇÃO</t>
        </is>
      </c>
      <c r="Y168" s="11">
        <f>IF(AND(L168&lt;&gt;"", S168&lt;&gt;""), S168-L168, IF(L168&lt;&gt;"", TODAY()-L168, ""))</f>
        <v/>
      </c>
      <c r="Z168" s="7">
        <f>IF(Y168="", "", IF(Y168&lt;=3, "NO PRAZO", "ATRASADO"))</f>
        <v/>
      </c>
      <c r="AA168" s="8" t="inlineStr">
        <is>
          <t>100% - OK</t>
        </is>
      </c>
    </row>
    <row r="169" ht="20" customHeight="1">
      <c r="A169" s="7" t="inlineStr">
        <is>
          <t>RSCLER0167</t>
        </is>
      </c>
      <c r="B169" s="8" t="inlineStr">
        <is>
          <t>PORTO ALEGRE</t>
        </is>
      </c>
      <c r="C169" s="7" t="inlineStr">
        <is>
          <t>CNTAA</t>
        </is>
      </c>
      <c r="D169" s="7" t="inlineStr"/>
      <c r="E169" s="7" t="inlineStr"/>
      <c r="F169" s="8" t="inlineStr">
        <is>
          <t>Cond Solar Demetrio Residence</t>
        </is>
      </c>
      <c r="G169" s="8" t="inlineStr">
        <is>
          <t>R DEMETRIO RIBEIRO 870</t>
        </is>
      </c>
      <c r="H169" s="7" t="inlineStr"/>
      <c r="I169" s="8" t="inlineStr">
        <is>
          <t>280 METROS DE CABO DE 12FO, FAZER AS BUILTS 1 ABERTURA E FECHAMENTO, 4 FUSÃO, 1 CX NOVA, 4 TESTE</t>
        </is>
      </c>
      <c r="J169" s="8" t="inlineStr">
        <is>
          <t>SAMURAI</t>
        </is>
      </c>
      <c r="K169" s="8" t="inlineStr">
        <is>
          <t>LUCAS HOBERT/PAULO GOMES</t>
        </is>
      </c>
      <c r="L169" s="9" t="n">
        <v>45253</v>
      </c>
      <c r="M169" s="9" t="n">
        <v>45260</v>
      </c>
      <c r="N169" s="9" t="n">
        <v>45262</v>
      </c>
      <c r="O169" s="9" t="n">
        <v>45270</v>
      </c>
      <c r="P169" s="7" t="inlineStr">
        <is>
          <t>NÃO PRECISA</t>
        </is>
      </c>
      <c r="Q169" s="9" t="n">
        <v>45273</v>
      </c>
      <c r="R169" s="7" t="inlineStr">
        <is>
          <t>Concluído Campo</t>
        </is>
      </c>
      <c r="S169" s="7" t="inlineStr"/>
      <c r="T169" s="10" t="inlineStr"/>
      <c r="U169" s="7" t="inlineStr"/>
      <c r="V169" s="7" t="inlineStr"/>
      <c r="W169" s="7" t="inlineStr"/>
      <c r="X169" s="7" t="inlineStr">
        <is>
          <t>AG. MEDIÇÃO</t>
        </is>
      </c>
      <c r="Y169" s="11">
        <f>IF(AND(L169&lt;&gt;"", S169&lt;&gt;""), S169-L169, IF(L169&lt;&gt;"", TODAY()-L169, ""))</f>
        <v/>
      </c>
      <c r="Z169" s="7">
        <f>IF(Y169="", "", IF(Y169&lt;=3, "NO PRAZO", "ATRASADO"))</f>
        <v/>
      </c>
      <c r="AA169" s="8" t="inlineStr">
        <is>
          <t>100% - OK</t>
        </is>
      </c>
    </row>
    <row r="170" ht="20" customHeight="1">
      <c r="A170" s="7" t="inlineStr">
        <is>
          <t>RSCLER0168</t>
        </is>
      </c>
      <c r="B170" s="8" t="inlineStr">
        <is>
          <t>PORTO ALEGRE</t>
        </is>
      </c>
      <c r="C170" s="7" t="inlineStr">
        <is>
          <t>FLOAB</t>
        </is>
      </c>
      <c r="D170" s="7" t="inlineStr"/>
      <c r="E170" s="7" t="inlineStr"/>
      <c r="F170" s="8" t="inlineStr">
        <is>
          <t>Condomínio Edifício Alice</t>
        </is>
      </c>
      <c r="G170" s="8" t="inlineStr">
        <is>
          <t>Rua Garibaldi, 867</t>
        </is>
      </c>
      <c r="H170" s="7" t="inlineStr"/>
      <c r="I170" s="8" t="inlineStr">
        <is>
          <t>4 ABERTURA E FECHAMENTO, 6 FUSÃO, 2 TESTE , FOI INSTALADO UM SPLITTER</t>
        </is>
      </c>
      <c r="J170" s="8" t="inlineStr"/>
      <c r="K170" s="8" t="inlineStr">
        <is>
          <t>LUCAS HOBERT</t>
        </is>
      </c>
      <c r="L170" s="9" t="n">
        <v>45253</v>
      </c>
      <c r="M170" s="7" t="inlineStr"/>
      <c r="N170" s="9" t="n">
        <v>45258</v>
      </c>
      <c r="O170" s="9" t="n">
        <v>45261</v>
      </c>
      <c r="P170" s="7" t="inlineStr">
        <is>
          <t>NÃO PRECISA</t>
        </is>
      </c>
      <c r="Q170" s="9" t="n">
        <v>45273</v>
      </c>
      <c r="R170" s="7" t="inlineStr">
        <is>
          <t>Concluído Campo</t>
        </is>
      </c>
      <c r="S170" s="7" t="inlineStr"/>
      <c r="T170" s="10" t="inlineStr"/>
      <c r="U170" s="7" t="inlineStr"/>
      <c r="V170" s="7" t="inlineStr"/>
      <c r="W170" s="7" t="inlineStr"/>
      <c r="X170" s="7" t="inlineStr">
        <is>
          <t>AG. MEDIÇÃO</t>
        </is>
      </c>
      <c r="Y170" s="11">
        <f>IF(AND(L170&lt;&gt;"", S170&lt;&gt;""), S170-L170, IF(L170&lt;&gt;"", TODAY()-L170, ""))</f>
        <v/>
      </c>
      <c r="Z170" s="7">
        <f>IF(Y170="", "", IF(Y170&lt;=3, "NO PRAZO", "ATRASADO"))</f>
        <v/>
      </c>
      <c r="AA170" s="8" t="inlineStr">
        <is>
          <t>100% - OK</t>
        </is>
      </c>
    </row>
    <row r="171" ht="20" customHeight="1">
      <c r="A171" s="7" t="inlineStr">
        <is>
          <t>RSCLER0169</t>
        </is>
      </c>
      <c r="B171" s="8" t="inlineStr">
        <is>
          <t>PORTO ALEGRE</t>
        </is>
      </c>
      <c r="C171" s="7" t="inlineStr">
        <is>
          <t>JCVAA</t>
        </is>
      </c>
      <c r="D171" s="7" t="inlineStr"/>
      <c r="E171" s="7" t="inlineStr"/>
      <c r="F171" s="8" t="inlineStr">
        <is>
          <t>Cond. Pituba</t>
        </is>
      </c>
      <c r="G171" s="8" t="inlineStr">
        <is>
          <t>R. Luís Lederman, 360</t>
        </is>
      </c>
      <c r="H171" s="7" t="inlineStr"/>
      <c r="I171" s="8" t="inlineStr">
        <is>
          <t>2 ABERTURA E FECHAMENTO, 3 FUSÃO, 3 TESTE</t>
        </is>
      </c>
      <c r="J171" s="8" t="inlineStr"/>
      <c r="K171" s="8" t="inlineStr">
        <is>
          <t>DIOGO/GABRIEL/ MARCOS EMILIANO</t>
        </is>
      </c>
      <c r="L171" s="9" t="n">
        <v>45253</v>
      </c>
      <c r="M171" s="7" t="inlineStr"/>
      <c r="N171" s="9" t="n">
        <v>45254</v>
      </c>
      <c r="O171" s="9" t="n">
        <v>45254</v>
      </c>
      <c r="P171" s="7" t="inlineStr">
        <is>
          <t>NÃO PRECISA</t>
        </is>
      </c>
      <c r="Q171" s="9" t="n">
        <v>45260</v>
      </c>
      <c r="R171" s="7" t="inlineStr">
        <is>
          <t>Concluído Campo</t>
        </is>
      </c>
      <c r="S171" s="7" t="inlineStr"/>
      <c r="T171" s="10" t="inlineStr"/>
      <c r="U171" s="7" t="inlineStr"/>
      <c r="V171" s="7" t="inlineStr"/>
      <c r="W171" s="7" t="inlineStr"/>
      <c r="X171" s="7" t="inlineStr">
        <is>
          <t>AG. MEDIÇÃO</t>
        </is>
      </c>
      <c r="Y171" s="11">
        <f>IF(AND(L171&lt;&gt;"", S171&lt;&gt;""), S171-L171, IF(L171&lt;&gt;"", TODAY()-L171, ""))</f>
        <v/>
      </c>
      <c r="Z171" s="7">
        <f>IF(Y171="", "", IF(Y171&lt;=3, "NO PRAZO", "ATRASADO"))</f>
        <v/>
      </c>
      <c r="AA171" s="8" t="inlineStr">
        <is>
          <t>100% - OK</t>
        </is>
      </c>
    </row>
    <row r="172" ht="20" customHeight="1">
      <c r="A172" s="7" t="inlineStr">
        <is>
          <t>RSCLER0170</t>
        </is>
      </c>
      <c r="B172" s="8" t="inlineStr">
        <is>
          <t>PORTO ALEGRE</t>
        </is>
      </c>
      <c r="C172" s="7" t="inlineStr">
        <is>
          <t>MTSAA</t>
        </is>
      </c>
      <c r="D172" s="7" t="inlineStr"/>
      <c r="E172" s="7" t="inlineStr"/>
      <c r="F172" s="8" t="inlineStr">
        <is>
          <t>Centro Empresarial Veyron</t>
        </is>
      </c>
      <c r="G172" s="8" t="inlineStr">
        <is>
          <t>Av. Plínio Brasil Milano, 567</t>
        </is>
      </c>
      <c r="H172" s="7" t="inlineStr"/>
      <c r="I172" s="8" t="inlineStr">
        <is>
          <t>2 ABERTURA E FECHAMENTO, 1 FUSÃO, 1 TESTE</t>
        </is>
      </c>
      <c r="J172" s="8" t="inlineStr"/>
      <c r="K172" s="8" t="inlineStr">
        <is>
          <t>PAULO GOMES</t>
        </is>
      </c>
      <c r="L172" s="9" t="n">
        <v>45253</v>
      </c>
      <c r="M172" s="9" t="n">
        <v>45253</v>
      </c>
      <c r="N172" s="9" t="n">
        <v>45254</v>
      </c>
      <c r="O172" s="9" t="n">
        <v>45260</v>
      </c>
      <c r="P172" s="7" t="inlineStr">
        <is>
          <t>NÃO PRECISA</t>
        </is>
      </c>
      <c r="Q172" s="9" t="n">
        <v>45273</v>
      </c>
      <c r="R172" s="7" t="inlineStr">
        <is>
          <t>Concluído Campo</t>
        </is>
      </c>
      <c r="S172" s="7" t="inlineStr"/>
      <c r="T172" s="10" t="inlineStr"/>
      <c r="U172" s="7" t="inlineStr"/>
      <c r="V172" s="7" t="inlineStr"/>
      <c r="W172" s="7" t="inlineStr"/>
      <c r="X172" s="7" t="inlineStr">
        <is>
          <t>AG. MEDIÇÃO</t>
        </is>
      </c>
      <c r="Y172" s="11">
        <f>IF(AND(L172&lt;&gt;"", S172&lt;&gt;""), S172-L172, IF(L172&lt;&gt;"", TODAY()-L172, ""))</f>
        <v/>
      </c>
      <c r="Z172" s="7">
        <f>IF(Y172="", "", IF(Y172&lt;=3, "NO PRAZO", "ATRASADO"))</f>
        <v/>
      </c>
      <c r="AA172" s="8" t="inlineStr">
        <is>
          <t>100% - OK</t>
        </is>
      </c>
    </row>
    <row r="173" ht="20" customHeight="1">
      <c r="A173" s="7" t="inlineStr">
        <is>
          <t>RSCLER0171</t>
        </is>
      </c>
      <c r="B173" s="8" t="inlineStr">
        <is>
          <t>PORTO ALEGRE</t>
        </is>
      </c>
      <c r="C173" s="7" t="inlineStr">
        <is>
          <t>TRLAA</t>
        </is>
      </c>
      <c r="D173" s="7" t="inlineStr"/>
      <c r="E173" s="7" t="inlineStr"/>
      <c r="F173" s="8" t="inlineStr">
        <is>
          <t>Cond Ed Reserva Maccari</t>
        </is>
      </c>
      <c r="G173" s="8" t="inlineStr">
        <is>
          <t>Av Aparicio Borges 1463 / 1495/ PART 1</t>
        </is>
      </c>
      <c r="H173" s="7" t="inlineStr"/>
      <c r="I173" s="8" t="inlineStr">
        <is>
          <t>185 METROS DE CABO DE 12FO, 9 ABERTURA E FECHAMENTO, 6 FUSÃO, 2  DERIVAÇÃO, 2 CX NOVA, FAZER AS BUILTS, 1 TESTE</t>
        </is>
      </c>
      <c r="J173" s="8" t="inlineStr">
        <is>
          <t>SAMURAI</t>
        </is>
      </c>
      <c r="K173" s="8" t="inlineStr">
        <is>
          <t>PAULO GOMES/LUCAS HOBERT</t>
        </is>
      </c>
      <c r="L173" s="9" t="n">
        <v>45254</v>
      </c>
      <c r="M173" s="9" t="n">
        <v>45257</v>
      </c>
      <c r="N173" s="9" t="n">
        <v>45258</v>
      </c>
      <c r="O173" s="9" t="n">
        <v>45260</v>
      </c>
      <c r="P173" s="7" t="inlineStr">
        <is>
          <t>NÃO PRECISA</t>
        </is>
      </c>
      <c r="Q173" s="9" t="n">
        <v>45273</v>
      </c>
      <c r="R173" s="7" t="inlineStr">
        <is>
          <t>Concluído Campo</t>
        </is>
      </c>
      <c r="S173" s="7" t="inlineStr"/>
      <c r="T173" s="10" t="inlineStr"/>
      <c r="U173" s="7" t="inlineStr"/>
      <c r="V173" s="7" t="inlineStr"/>
      <c r="W173" s="7" t="inlineStr"/>
      <c r="X173" s="7" t="inlineStr">
        <is>
          <t>AG. MEDIÇÃO</t>
        </is>
      </c>
      <c r="Y173" s="11">
        <f>IF(AND(L173&lt;&gt;"", S173&lt;&gt;""), S173-L173, IF(L173&lt;&gt;"", TODAY()-L173, ""))</f>
        <v/>
      </c>
      <c r="Z173" s="7">
        <f>IF(Y173="", "", IF(Y173&lt;=3, "NO PRAZO", "ATRASADO"))</f>
        <v/>
      </c>
      <c r="AA173" s="8" t="inlineStr">
        <is>
          <t>100% - OK</t>
        </is>
      </c>
    </row>
    <row r="174" ht="20" customHeight="1">
      <c r="A174" s="7" t="inlineStr">
        <is>
          <t>RSCLER0172</t>
        </is>
      </c>
      <c r="B174" s="8" t="inlineStr">
        <is>
          <t>PORTO ALEGRE</t>
        </is>
      </c>
      <c r="C174" s="7" t="inlineStr">
        <is>
          <t>RBRAA</t>
        </is>
      </c>
      <c r="D174" s="7" t="inlineStr"/>
      <c r="E174" s="7" t="inlineStr"/>
      <c r="F174" s="8" t="inlineStr">
        <is>
          <t>Cond. Hillside</t>
        </is>
      </c>
      <c r="G174" s="8" t="inlineStr">
        <is>
          <t>R Santa Cecilia 2230</t>
        </is>
      </c>
      <c r="H174" s="7" t="inlineStr"/>
      <c r="I174" s="8" t="inlineStr">
        <is>
          <t>3 ABERTURA E FECHAMNETO, 11 FUSÃO, 5 TESTE</t>
        </is>
      </c>
      <c r="J174" s="8" t="inlineStr"/>
      <c r="K174" s="8" t="inlineStr">
        <is>
          <t>PAULO GOMES</t>
        </is>
      </c>
      <c r="L174" s="9" t="n">
        <v>45254</v>
      </c>
      <c r="M174" s="9" t="n">
        <v>45258</v>
      </c>
      <c r="N174" s="9" t="n">
        <v>45264</v>
      </c>
      <c r="O174" s="9" t="n">
        <v>45262</v>
      </c>
      <c r="P174" s="7" t="inlineStr">
        <is>
          <t>NÃO PRECISA</t>
        </is>
      </c>
      <c r="Q174" s="9" t="n">
        <v>45273</v>
      </c>
      <c r="R174" s="7" t="inlineStr">
        <is>
          <t>Concluído Campo</t>
        </is>
      </c>
      <c r="S174" s="7" t="inlineStr"/>
      <c r="T174" s="10" t="inlineStr"/>
      <c r="U174" s="7" t="inlineStr"/>
      <c r="V174" s="7" t="inlineStr"/>
      <c r="W174" s="7" t="inlineStr"/>
      <c r="X174" s="7" t="inlineStr">
        <is>
          <t>AG. MEDIÇÃO</t>
        </is>
      </c>
      <c r="Y174" s="11">
        <f>IF(AND(L174&lt;&gt;"", S174&lt;&gt;""), S174-L174, IF(L174&lt;&gt;"", TODAY()-L174, ""))</f>
        <v/>
      </c>
      <c r="Z174" s="7">
        <f>IF(Y174="", "", IF(Y174&lt;=3, "NO PRAZO", "ATRASADO"))</f>
        <v/>
      </c>
      <c r="AA174" s="8" t="inlineStr">
        <is>
          <t>100% - OK</t>
        </is>
      </c>
    </row>
    <row r="175" ht="20" customHeight="1">
      <c r="A175" s="7" t="inlineStr">
        <is>
          <t>RSCLER0173</t>
        </is>
      </c>
      <c r="B175" s="8" t="inlineStr">
        <is>
          <t>PORTO ALEGRE</t>
        </is>
      </c>
      <c r="C175" s="7" t="inlineStr">
        <is>
          <t>BVSAB</t>
        </is>
      </c>
      <c r="D175" s="7" t="inlineStr"/>
      <c r="E175" s="7" t="inlineStr"/>
      <c r="F175" s="8" t="inlineStr">
        <is>
          <t>Carlos Gomes</t>
        </is>
      </c>
      <c r="G175" s="8" t="inlineStr">
        <is>
          <t>R Anita Garibaldi 1325</t>
        </is>
      </c>
      <c r="H175" s="7" t="inlineStr">
        <is>
          <t>BVSAB.031.M050</t>
        </is>
      </c>
      <c r="I175" s="8" t="inlineStr">
        <is>
          <t>315 METROS DE CABO DE 12FO, 2 ABERTURA E FECHAMENTO, 2 FUSÃO, 1 TESTE</t>
        </is>
      </c>
      <c r="J175" s="8" t="inlineStr">
        <is>
          <t>MAICON</t>
        </is>
      </c>
      <c r="K175" s="8" t="inlineStr">
        <is>
          <t>PAULO GOMES</t>
        </is>
      </c>
      <c r="L175" s="9" t="n">
        <v>45254</v>
      </c>
      <c r="M175" s="9" t="n">
        <v>45260</v>
      </c>
      <c r="N175" s="9" t="n">
        <v>45264</v>
      </c>
      <c r="O175" s="9" t="n">
        <v>45270</v>
      </c>
      <c r="P175" s="7" t="inlineStr">
        <is>
          <t>NÃO PRECISA</t>
        </is>
      </c>
      <c r="Q175" s="9" t="n">
        <v>45273</v>
      </c>
      <c r="R175" s="7" t="inlineStr">
        <is>
          <t>Concluído Campo</t>
        </is>
      </c>
      <c r="S175" s="7" t="inlineStr"/>
      <c r="T175" s="10" t="inlineStr"/>
      <c r="U175" s="7" t="inlineStr"/>
      <c r="V175" s="7" t="inlineStr"/>
      <c r="W175" s="7" t="inlineStr"/>
      <c r="X175" s="7" t="inlineStr">
        <is>
          <t>AG. MEDIÇÃO</t>
        </is>
      </c>
      <c r="Y175" s="11">
        <f>IF(AND(L175&lt;&gt;"", S175&lt;&gt;""), S175-L175, IF(L175&lt;&gt;"", TODAY()-L175, ""))</f>
        <v/>
      </c>
      <c r="Z175" s="7">
        <f>IF(Y175="", "", IF(Y175&lt;=3, "NO PRAZO", "ATRASADO"))</f>
        <v/>
      </c>
      <c r="AA175" s="8" t="inlineStr">
        <is>
          <t>100% - OK</t>
        </is>
      </c>
    </row>
    <row r="176" ht="20" customHeight="1">
      <c r="A176" s="7" t="inlineStr">
        <is>
          <t>RSCLER0174</t>
        </is>
      </c>
      <c r="B176" s="8" t="inlineStr">
        <is>
          <t>PORTO ALEGRE</t>
        </is>
      </c>
      <c r="C176" s="7" t="inlineStr">
        <is>
          <t>RBRAA</t>
        </is>
      </c>
      <c r="D176" s="7" t="inlineStr"/>
      <c r="E176" s="7" t="inlineStr"/>
      <c r="F176" s="8" t="inlineStr">
        <is>
          <t>Cond. Edifício Santa Cecília</t>
        </is>
      </c>
      <c r="G176" s="8" t="inlineStr">
        <is>
          <t>R Santa Cecília 2043</t>
        </is>
      </c>
      <c r="H176" s="7" t="inlineStr"/>
      <c r="I176" s="8" t="inlineStr">
        <is>
          <t>320 METROS DE CABO DE 12FO, 3 ABERTURA E FECHAMENTO, 3 FUSÃO, 1 DERIVAÇÃO, 1 CX NOVA, 1 TESTE</t>
        </is>
      </c>
      <c r="J176" s="8" t="inlineStr">
        <is>
          <t>MAICON</t>
        </is>
      </c>
      <c r="K176" s="8" t="inlineStr">
        <is>
          <t>PAULO GOMES</t>
        </is>
      </c>
      <c r="L176" s="9" t="n">
        <v>45254</v>
      </c>
      <c r="M176" s="9" t="n">
        <v>45260</v>
      </c>
      <c r="N176" s="9" t="n">
        <v>45264</v>
      </c>
      <c r="O176" s="9" t="n">
        <v>45262</v>
      </c>
      <c r="P176" s="7" t="inlineStr">
        <is>
          <t>NÃO PRECISA</t>
        </is>
      </c>
      <c r="Q176" s="9" t="n">
        <v>45273</v>
      </c>
      <c r="R176" s="7" t="inlineStr">
        <is>
          <t>Concluído Campo</t>
        </is>
      </c>
      <c r="S176" s="7" t="inlineStr"/>
      <c r="T176" s="10" t="inlineStr"/>
      <c r="U176" s="7" t="inlineStr"/>
      <c r="V176" s="7" t="inlineStr"/>
      <c r="W176" s="7" t="inlineStr"/>
      <c r="X176" s="7" t="inlineStr">
        <is>
          <t>AG. MEDIÇÃO</t>
        </is>
      </c>
      <c r="Y176" s="11">
        <f>IF(AND(L176&lt;&gt;"", S176&lt;&gt;""), S176-L176, IF(L176&lt;&gt;"", TODAY()-L176, ""))</f>
        <v/>
      </c>
      <c r="Z176" s="7">
        <f>IF(Y176="", "", IF(Y176&lt;=3, "NO PRAZO", "ATRASADO"))</f>
        <v/>
      </c>
      <c r="AA176" s="8" t="inlineStr">
        <is>
          <t>100% - OK</t>
        </is>
      </c>
    </row>
    <row r="177" ht="20" customHeight="1">
      <c r="A177" s="7" t="inlineStr">
        <is>
          <t>RSCLER0175</t>
        </is>
      </c>
      <c r="B177" s="8" t="inlineStr">
        <is>
          <t>PORTO ALEGRE</t>
        </is>
      </c>
      <c r="C177" s="7" t="inlineStr">
        <is>
          <t>PRTAA</t>
        </is>
      </c>
      <c r="D177" s="7" t="inlineStr"/>
      <c r="E177" s="7" t="inlineStr"/>
      <c r="F177" s="8" t="inlineStr">
        <is>
          <t>Condomínio Conjunto Jardim Guanabara</t>
        </is>
      </c>
      <c r="G177" s="8" t="inlineStr">
        <is>
          <t>R. Marcone, 470</t>
        </is>
      </c>
      <c r="H177" s="7" t="inlineStr"/>
      <c r="I177" s="8" t="inlineStr">
        <is>
          <t>2 ABERTURA E FECHAMENTO, 2 FUSÃO, 1 TESTE</t>
        </is>
      </c>
      <c r="J177" s="8" t="inlineStr"/>
      <c r="K177" s="8" t="inlineStr">
        <is>
          <t>PAULO GOMES</t>
        </is>
      </c>
      <c r="L177" s="9" t="n">
        <v>45259</v>
      </c>
      <c r="M177" s="7" t="inlineStr"/>
      <c r="N177" s="9" t="n">
        <v>45260</v>
      </c>
      <c r="O177" s="9" t="n">
        <v>45260</v>
      </c>
      <c r="P177" s="7" t="inlineStr">
        <is>
          <t>NÃO PRECISA</t>
        </is>
      </c>
      <c r="Q177" s="9" t="n">
        <v>45273</v>
      </c>
      <c r="R177" s="7" t="inlineStr">
        <is>
          <t>Concluído Campo</t>
        </is>
      </c>
      <c r="S177" s="7" t="inlineStr"/>
      <c r="T177" s="10" t="inlineStr"/>
      <c r="U177" s="7" t="inlineStr"/>
      <c r="V177" s="7" t="inlineStr"/>
      <c r="W177" s="7" t="inlineStr"/>
      <c r="X177" s="7" t="inlineStr">
        <is>
          <t>AG. MEDIÇÃO</t>
        </is>
      </c>
      <c r="Y177" s="11">
        <f>IF(AND(L177&lt;&gt;"", S177&lt;&gt;""), S177-L177, IF(L177&lt;&gt;"", TODAY()-L177, ""))</f>
        <v/>
      </c>
      <c r="Z177" s="7">
        <f>IF(Y177="", "", IF(Y177&lt;=3, "NO PRAZO", "ATRASADO"))</f>
        <v/>
      </c>
      <c r="AA177" s="8" t="inlineStr">
        <is>
          <t>100% - OK</t>
        </is>
      </c>
    </row>
    <row r="178" ht="20" customHeight="1">
      <c r="A178" s="7" t="inlineStr">
        <is>
          <t>RSCLER0176</t>
        </is>
      </c>
      <c r="B178" s="8" t="inlineStr">
        <is>
          <t>PORTO ALEGRE</t>
        </is>
      </c>
      <c r="C178" s="7" t="inlineStr">
        <is>
          <t>MTSAA</t>
        </is>
      </c>
      <c r="D178" s="7" t="inlineStr"/>
      <c r="E178" s="7" t="inlineStr"/>
      <c r="F178" s="8" t="inlineStr">
        <is>
          <t>Tribeca Residences</t>
        </is>
      </c>
      <c r="G178" s="8" t="inlineStr">
        <is>
          <t>R. Artur Rocha 530</t>
        </is>
      </c>
      <c r="H178" s="7" t="inlineStr"/>
      <c r="I178" s="8" t="inlineStr">
        <is>
          <t>TEVE MUDANÇA DE FIBRA, 2 ABERTURA E FECHAMENTO, 3 FUSÃO, FAZER AS BUILTS DAS FIBRAS</t>
        </is>
      </c>
      <c r="J178" s="8" t="inlineStr"/>
      <c r="K178" s="8" t="inlineStr">
        <is>
          <t>MARCOS EMILIANO</t>
        </is>
      </c>
      <c r="L178" s="9" t="n">
        <v>45254</v>
      </c>
      <c r="M178" s="9" t="n">
        <v>45257</v>
      </c>
      <c r="N178" s="9" t="n">
        <v>45258</v>
      </c>
      <c r="O178" s="9" t="n">
        <v>45260</v>
      </c>
      <c r="P178" s="7" t="inlineStr">
        <is>
          <t>NÃO PRECISA</t>
        </is>
      </c>
      <c r="Q178" s="9" t="n">
        <v>45273</v>
      </c>
      <c r="R178" s="7" t="inlineStr">
        <is>
          <t>Concluído Campo</t>
        </is>
      </c>
      <c r="S178" s="7" t="inlineStr"/>
      <c r="T178" s="10" t="inlineStr"/>
      <c r="U178" s="7" t="inlineStr"/>
      <c r="V178" s="7" t="inlineStr"/>
      <c r="W178" s="7" t="inlineStr"/>
      <c r="X178" s="7" t="inlineStr">
        <is>
          <t>AG. MEDIÇÃO</t>
        </is>
      </c>
      <c r="Y178" s="11">
        <f>IF(AND(L178&lt;&gt;"", S178&lt;&gt;""), S178-L178, IF(L178&lt;&gt;"", TODAY()-L178, ""))</f>
        <v/>
      </c>
      <c r="Z178" s="7">
        <f>IF(Y178="", "", IF(Y178&lt;=3, "NO PRAZO", "ATRASADO"))</f>
        <v/>
      </c>
      <c r="AA178" s="8" t="inlineStr">
        <is>
          <t>100% - OK</t>
        </is>
      </c>
    </row>
    <row r="179" ht="20" customHeight="1">
      <c r="A179" s="7" t="inlineStr">
        <is>
          <t>RSCLER0177</t>
        </is>
      </c>
      <c r="B179" s="8" t="inlineStr">
        <is>
          <t>PORTO ALEGRE</t>
        </is>
      </c>
      <c r="C179" s="7" t="inlineStr">
        <is>
          <t>MNDAC</t>
        </is>
      </c>
      <c r="D179" s="7" t="inlineStr"/>
      <c r="E179" s="7" t="inlineStr"/>
      <c r="F179" s="8" t="inlineStr">
        <is>
          <t>Cond Hari Menino Deus</t>
        </is>
      </c>
      <c r="G179" s="8" t="inlineStr">
        <is>
          <t>Tv. Dirceu 80</t>
        </is>
      </c>
      <c r="H179" s="7" t="inlineStr"/>
      <c r="I179" s="8" t="inlineStr">
        <is>
          <t>3 ABERTURA E FECHAMENTO, 13 FUSÃO</t>
        </is>
      </c>
      <c r="J179" s="8" t="inlineStr"/>
      <c r="K179" s="8" t="inlineStr">
        <is>
          <t>PAULO GOMES</t>
        </is>
      </c>
      <c r="L179" s="9" t="n">
        <v>45260</v>
      </c>
      <c r="M179" s="7" t="inlineStr"/>
      <c r="N179" s="9" t="n">
        <v>45261</v>
      </c>
      <c r="O179" s="9" t="n">
        <v>45261</v>
      </c>
      <c r="P179" s="7" t="inlineStr">
        <is>
          <t>NÃO PRECISA</t>
        </is>
      </c>
      <c r="Q179" s="9" t="n">
        <v>45273</v>
      </c>
      <c r="R179" s="7" t="inlineStr">
        <is>
          <t>Concluído Campo</t>
        </is>
      </c>
      <c r="S179" s="7" t="inlineStr"/>
      <c r="T179" s="10" t="inlineStr"/>
      <c r="U179" s="7" t="inlineStr"/>
      <c r="V179" s="7" t="inlineStr"/>
      <c r="W179" s="7" t="inlineStr"/>
      <c r="X179" s="7" t="inlineStr">
        <is>
          <t>AG. MEDIÇÃO</t>
        </is>
      </c>
      <c r="Y179" s="11">
        <f>IF(AND(L179&lt;&gt;"", S179&lt;&gt;""), S179-L179, IF(L179&lt;&gt;"", TODAY()-L179, ""))</f>
        <v/>
      </c>
      <c r="Z179" s="7">
        <f>IF(Y179="", "", IF(Y179&lt;=3, "NO PRAZO", "ATRASADO"))</f>
        <v/>
      </c>
      <c r="AA179" s="8" t="inlineStr">
        <is>
          <t>100% - OK</t>
        </is>
      </c>
    </row>
    <row r="180" ht="20" customHeight="1">
      <c r="A180" s="7" t="inlineStr">
        <is>
          <t>RSCLER0178</t>
        </is>
      </c>
      <c r="B180" s="8" t="inlineStr">
        <is>
          <t>PORTO ALEGRE</t>
        </is>
      </c>
      <c r="C180" s="7" t="inlineStr">
        <is>
          <t>PRTAB</t>
        </is>
      </c>
      <c r="D180" s="7" t="inlineStr"/>
      <c r="E180" s="7" t="inlineStr"/>
      <c r="F180" s="8" t="inlineStr">
        <is>
          <t>Condomínio Edificio Azalea</t>
        </is>
      </c>
      <c r="G180" s="8" t="inlineStr">
        <is>
          <t>R. Barão do Amazonas, 1559</t>
        </is>
      </c>
      <c r="H180" s="7" t="inlineStr"/>
      <c r="I180" s="8" t="inlineStr">
        <is>
          <t>2 ABERTURA E FECHAMENTO, 2 FUSÃO, 2 TESTE</t>
        </is>
      </c>
      <c r="J180" s="8" t="inlineStr"/>
      <c r="K180" s="8" t="inlineStr">
        <is>
          <t>LUCAS HOBERT</t>
        </is>
      </c>
      <c r="L180" s="9" t="n">
        <v>45264</v>
      </c>
      <c r="M180" s="7" t="inlineStr"/>
      <c r="N180" s="9" t="n">
        <v>45266</v>
      </c>
      <c r="O180" s="9" t="n">
        <v>45266</v>
      </c>
      <c r="P180" s="7" t="inlineStr">
        <is>
          <t>NÃO PRECISA</t>
        </is>
      </c>
      <c r="Q180" s="9" t="n">
        <v>45273</v>
      </c>
      <c r="R180" s="7" t="inlineStr">
        <is>
          <t>Concluído Campo</t>
        </is>
      </c>
      <c r="S180" s="7" t="inlineStr"/>
      <c r="T180" s="10" t="inlineStr"/>
      <c r="U180" s="7" t="inlineStr"/>
      <c r="V180" s="7" t="inlineStr"/>
      <c r="W180" s="7" t="inlineStr"/>
      <c r="X180" s="7" t="inlineStr">
        <is>
          <t>AG. MEDIÇÃO</t>
        </is>
      </c>
      <c r="Y180" s="11">
        <f>IF(AND(L180&lt;&gt;"", S180&lt;&gt;""), S180-L180, IF(L180&lt;&gt;"", TODAY()-L180, ""))</f>
        <v/>
      </c>
      <c r="Z180" s="7">
        <f>IF(Y180="", "", IF(Y180&lt;=3, "NO PRAZO", "ATRASADO"))</f>
        <v/>
      </c>
      <c r="AA180" s="8" t="inlineStr">
        <is>
          <t>100% - OK</t>
        </is>
      </c>
    </row>
    <row r="181" ht="20" customHeight="1">
      <c r="A181" s="7" t="inlineStr">
        <is>
          <t>RSCLER0179</t>
        </is>
      </c>
      <c r="B181" s="8" t="inlineStr">
        <is>
          <t>PORTO ALEGRE</t>
        </is>
      </c>
      <c r="C181" s="7" t="inlineStr">
        <is>
          <t>BVSAB</t>
        </is>
      </c>
      <c r="D181" s="7" t="inlineStr"/>
      <c r="E181" s="7" t="inlineStr"/>
      <c r="F181" s="8" t="inlineStr">
        <is>
          <t>Res. Botanique</t>
        </is>
      </c>
      <c r="G181" s="8" t="inlineStr">
        <is>
          <t>R MARIZ E BARROS 580</t>
        </is>
      </c>
      <c r="H181" s="7" t="inlineStr"/>
      <c r="I181" s="8" t="inlineStr">
        <is>
          <t>FOI LANÇADO 120 METROS DE CABO DE 12FO, TEVE ALTERAÇÃO NO PROJETO, FOI LANÇADO MAIS UM TRAJETO DE 250 METROS DE CABO DE 12FO, 3 ABERTURA E FECHAMENTO, 3 DERIVAÇÃO, 2 CX NOVA, 8 FUSÃO, 2 TESTE, FAZER AS BUILTS</t>
        </is>
      </c>
      <c r="J181" s="8" t="inlineStr">
        <is>
          <t>THIAGO</t>
        </is>
      </c>
      <c r="K181" s="8" t="inlineStr">
        <is>
          <t>LUCAS HOBERT</t>
        </is>
      </c>
      <c r="L181" s="9" t="n">
        <v>45268</v>
      </c>
      <c r="M181" s="9" t="n">
        <v>45282</v>
      </c>
      <c r="N181" s="9" t="n">
        <v>45286</v>
      </c>
      <c r="O181" s="9" t="n">
        <v>45287</v>
      </c>
      <c r="P181" s="7" t="inlineStr">
        <is>
          <t>NÃO PRECISA</t>
        </is>
      </c>
      <c r="Q181" s="9" t="n">
        <v>45300</v>
      </c>
      <c r="R181" s="7" t="inlineStr">
        <is>
          <t>Concluído Campo</t>
        </is>
      </c>
      <c r="S181" s="7" t="inlineStr"/>
      <c r="T181" s="10" t="inlineStr"/>
      <c r="U181" s="7" t="inlineStr"/>
      <c r="V181" s="7" t="inlineStr"/>
      <c r="W181" s="7" t="inlineStr"/>
      <c r="X181" s="7" t="inlineStr">
        <is>
          <t>AG. MEDIÇÃO</t>
        </is>
      </c>
      <c r="Y181" s="11">
        <f>IF(AND(L181&lt;&gt;"", S181&lt;&gt;""), S181-L181, IF(L181&lt;&gt;"", TODAY()-L181, ""))</f>
        <v/>
      </c>
      <c r="Z181" s="7">
        <f>IF(Y181="", "", IF(Y181&lt;=3, "NO PRAZO", "ATRASADO"))</f>
        <v/>
      </c>
      <c r="AA181" s="8" t="inlineStr">
        <is>
          <t>100% - OK</t>
        </is>
      </c>
    </row>
    <row r="182" ht="20" customHeight="1">
      <c r="A182" s="7" t="inlineStr">
        <is>
          <t>RSCLER0180</t>
        </is>
      </c>
      <c r="B182" s="8" t="inlineStr">
        <is>
          <t>PORTO ALEGRE</t>
        </is>
      </c>
      <c r="C182" s="7" t="inlineStr">
        <is>
          <t>VJDAB</t>
        </is>
      </c>
      <c r="D182" s="7" t="inlineStr"/>
      <c r="E182" s="7" t="inlineStr"/>
      <c r="F182" s="8" t="inlineStr">
        <is>
          <t>Reserva San Mateo</t>
        </is>
      </c>
      <c r="G182" s="8" t="inlineStr">
        <is>
          <t>R. João Francisco Martin 80</t>
        </is>
      </c>
      <c r="H182" s="7" t="inlineStr"/>
      <c r="I182" s="8" t="inlineStr">
        <is>
          <t>2 ABERTURA E FECHAMENTO, 6 FUSÕES, 5 TESTE</t>
        </is>
      </c>
      <c r="J182" s="8" t="inlineStr"/>
      <c r="K182" s="8" t="inlineStr">
        <is>
          <t>LUCAS HOBERT</t>
        </is>
      </c>
      <c r="L182" s="9" t="n">
        <v>45271</v>
      </c>
      <c r="M182" s="7" t="inlineStr"/>
      <c r="N182" s="9" t="n">
        <v>45271</v>
      </c>
      <c r="O182" s="9" t="n">
        <v>45271</v>
      </c>
      <c r="P182" s="7" t="inlineStr">
        <is>
          <t>NÃO PRECISA</t>
        </is>
      </c>
      <c r="Q182" s="9" t="n">
        <v>45273</v>
      </c>
      <c r="R182" s="7" t="inlineStr">
        <is>
          <t>Concluído Campo</t>
        </is>
      </c>
      <c r="S182" s="7" t="inlineStr"/>
      <c r="T182" s="10" t="inlineStr"/>
      <c r="U182" s="7" t="inlineStr"/>
      <c r="V182" s="7" t="inlineStr"/>
      <c r="W182" s="7" t="inlineStr"/>
      <c r="X182" s="7" t="inlineStr">
        <is>
          <t>AG. MEDIÇÃO</t>
        </is>
      </c>
      <c r="Y182" s="11">
        <f>IF(AND(L182&lt;&gt;"", S182&lt;&gt;""), S182-L182, IF(L182&lt;&gt;"", TODAY()-L182, ""))</f>
        <v/>
      </c>
      <c r="Z182" s="7">
        <f>IF(Y182="", "", IF(Y182&lt;=3, "NO PRAZO", "ATRASADO"))</f>
        <v/>
      </c>
      <c r="AA182" s="8" t="inlineStr">
        <is>
          <t>100% - OK</t>
        </is>
      </c>
    </row>
    <row r="183" ht="20" customHeight="1">
      <c r="A183" s="7" t="inlineStr">
        <is>
          <t>RSCLER0181</t>
        </is>
      </c>
      <c r="B183" s="8" t="inlineStr">
        <is>
          <t>PORTO ALEGRE</t>
        </is>
      </c>
      <c r="C183" s="7" t="inlineStr">
        <is>
          <t>SRDAA</t>
        </is>
      </c>
      <c r="D183" s="7" t="inlineStr"/>
      <c r="E183" s="7" t="inlineStr"/>
      <c r="F183" s="8" t="inlineStr">
        <is>
          <t>COND. PONTAL DO ACAPULCO</t>
        </is>
      </c>
      <c r="G183" s="8" t="inlineStr">
        <is>
          <t>AV FARIA LOBATO 1120</t>
        </is>
      </c>
      <c r="H183" s="7" t="inlineStr"/>
      <c r="I183" s="8" t="inlineStr">
        <is>
          <t>190 METROS DE CABO DE 12FO, TEVE DIVERGENCIA NO PROJETO, SERA LANÇADO NOVAMENTO O CABO , 213 METROS DE CABO DE 24FO, 1 CAIXA NOVA, 24 FUSÃO, 16 TESTE, 1 DERIVAÇÃO</t>
        </is>
      </c>
      <c r="J183" s="8" t="inlineStr">
        <is>
          <t>THIAGO</t>
        </is>
      </c>
      <c r="K183" s="8" t="inlineStr">
        <is>
          <t>LUCAS HOBERT</t>
        </is>
      </c>
      <c r="L183" s="9" t="n">
        <v>45271</v>
      </c>
      <c r="M183" s="9" t="n">
        <v>45274</v>
      </c>
      <c r="N183" s="9" t="n">
        <v>45274</v>
      </c>
      <c r="O183" s="9" t="n">
        <v>45275</v>
      </c>
      <c r="P183" s="7" t="inlineStr">
        <is>
          <t>NÃO PRECISA</t>
        </is>
      </c>
      <c r="Q183" s="9" t="n">
        <v>45300</v>
      </c>
      <c r="R183" s="7" t="inlineStr">
        <is>
          <t>Concluído Campo</t>
        </is>
      </c>
      <c r="S183" s="7" t="inlineStr"/>
      <c r="T183" s="10" t="inlineStr"/>
      <c r="U183" s="7" t="inlineStr"/>
      <c r="V183" s="7" t="inlineStr"/>
      <c r="W183" s="7" t="inlineStr"/>
      <c r="X183" s="7" t="inlineStr">
        <is>
          <t>AG. MEDIÇÃO</t>
        </is>
      </c>
      <c r="Y183" s="11">
        <f>IF(AND(L183&lt;&gt;"", S183&lt;&gt;""), S183-L183, IF(L183&lt;&gt;"", TODAY()-L183, ""))</f>
        <v/>
      </c>
      <c r="Z183" s="7">
        <f>IF(Y183="", "", IF(Y183&lt;=3, "NO PRAZO", "ATRASADO"))</f>
        <v/>
      </c>
      <c r="AA183" s="8" t="inlineStr">
        <is>
          <t>100% - OK</t>
        </is>
      </c>
    </row>
    <row r="184" ht="20" customHeight="1">
      <c r="A184" s="7" t="inlineStr">
        <is>
          <t>RSCLER0182</t>
        </is>
      </c>
      <c r="B184" s="8" t="inlineStr">
        <is>
          <t>PORTO ALEGRE</t>
        </is>
      </c>
      <c r="C184" s="7" t="inlineStr">
        <is>
          <t>VIPAA</t>
        </is>
      </c>
      <c r="D184" s="7" t="inlineStr"/>
      <c r="E184" s="7" t="inlineStr"/>
      <c r="F184" s="8" t="inlineStr">
        <is>
          <t>Cond. Riservatto</t>
        </is>
      </c>
      <c r="G184" s="8" t="inlineStr">
        <is>
          <t>Rua Fernando Cortez 222</t>
        </is>
      </c>
      <c r="H184" s="7" t="inlineStr"/>
      <c r="I184" s="8" t="inlineStr">
        <is>
          <t>LANÇADO 380 METROS DE CABO DE 12FO, FAZER AS BUILTS, CABO EXISTENTE É 24FO E NÃO 36FO , 3 ABERTURA E FECHAMENTO, 12 FUSÃO, 1 CX NOVA, 1 DERIVAÇÃO,</t>
        </is>
      </c>
      <c r="J184" s="8" t="inlineStr">
        <is>
          <t>THIAGO</t>
        </is>
      </c>
      <c r="K184" s="8" t="inlineStr">
        <is>
          <t>ALEXANDRE/ MARCOS EMILIANO</t>
        </is>
      </c>
      <c r="L184" s="9" t="n">
        <v>45272</v>
      </c>
      <c r="M184" s="9" t="n">
        <v>45273</v>
      </c>
      <c r="N184" s="9" t="n">
        <v>45275</v>
      </c>
      <c r="O184" s="9" t="n">
        <v>45276</v>
      </c>
      <c r="P184" s="7" t="inlineStr">
        <is>
          <t>NÃO PRECISA</t>
        </is>
      </c>
      <c r="Q184" s="9" t="n">
        <v>45300</v>
      </c>
      <c r="R184" s="7" t="inlineStr">
        <is>
          <t>Concluído Campo</t>
        </is>
      </c>
      <c r="S184" s="7" t="inlineStr"/>
      <c r="T184" s="10" t="inlineStr"/>
      <c r="U184" s="7" t="inlineStr"/>
      <c r="V184" s="7" t="inlineStr"/>
      <c r="W184" s="7" t="inlineStr"/>
      <c r="X184" s="7" t="inlineStr">
        <is>
          <t>AG. MEDIÇÃO</t>
        </is>
      </c>
      <c r="Y184" s="11">
        <f>IF(AND(L184&lt;&gt;"", S184&lt;&gt;""), S184-L184, IF(L184&lt;&gt;"", TODAY()-L184, ""))</f>
        <v/>
      </c>
      <c r="Z184" s="7">
        <f>IF(Y184="", "", IF(Y184&lt;=3, "NO PRAZO", "ATRASADO"))</f>
        <v/>
      </c>
      <c r="AA184" s="8" t="inlineStr">
        <is>
          <t>100% - OK</t>
        </is>
      </c>
    </row>
    <row r="185" ht="20" customHeight="1">
      <c r="A185" s="7" t="inlineStr">
        <is>
          <t>RSCLER0183</t>
        </is>
      </c>
      <c r="B185" s="8" t="inlineStr">
        <is>
          <t>PORTO ALEGRE</t>
        </is>
      </c>
      <c r="C185" s="7" t="inlineStr">
        <is>
          <t>HMTAA</t>
        </is>
      </c>
      <c r="D185" s="7" t="inlineStr"/>
      <c r="E185" s="7" t="inlineStr"/>
      <c r="F185" s="8" t="inlineStr">
        <is>
          <t>Cond. Res Porto Verissimo</t>
        </is>
      </c>
      <c r="G185" s="8" t="inlineStr">
        <is>
          <t>R Ernesto Neugebauer 1820</t>
        </is>
      </c>
      <c r="H185" s="7" t="inlineStr"/>
      <c r="I185" s="8" t="inlineStr">
        <is>
          <t>FOI LANÇADO 964 METROS DE CABO DE 12FO, 2 ABERTURA E FECHAMENTO, 1 DERIVAÇÃO, 2 CX NOVA, 20 FUSÃO, 4 TESTE,</t>
        </is>
      </c>
      <c r="J185" s="8" t="inlineStr">
        <is>
          <t>THIAGO</t>
        </is>
      </c>
      <c r="K185" s="8" t="inlineStr">
        <is>
          <t>LUCAS HOBERT</t>
        </is>
      </c>
      <c r="L185" s="9" t="n">
        <v>45272</v>
      </c>
      <c r="M185" s="9" t="n">
        <v>45273</v>
      </c>
      <c r="N185" s="9" t="n">
        <v>45278</v>
      </c>
      <c r="O185" s="9" t="n">
        <v>45280</v>
      </c>
      <c r="P185" s="7" t="inlineStr">
        <is>
          <t>NÃO PRECISA</t>
        </is>
      </c>
      <c r="Q185" s="9" t="n">
        <v>45300</v>
      </c>
      <c r="R185" s="7" t="inlineStr">
        <is>
          <t>Concluído Campo</t>
        </is>
      </c>
      <c r="S185" s="7" t="inlineStr"/>
      <c r="T185" s="10" t="inlineStr"/>
      <c r="U185" s="7" t="inlineStr"/>
      <c r="V185" s="7" t="inlineStr"/>
      <c r="W185" s="7" t="inlineStr"/>
      <c r="X185" s="7" t="inlineStr">
        <is>
          <t>AG. MEDIÇÃO</t>
        </is>
      </c>
      <c r="Y185" s="11">
        <f>IF(AND(L185&lt;&gt;"", S185&lt;&gt;""), S185-L185, IF(L185&lt;&gt;"", TODAY()-L185, ""))</f>
        <v/>
      </c>
      <c r="Z185" s="7">
        <f>IF(Y185="", "", IF(Y185&lt;=3, "NO PRAZO", "ATRASADO"))</f>
        <v/>
      </c>
      <c r="AA185" s="8" t="inlineStr">
        <is>
          <t>100% - OK</t>
        </is>
      </c>
    </row>
    <row r="186" ht="20" customHeight="1">
      <c r="A186" s="7" t="inlineStr">
        <is>
          <t>RSCLER0184</t>
        </is>
      </c>
      <c r="B186" s="8" t="inlineStr">
        <is>
          <t>PORTO ALEGRE</t>
        </is>
      </c>
      <c r="C186" s="7" t="inlineStr">
        <is>
          <t>RBRAA</t>
        </is>
      </c>
      <c r="D186" s="7" t="inlineStr"/>
      <c r="E186" s="7" t="inlineStr"/>
      <c r="F186" s="8" t="inlineStr">
        <is>
          <t>Edificio Welcome</t>
        </is>
      </c>
      <c r="G186" s="8" t="inlineStr">
        <is>
          <t>R Ferreira Viana 279</t>
        </is>
      </c>
      <c r="H186" s="7" t="inlineStr"/>
      <c r="I186" s="8" t="inlineStr">
        <is>
          <t>7 ABERTURA E FECHAMENTO, 13 FUSÃO, 1 SPLITTER, 3 TESTE,</t>
        </is>
      </c>
      <c r="J186" s="8" t="inlineStr"/>
      <c r="K186" s="8" t="inlineStr">
        <is>
          <t>MARCOS EMILIANO</t>
        </is>
      </c>
      <c r="L186" s="9" t="n">
        <v>45272</v>
      </c>
      <c r="M186" s="7" t="inlineStr"/>
      <c r="N186" s="9" t="n">
        <v>45278</v>
      </c>
      <c r="O186" s="9" t="n">
        <v>45287</v>
      </c>
      <c r="P186" s="7" t="inlineStr">
        <is>
          <t>NÃO PRECISA</t>
        </is>
      </c>
      <c r="Q186" s="9" t="n">
        <v>45300</v>
      </c>
      <c r="R186" s="7" t="inlineStr">
        <is>
          <t>Concluído Campo</t>
        </is>
      </c>
      <c r="S186" s="7" t="inlineStr"/>
      <c r="T186" s="10" t="inlineStr"/>
      <c r="U186" s="7" t="inlineStr"/>
      <c r="V186" s="7" t="inlineStr"/>
      <c r="W186" s="7" t="inlineStr"/>
      <c r="X186" s="7" t="inlineStr">
        <is>
          <t>AG. MEDIÇÃO</t>
        </is>
      </c>
      <c r="Y186" s="11">
        <f>IF(AND(L186&lt;&gt;"", S186&lt;&gt;""), S186-L186, IF(L186&lt;&gt;"", TODAY()-L186, ""))</f>
        <v/>
      </c>
      <c r="Z186" s="7">
        <f>IF(Y186="", "", IF(Y186&lt;=3, "NO PRAZO", "ATRASADO"))</f>
        <v/>
      </c>
      <c r="AA186" s="8" t="inlineStr">
        <is>
          <t>100% - OK</t>
        </is>
      </c>
    </row>
    <row r="187" ht="20" customHeight="1">
      <c r="A187" s="7" t="inlineStr">
        <is>
          <t>RSCLER0185</t>
        </is>
      </c>
      <c r="B187" s="8" t="inlineStr">
        <is>
          <t>PORTO ALEGRE</t>
        </is>
      </c>
      <c r="C187" s="7" t="inlineStr">
        <is>
          <t>TRZAA</t>
        </is>
      </c>
      <c r="D187" s="7" t="inlineStr"/>
      <c r="E187" s="7" t="inlineStr"/>
      <c r="F187" s="8" t="inlineStr">
        <is>
          <t>Residencial José Gomes</t>
        </is>
      </c>
      <c r="G187" s="8" t="inlineStr">
        <is>
          <t>R Jose Gomes 26</t>
        </is>
      </c>
      <c r="H187" s="7" t="inlineStr"/>
      <c r="I187" s="8" t="inlineStr">
        <is>
          <t>2  ABERTURA E FECHAMENTO, 2 FUSÕES , 2 TESTE</t>
        </is>
      </c>
      <c r="J187" s="8" t="inlineStr"/>
      <c r="K187" s="8" t="inlineStr">
        <is>
          <t>LUCAS HOBERT</t>
        </is>
      </c>
      <c r="L187" s="9" t="n">
        <v>45272</v>
      </c>
      <c r="M187" s="7" t="inlineStr"/>
      <c r="N187" s="9" t="n">
        <v>45275</v>
      </c>
      <c r="O187" s="9" t="n">
        <v>45275</v>
      </c>
      <c r="P187" s="7" t="inlineStr">
        <is>
          <t>NÃO PRECISA</t>
        </is>
      </c>
      <c r="Q187" s="9" t="n">
        <v>45300</v>
      </c>
      <c r="R187" s="7" t="inlineStr">
        <is>
          <t>Concluído Campo</t>
        </is>
      </c>
      <c r="S187" s="7" t="inlineStr"/>
      <c r="T187" s="10" t="inlineStr"/>
      <c r="U187" s="7" t="inlineStr"/>
      <c r="V187" s="7" t="inlineStr"/>
      <c r="W187" s="7" t="inlineStr"/>
      <c r="X187" s="7" t="inlineStr">
        <is>
          <t>AG. MEDIÇÃO</t>
        </is>
      </c>
      <c r="Y187" s="11">
        <f>IF(AND(L187&lt;&gt;"", S187&lt;&gt;""), S187-L187, IF(L187&lt;&gt;"", TODAY()-L187, ""))</f>
        <v/>
      </c>
      <c r="Z187" s="7">
        <f>IF(Y187="", "", IF(Y187&lt;=3, "NO PRAZO", "ATRASADO"))</f>
        <v/>
      </c>
      <c r="AA187" s="8" t="inlineStr">
        <is>
          <t>100% - OK</t>
        </is>
      </c>
    </row>
    <row r="188" ht="20" customHeight="1">
      <c r="A188" s="7" t="inlineStr">
        <is>
          <t>RSCLER0186</t>
        </is>
      </c>
      <c r="B188" s="8" t="inlineStr">
        <is>
          <t>PORTO ALEGRE</t>
        </is>
      </c>
      <c r="C188" s="7" t="inlineStr">
        <is>
          <t>CNTAA</t>
        </is>
      </c>
      <c r="D188" s="7" t="inlineStr"/>
      <c r="E188" s="7" t="inlineStr"/>
      <c r="F188" s="8" t="inlineStr">
        <is>
          <t>CEL GENUINO 433</t>
        </is>
      </c>
      <c r="G188" s="8" t="inlineStr">
        <is>
          <t>CEL GENUINO 433</t>
        </is>
      </c>
      <c r="H188" s="7" t="inlineStr"/>
      <c r="I188" s="8" t="inlineStr">
        <is>
          <t>2 ABERTURA E FECHAMENTO, 1 FUSÃO, 1 TESTE</t>
        </is>
      </c>
      <c r="J188" s="8" t="inlineStr"/>
      <c r="K188" s="8" t="inlineStr">
        <is>
          <t>LUCAS HOBERT</t>
        </is>
      </c>
      <c r="L188" s="9" t="n">
        <v>45272</v>
      </c>
      <c r="M188" s="7" t="inlineStr"/>
      <c r="N188" s="9" t="n">
        <v>45272</v>
      </c>
      <c r="O188" s="9" t="n">
        <v>45272</v>
      </c>
      <c r="P188" s="7" t="inlineStr">
        <is>
          <t>NÃO PRECISA</t>
        </is>
      </c>
      <c r="Q188" s="9" t="n">
        <v>45300</v>
      </c>
      <c r="R188" s="7" t="inlineStr">
        <is>
          <t>Concluído Campo</t>
        </is>
      </c>
      <c r="S188" s="7" t="inlineStr"/>
      <c r="T188" s="10" t="inlineStr"/>
      <c r="U188" s="7" t="inlineStr"/>
      <c r="V188" s="7" t="inlineStr"/>
      <c r="W188" s="7" t="inlineStr"/>
      <c r="X188" s="7" t="inlineStr">
        <is>
          <t>AG. MEDIÇÃO</t>
        </is>
      </c>
      <c r="Y188" s="11">
        <f>IF(AND(L188&lt;&gt;"", S188&lt;&gt;""), S188-L188, IF(L188&lt;&gt;"", TODAY()-L188, ""))</f>
        <v/>
      </c>
      <c r="Z188" s="7">
        <f>IF(Y188="", "", IF(Y188&lt;=3, "NO PRAZO", "ATRASADO"))</f>
        <v/>
      </c>
      <c r="AA188" s="8" t="inlineStr">
        <is>
          <t>100% - OK</t>
        </is>
      </c>
    </row>
    <row r="189" ht="20" customHeight="1">
      <c r="A189" s="7" t="inlineStr">
        <is>
          <t>RSCLER0187</t>
        </is>
      </c>
      <c r="B189" s="8" t="inlineStr">
        <is>
          <t>PORTO ALEGRE</t>
        </is>
      </c>
      <c r="C189" s="7" t="inlineStr">
        <is>
          <t>GUAAA</t>
        </is>
      </c>
      <c r="D189" s="7" t="inlineStr"/>
      <c r="E189" s="7" t="inlineStr"/>
      <c r="F189" s="8" t="inlineStr">
        <is>
          <t>Condomínio Costa Esmeralda</t>
        </is>
      </c>
      <c r="G189" s="8" t="inlineStr">
        <is>
          <t>Rua Jacunda, 183</t>
        </is>
      </c>
      <c r="H189" s="7" t="inlineStr"/>
      <c r="I189" s="8" t="inlineStr">
        <is>
          <t>2 ABERTURA E FECHAMENTO, 1 FUSÃO , 1 CAIXA NOVA , 1 DERIVAÇÃO</t>
        </is>
      </c>
      <c r="J189" s="8" t="inlineStr"/>
      <c r="K189" s="8" t="inlineStr">
        <is>
          <t>ALEXANDRE/ MARCOS EMILIANO</t>
        </is>
      </c>
      <c r="L189" s="9" t="n">
        <v>45274</v>
      </c>
      <c r="M189" s="7" t="inlineStr"/>
      <c r="N189" s="9" t="n">
        <v>45275</v>
      </c>
      <c r="O189" s="9" t="n">
        <v>45275</v>
      </c>
      <c r="P189" s="7" t="inlineStr">
        <is>
          <t>NÃO PRECISA</t>
        </is>
      </c>
      <c r="Q189" s="9" t="n">
        <v>45300</v>
      </c>
      <c r="R189" s="7" t="inlineStr">
        <is>
          <t>Concluído Campo</t>
        </is>
      </c>
      <c r="S189" s="7" t="inlineStr"/>
      <c r="T189" s="10" t="inlineStr"/>
      <c r="U189" s="7" t="inlineStr"/>
      <c r="V189" s="7" t="inlineStr"/>
      <c r="W189" s="7" t="inlineStr"/>
      <c r="X189" s="7" t="inlineStr">
        <is>
          <t>AG. MEDIÇÃO</t>
        </is>
      </c>
      <c r="Y189" s="11">
        <f>IF(AND(L189&lt;&gt;"", S189&lt;&gt;""), S189-L189, IF(L189&lt;&gt;"", TODAY()-L189, ""))</f>
        <v/>
      </c>
      <c r="Z189" s="7">
        <f>IF(Y189="", "", IF(Y189&lt;=3, "NO PRAZO", "ATRASADO"))</f>
        <v/>
      </c>
      <c r="AA189" s="8" t="inlineStr">
        <is>
          <t>100% - OK</t>
        </is>
      </c>
    </row>
    <row r="190" ht="20" customHeight="1">
      <c r="A190" s="7" t="inlineStr">
        <is>
          <t>RSCLER0188</t>
        </is>
      </c>
      <c r="B190" s="8" t="inlineStr">
        <is>
          <t>PORTO ALEGRE</t>
        </is>
      </c>
      <c r="C190" s="7" t="inlineStr">
        <is>
          <t>RBRAA</t>
        </is>
      </c>
      <c r="D190" s="7" t="inlineStr"/>
      <c r="E190" s="7" t="inlineStr"/>
      <c r="F190" s="8" t="inlineStr">
        <is>
          <t>UNIK STUDIOS</t>
        </is>
      </c>
      <c r="G190" s="8" t="inlineStr">
        <is>
          <t>Av Protásio Alves, 1291</t>
        </is>
      </c>
      <c r="H190" s="7" t="inlineStr"/>
      <c r="I190" s="8" t="inlineStr">
        <is>
          <t>2 ABERTURA E FECHAMENTO, 4 FUSÕES,</t>
        </is>
      </c>
      <c r="J190" s="8" t="inlineStr"/>
      <c r="K190" s="8" t="inlineStr">
        <is>
          <t>ALEXANDRE/ MARCOS EMILIANO</t>
        </is>
      </c>
      <c r="L190" s="9" t="n">
        <v>45274</v>
      </c>
      <c r="M190" s="7" t="inlineStr"/>
      <c r="N190" s="9" t="n">
        <v>45274</v>
      </c>
      <c r="O190" s="9" t="n">
        <v>45274</v>
      </c>
      <c r="P190" s="7" t="inlineStr">
        <is>
          <t>NÃO PRECISA</t>
        </is>
      </c>
      <c r="Q190" s="9" t="n">
        <v>45300</v>
      </c>
      <c r="R190" s="7" t="inlineStr">
        <is>
          <t>Concluído Campo</t>
        </is>
      </c>
      <c r="S190" s="7" t="inlineStr"/>
      <c r="T190" s="10" t="inlineStr"/>
      <c r="U190" s="7" t="inlineStr"/>
      <c r="V190" s="7" t="inlineStr"/>
      <c r="W190" s="7" t="inlineStr"/>
      <c r="X190" s="7" t="inlineStr">
        <is>
          <t>AG. MEDIÇÃO</t>
        </is>
      </c>
      <c r="Y190" s="11">
        <f>IF(AND(L190&lt;&gt;"", S190&lt;&gt;""), S190-L190, IF(L190&lt;&gt;"", TODAY()-L190, ""))</f>
        <v/>
      </c>
      <c r="Z190" s="7">
        <f>IF(Y190="", "", IF(Y190&lt;=3, "NO PRAZO", "ATRASADO"))</f>
        <v/>
      </c>
      <c r="AA190" s="8" t="inlineStr">
        <is>
          <t>100% - OK</t>
        </is>
      </c>
    </row>
    <row r="191" ht="20" customHeight="1">
      <c r="A191" s="7" t="inlineStr">
        <is>
          <t>RSCLER0189</t>
        </is>
      </c>
      <c r="B191" s="8" t="inlineStr">
        <is>
          <t>PORTO ALEGRE</t>
        </is>
      </c>
      <c r="C191" s="7" t="inlineStr">
        <is>
          <t>BFMAA</t>
        </is>
      </c>
      <c r="D191" s="7" t="inlineStr"/>
      <c r="E191" s="7" t="inlineStr"/>
      <c r="F191" s="8" t="inlineStr">
        <is>
          <t>Cond Due Fratelli</t>
        </is>
      </c>
      <c r="G191" s="8" t="inlineStr">
        <is>
          <t>Rua General João Telles, 393</t>
        </is>
      </c>
      <c r="H191" s="7" t="inlineStr"/>
      <c r="I191" s="8" t="inlineStr">
        <is>
          <t>FOI LANÇADO 260 METROS DE CABO DE 12FO  ,  2 ABERTURA E FECHAMENTO, 1 CX NOVA, 1 DERIVAÇÃO, 1 TESTE , 3 FUSÃO</t>
        </is>
      </c>
      <c r="J191" s="8" t="inlineStr">
        <is>
          <t>THIAGO</t>
        </is>
      </c>
      <c r="K191" s="8" t="inlineStr">
        <is>
          <t>RODRIGO RODRIGUES</t>
        </is>
      </c>
      <c r="L191" s="9" t="n">
        <v>45279</v>
      </c>
      <c r="M191" s="9" t="n">
        <v>45280</v>
      </c>
      <c r="N191" s="9" t="n">
        <v>45280</v>
      </c>
      <c r="O191" s="9" t="n">
        <v>45280</v>
      </c>
      <c r="P191" s="7" t="inlineStr">
        <is>
          <t>NÃO PRECISA</t>
        </is>
      </c>
      <c r="Q191" s="9" t="n">
        <v>45300</v>
      </c>
      <c r="R191" s="7" t="inlineStr">
        <is>
          <t>Concluído Campo</t>
        </is>
      </c>
      <c r="S191" s="7" t="inlineStr"/>
      <c r="T191" s="10" t="inlineStr"/>
      <c r="U191" s="7" t="inlineStr"/>
      <c r="V191" s="7" t="inlineStr"/>
      <c r="W191" s="7" t="inlineStr"/>
      <c r="X191" s="7" t="inlineStr">
        <is>
          <t>AG. MEDIÇÃO</t>
        </is>
      </c>
      <c r="Y191" s="11">
        <f>IF(AND(L191&lt;&gt;"", S191&lt;&gt;""), S191-L191, IF(L191&lt;&gt;"", TODAY()-L191, ""))</f>
        <v/>
      </c>
      <c r="Z191" s="7">
        <f>IF(Y191="", "", IF(Y191&lt;=3, "NO PRAZO", "ATRASADO"))</f>
        <v/>
      </c>
      <c r="AA191" s="8" t="inlineStr">
        <is>
          <t>100% - OK</t>
        </is>
      </c>
    </row>
    <row r="192" ht="20" customHeight="1">
      <c r="A192" s="7" t="inlineStr">
        <is>
          <t>RSCLER0190</t>
        </is>
      </c>
      <c r="B192" s="8" t="inlineStr">
        <is>
          <t>PORTO ALEGRE</t>
        </is>
      </c>
      <c r="C192" s="7" t="inlineStr">
        <is>
          <t>PETAA</t>
        </is>
      </c>
      <c r="D192" s="7" t="inlineStr"/>
      <c r="E192" s="7" t="inlineStr"/>
      <c r="F192" s="8" t="inlineStr">
        <is>
          <t>Residencial Giotto</t>
        </is>
      </c>
      <c r="G192" s="8" t="inlineStr">
        <is>
          <t>R Santos Netto 98</t>
        </is>
      </c>
      <c r="H192" s="7" t="inlineStr"/>
      <c r="I192" s="8" t="inlineStr">
        <is>
          <t>2 ABERUTA E FECHAMENTO, 9 FUSÃO, 3 TESTE</t>
        </is>
      </c>
      <c r="J192" s="8" t="inlineStr"/>
      <c r="K192" s="8" t="inlineStr">
        <is>
          <t>LUCAS HOBERT</t>
        </is>
      </c>
      <c r="L192" s="9" t="n">
        <v>45282</v>
      </c>
      <c r="M192" s="7" t="inlineStr"/>
      <c r="N192" s="9" t="n">
        <v>45283</v>
      </c>
      <c r="O192" s="9" t="n">
        <v>45285</v>
      </c>
      <c r="P192" s="7" t="inlineStr">
        <is>
          <t>NÃO PRECISA</t>
        </is>
      </c>
      <c r="Q192" s="9" t="n">
        <v>45300</v>
      </c>
      <c r="R192" s="7" t="inlineStr">
        <is>
          <t>Concluído Campo</t>
        </is>
      </c>
      <c r="S192" s="7" t="inlineStr"/>
      <c r="T192" s="10" t="inlineStr"/>
      <c r="U192" s="7" t="inlineStr"/>
      <c r="V192" s="7" t="inlineStr"/>
      <c r="W192" s="7" t="inlineStr"/>
      <c r="X192" s="7" t="inlineStr">
        <is>
          <t>AG. MEDIÇÃO</t>
        </is>
      </c>
      <c r="Y192" s="11">
        <f>IF(AND(L192&lt;&gt;"", S192&lt;&gt;""), S192-L192, IF(L192&lt;&gt;"", TODAY()-L192, ""))</f>
        <v/>
      </c>
      <c r="Z192" s="7">
        <f>IF(Y192="", "", IF(Y192&lt;=3, "NO PRAZO", "ATRASADO"))</f>
        <v/>
      </c>
      <c r="AA192" s="8" t="inlineStr">
        <is>
          <t>100% - OK</t>
        </is>
      </c>
    </row>
    <row r="193" ht="20" customHeight="1">
      <c r="A193" s="7" t="inlineStr">
        <is>
          <t>RSCLER0191</t>
        </is>
      </c>
      <c r="B193" s="8" t="inlineStr">
        <is>
          <t>PORTO ALEGRE</t>
        </is>
      </c>
      <c r="C193" s="7" t="inlineStr">
        <is>
          <t>BVSAB</t>
        </is>
      </c>
      <c r="D193" s="7" t="inlineStr"/>
      <c r="E193" s="7" t="inlineStr"/>
      <c r="F193" s="8" t="inlineStr">
        <is>
          <t>Condomínio Edificio Elias</t>
        </is>
      </c>
      <c r="G193" s="8" t="inlineStr">
        <is>
          <t>Rua São Mateus, 443</t>
        </is>
      </c>
      <c r="H193" s="7" t="inlineStr"/>
      <c r="I193" s="8" t="inlineStr">
        <is>
          <t>2 ABERTURA E FECHAMENTO, 1 FUSÃO, 1 TESTE</t>
        </is>
      </c>
      <c r="J193" s="8" t="inlineStr"/>
      <c r="K193" s="8" t="inlineStr">
        <is>
          <t>LUCAS HOBERT</t>
        </is>
      </c>
      <c r="L193" s="9" t="n">
        <v>45259</v>
      </c>
      <c r="M193" s="7" t="inlineStr"/>
      <c r="N193" s="9" t="n">
        <v>45260</v>
      </c>
      <c r="O193" s="9" t="n">
        <v>45260</v>
      </c>
      <c r="P193" s="7" t="inlineStr">
        <is>
          <t>NÃO PRECISA</t>
        </is>
      </c>
      <c r="Q193" s="9" t="n">
        <v>45273</v>
      </c>
      <c r="R193" s="7" t="inlineStr">
        <is>
          <t>Concluído Campo</t>
        </is>
      </c>
      <c r="S193" s="7" t="inlineStr"/>
      <c r="T193" s="10" t="inlineStr"/>
      <c r="U193" s="7" t="inlineStr"/>
      <c r="V193" s="7" t="inlineStr"/>
      <c r="W193" s="7" t="inlineStr"/>
      <c r="X193" s="7" t="inlineStr">
        <is>
          <t>AG. MEDIÇÃO</t>
        </is>
      </c>
      <c r="Y193" s="11">
        <f>IF(AND(L193&lt;&gt;"", S193&lt;&gt;""), S193-L193, IF(L193&lt;&gt;"", TODAY()-L193, ""))</f>
        <v/>
      </c>
      <c r="Z193" s="7">
        <f>IF(Y193="", "", IF(Y193&lt;=3, "NO PRAZO", "ATRASADO"))</f>
        <v/>
      </c>
      <c r="AA193" s="8" t="inlineStr">
        <is>
          <t>100% - OK</t>
        </is>
      </c>
    </row>
    <row r="194" ht="20" customHeight="1">
      <c r="A194" s="7" t="inlineStr">
        <is>
          <t>RSCLER0192</t>
        </is>
      </c>
      <c r="B194" s="8" t="inlineStr">
        <is>
          <t>PORTO ALEGRE</t>
        </is>
      </c>
      <c r="C194" s="7" t="inlineStr">
        <is>
          <t>TRLAA</t>
        </is>
      </c>
      <c r="D194" s="7" t="inlineStr"/>
      <c r="E194" s="7" t="inlineStr"/>
      <c r="F194" s="8" t="inlineStr">
        <is>
          <t>Cond. Vidaviva Linked</t>
        </is>
      </c>
      <c r="G194" s="8" t="inlineStr">
        <is>
          <t>R Antonio Sereno Moretto 55</t>
        </is>
      </c>
      <c r="H194" s="7" t="inlineStr"/>
      <c r="I194" s="8" t="inlineStr">
        <is>
          <t>310 METROS DE CABO 12FO, 70 METROS DE CORDOALHA, FAZER AS BUILTS, 1 ABERTURA E FECHAMENTO, 6 FUSÃO, 1 CX NOVA, 1 DERIVAÇÃO, 3 TESTE</t>
        </is>
      </c>
      <c r="J194" s="8" t="inlineStr">
        <is>
          <t>MAICON</t>
        </is>
      </c>
      <c r="K194" s="8" t="inlineStr">
        <is>
          <t>LUCAS HOBERT</t>
        </is>
      </c>
      <c r="L194" s="9" t="n">
        <v>45254</v>
      </c>
      <c r="M194" s="9" t="n">
        <v>45260</v>
      </c>
      <c r="N194" s="9" t="n">
        <v>45262</v>
      </c>
      <c r="O194" s="9" t="n">
        <v>45267</v>
      </c>
      <c r="P194" s="7" t="inlineStr">
        <is>
          <t>NÃO PRECISA</t>
        </is>
      </c>
      <c r="Q194" s="9" t="n">
        <v>45273</v>
      </c>
      <c r="R194" s="7" t="inlineStr">
        <is>
          <t>Concluído Campo</t>
        </is>
      </c>
      <c r="S194" s="7" t="inlineStr"/>
      <c r="T194" s="10" t="inlineStr"/>
      <c r="U194" s="7" t="inlineStr"/>
      <c r="V194" s="7" t="inlineStr"/>
      <c r="W194" s="7" t="inlineStr"/>
      <c r="X194" s="7" t="inlineStr">
        <is>
          <t>AG. MEDIÇÃO</t>
        </is>
      </c>
      <c r="Y194" s="11">
        <f>IF(AND(L194&lt;&gt;"", S194&lt;&gt;""), S194-L194, IF(L194&lt;&gt;"", TODAY()-L194, ""))</f>
        <v/>
      </c>
      <c r="Z194" s="7">
        <f>IF(Y194="", "", IF(Y194&lt;=3, "NO PRAZO", "ATRASADO"))</f>
        <v/>
      </c>
      <c r="AA194" s="8" t="inlineStr">
        <is>
          <t>100% - OK</t>
        </is>
      </c>
    </row>
    <row r="195" ht="20" customHeight="1">
      <c r="A195" s="7" t="inlineStr">
        <is>
          <t>RSCLER0193</t>
        </is>
      </c>
      <c r="B195" s="8" t="inlineStr">
        <is>
          <t>PORTO ALEGRE</t>
        </is>
      </c>
      <c r="C195" s="7" t="inlineStr">
        <is>
          <t>MTSAA</t>
        </is>
      </c>
      <c r="D195" s="7" t="inlineStr"/>
      <c r="E195" s="7" t="inlineStr"/>
      <c r="F195" s="8" t="inlineStr">
        <is>
          <t>RESID. VARANDA</t>
        </is>
      </c>
      <c r="G195" s="8" t="inlineStr">
        <is>
          <t>R JOÃO OBINO 285</t>
        </is>
      </c>
      <c r="H195" s="7" t="inlineStr"/>
      <c r="I195" s="8" t="inlineStr">
        <is>
          <t>4 ABERTURA E FECHAMENTO, 12 FUSÃO, 4 TESTE. OBS: ESTE MDU FOI CANCELADO, POIS SERIA FEITA MUITA ABERTURA E FECHAMENTO, FOI ABORDADO EM CAIXA NET, PELA PROPRIA NET.</t>
        </is>
      </c>
      <c r="J195" s="8" t="inlineStr"/>
      <c r="K195" s="8" t="inlineStr">
        <is>
          <t>LUCAS HOBERT</t>
        </is>
      </c>
      <c r="L195" s="9" t="n">
        <v>45217</v>
      </c>
      <c r="M195" s="7" t="inlineStr"/>
      <c r="N195" s="7" t="inlineStr"/>
      <c r="O195" s="7" t="inlineStr"/>
      <c r="P195" s="7" t="inlineStr">
        <is>
          <t>NÃO PRECISA</t>
        </is>
      </c>
      <c r="Q195" s="9" t="n">
        <v>45273</v>
      </c>
      <c r="R195" s="7" t="inlineStr">
        <is>
          <t>Concluído Campo</t>
        </is>
      </c>
      <c r="S195" s="9" t="n">
        <v>45562</v>
      </c>
      <c r="T195" s="10" t="inlineStr"/>
      <c r="U195" s="7" t="inlineStr">
        <is>
          <t>4307235</t>
        </is>
      </c>
      <c r="V195" s="7" t="inlineStr">
        <is>
          <t>FINALIZADO</t>
        </is>
      </c>
      <c r="W195" s="7" t="inlineStr"/>
      <c r="X195" s="7" t="inlineStr">
        <is>
          <t>MEDIÇÃO CONCLUÍDA</t>
        </is>
      </c>
      <c r="Y195" s="11">
        <f>IF(AND(L195&lt;&gt;"", S195&lt;&gt;""), S195-L195, IF(L195&lt;&gt;"", TODAY()-L195, ""))</f>
        <v/>
      </c>
      <c r="Z195" s="7">
        <f>IF(Y195="", "", IF(Y195&lt;=3, "NO PRAZO", "ATRASADO"))</f>
        <v/>
      </c>
      <c r="AA195" s="8" t="inlineStr">
        <is>
          <t>100% - OK</t>
        </is>
      </c>
    </row>
    <row r="196" ht="20" customHeight="1">
      <c r="A196" s="7" t="inlineStr">
        <is>
          <t>RSCLER0194</t>
        </is>
      </c>
      <c r="B196" s="8" t="inlineStr">
        <is>
          <t>PORTO ALEGRE</t>
        </is>
      </c>
      <c r="C196" s="7" t="inlineStr">
        <is>
          <t>HPCAA</t>
        </is>
      </c>
      <c r="D196" s="7" t="inlineStr">
        <is>
          <t>HPCAB</t>
        </is>
      </c>
      <c r="E196" s="7" t="inlineStr">
        <is>
          <t>RSPSU90</t>
        </is>
      </c>
      <c r="F196" s="8" t="inlineStr">
        <is>
          <t>Condomínio Ipanema Mountain Ville</t>
        </is>
      </c>
      <c r="G196" s="8" t="inlineStr">
        <is>
          <t>Av. Edgar Píres de Castro, 540</t>
        </is>
      </c>
      <c r="H196" s="7" t="inlineStr">
        <is>
          <t>HPCAA.054</t>
        </is>
      </c>
      <c r="I196" s="8" t="inlineStr">
        <is>
          <t>FOI LANÇADO 1615 METROS DE CABO DE 24FO, E 650 METROS DE CABO DE 12FO,  2 ABERTURA E FECHAMENTO, 1 CX NOVA, 8 NAP NOVA, 35 FUSÃO, 30 TESTES, 1 DERIVAÇÃO</t>
        </is>
      </c>
      <c r="J196" s="8" t="inlineStr">
        <is>
          <t>TIAGO FERREIRA</t>
        </is>
      </c>
      <c r="K196" s="8" t="inlineStr">
        <is>
          <t>ANDERSON</t>
        </is>
      </c>
      <c r="L196" s="9" t="n">
        <v>45546</v>
      </c>
      <c r="M196" s="9" t="n">
        <v>45547</v>
      </c>
      <c r="N196" s="9" t="n">
        <v>45550</v>
      </c>
      <c r="O196" s="9" t="n">
        <v>45562</v>
      </c>
      <c r="P196" s="7" t="inlineStr">
        <is>
          <t>NÃO PRECISA</t>
        </is>
      </c>
      <c r="Q196" s="9" t="n">
        <v>45575</v>
      </c>
      <c r="R196" s="7" t="inlineStr">
        <is>
          <t>Concluído Campo</t>
        </is>
      </c>
      <c r="S196" s="7" t="inlineStr"/>
      <c r="T196" s="10" t="inlineStr"/>
      <c r="U196" s="7" t="inlineStr"/>
      <c r="V196" s="7" t="inlineStr"/>
      <c r="W196" s="7" t="inlineStr"/>
      <c r="X196" s="7" t="inlineStr">
        <is>
          <t>AG. MEDIÇÃO</t>
        </is>
      </c>
      <c r="Y196" s="11">
        <f>IF(AND(L196&lt;&gt;"", S196&lt;&gt;""), S196-L196, IF(L196&lt;&gt;"", TODAY()-L196, ""))</f>
        <v/>
      </c>
      <c r="Z196" s="7">
        <f>IF(Y196="", "", IF(Y196&lt;=3, "NO PRAZO", "ATRASADO"))</f>
        <v/>
      </c>
      <c r="AA196" s="8" t="inlineStr">
        <is>
          <t>100% - OK</t>
        </is>
      </c>
    </row>
    <row r="197" ht="20" customHeight="1">
      <c r="A197" s="7" t="inlineStr">
        <is>
          <t>RSCLER0195</t>
        </is>
      </c>
      <c r="B197" s="8" t="inlineStr">
        <is>
          <t>PORTO ALEGRE</t>
        </is>
      </c>
      <c r="C197" s="7" t="inlineStr">
        <is>
          <t>TRZAA</t>
        </is>
      </c>
      <c r="D197" s="7" t="inlineStr"/>
      <c r="E197" s="7" t="inlineStr"/>
      <c r="F197" s="8" t="inlineStr">
        <is>
          <t>Res. San Vicente</t>
        </is>
      </c>
      <c r="G197" s="8" t="inlineStr">
        <is>
          <t>Av Otto Niemeyer 1025</t>
        </is>
      </c>
      <c r="H197" s="7" t="inlineStr"/>
      <c r="I197" s="8" t="inlineStr">
        <is>
          <t>2 ABERTURA E FECHAMENTO, 2 FUSÃO, 1 TESTE</t>
        </is>
      </c>
      <c r="J197" s="8" t="inlineStr"/>
      <c r="K197" s="8" t="inlineStr">
        <is>
          <t>LUCAS HOBERT</t>
        </is>
      </c>
      <c r="L197" s="9" t="n">
        <v>45287</v>
      </c>
      <c r="M197" s="7" t="inlineStr"/>
      <c r="N197" s="9" t="n">
        <v>45293</v>
      </c>
      <c r="O197" s="9" t="n">
        <v>45295</v>
      </c>
      <c r="P197" s="7" t="inlineStr">
        <is>
          <t>NÃO PRECISA</t>
        </is>
      </c>
      <c r="Q197" s="9" t="n">
        <v>45300</v>
      </c>
      <c r="R197" s="7" t="inlineStr">
        <is>
          <t>Concluído Campo</t>
        </is>
      </c>
      <c r="S197" s="7" t="inlineStr"/>
      <c r="T197" s="10" t="inlineStr"/>
      <c r="U197" s="7" t="inlineStr"/>
      <c r="V197" s="7" t="inlineStr"/>
      <c r="W197" s="7" t="inlineStr"/>
      <c r="X197" s="7" t="inlineStr">
        <is>
          <t>AG. MEDIÇÃO</t>
        </is>
      </c>
      <c r="Y197" s="11">
        <f>IF(AND(L197&lt;&gt;"", S197&lt;&gt;""), S197-L197, IF(L197&lt;&gt;"", TODAY()-L197, ""))</f>
        <v/>
      </c>
      <c r="Z197" s="7">
        <f>IF(Y197="", "", IF(Y197&lt;=3, "NO PRAZO", "ATRASADO"))</f>
        <v/>
      </c>
      <c r="AA197" s="8" t="inlineStr">
        <is>
          <t>100% - OK</t>
        </is>
      </c>
    </row>
    <row r="198" ht="20" customHeight="1">
      <c r="A198" s="7" t="inlineStr">
        <is>
          <t>RSCLER0196</t>
        </is>
      </c>
      <c r="B198" s="8" t="inlineStr">
        <is>
          <t>ESTEIO</t>
        </is>
      </c>
      <c r="C198" s="7" t="inlineStr">
        <is>
          <t>CNTAB</t>
        </is>
      </c>
      <c r="D198" s="7" t="inlineStr"/>
      <c r="E198" s="7" t="inlineStr"/>
      <c r="F198" s="8" t="inlineStr">
        <is>
          <t>Cond. Villa Bella</t>
        </is>
      </c>
      <c r="G198" s="8" t="inlineStr">
        <is>
          <t>Rua Soledade 126</t>
        </is>
      </c>
      <c r="H198" s="7" t="inlineStr"/>
      <c r="I198" s="8" t="inlineStr">
        <is>
          <t>1 ABERTURA E FECHAMENTO, 4 FUSÃO, 1 CX NOVA, 2 TESTE</t>
        </is>
      </c>
      <c r="J198" s="8" t="inlineStr"/>
      <c r="K198" s="8" t="inlineStr">
        <is>
          <t>MARCOS EMILIANO</t>
        </is>
      </c>
      <c r="L198" s="9" t="n">
        <v>45288</v>
      </c>
      <c r="M198" s="7" t="inlineStr"/>
      <c r="N198" s="9" t="n">
        <v>45296</v>
      </c>
      <c r="O198" s="9" t="n">
        <v>45296</v>
      </c>
      <c r="P198" s="7" t="inlineStr">
        <is>
          <t>NÃO PRECISA</t>
        </is>
      </c>
      <c r="Q198" s="9" t="n">
        <v>45300</v>
      </c>
      <c r="R198" s="7" t="inlineStr">
        <is>
          <t>Concluído Campo</t>
        </is>
      </c>
      <c r="S198" s="7" t="inlineStr"/>
      <c r="T198" s="10" t="inlineStr"/>
      <c r="U198" s="7" t="inlineStr"/>
      <c r="V198" s="7" t="inlineStr"/>
      <c r="W198" s="7" t="inlineStr"/>
      <c r="X198" s="7" t="inlineStr">
        <is>
          <t>AG. MEDIÇÃO</t>
        </is>
      </c>
      <c r="Y198" s="11">
        <f>IF(AND(L198&lt;&gt;"", S198&lt;&gt;""), S198-L198, IF(L198&lt;&gt;"", TODAY()-L198, ""))</f>
        <v/>
      </c>
      <c r="Z198" s="7">
        <f>IF(Y198="", "", IF(Y198&lt;=3, "NO PRAZO", "ATRASADO"))</f>
        <v/>
      </c>
      <c r="AA198" s="8" t="inlineStr">
        <is>
          <t>100% - OK</t>
        </is>
      </c>
    </row>
    <row r="199" ht="20" customHeight="1">
      <c r="A199" s="7" t="inlineStr">
        <is>
          <t>RSCLER0197</t>
        </is>
      </c>
      <c r="B199" s="8" t="inlineStr">
        <is>
          <t>PORTO ALEGRE</t>
        </is>
      </c>
      <c r="C199" s="7" t="inlineStr">
        <is>
          <t>VIPAA</t>
        </is>
      </c>
      <c r="D199" s="7" t="inlineStr"/>
      <c r="E199" s="7" t="inlineStr"/>
      <c r="F199" s="8" t="inlineStr">
        <is>
          <t>Prime Wallig</t>
        </is>
      </c>
      <c r="G199" s="8" t="inlineStr">
        <is>
          <t>Av Francisco Trein, 116</t>
        </is>
      </c>
      <c r="H199" s="7" t="inlineStr"/>
      <c r="I199" s="8" t="inlineStr">
        <is>
          <t>2 ABERTURA E FECHAMENTO, 4 FUSÃO, 2 TESTE</t>
        </is>
      </c>
      <c r="J199" s="8" t="inlineStr"/>
      <c r="K199" s="8" t="inlineStr">
        <is>
          <t>LUCAS HOBERT</t>
        </is>
      </c>
      <c r="L199" s="9" t="n">
        <v>45288</v>
      </c>
      <c r="M199" s="7" t="inlineStr"/>
      <c r="N199" s="9" t="n">
        <v>45288</v>
      </c>
      <c r="O199" s="9" t="n">
        <v>45289</v>
      </c>
      <c r="P199" s="7" t="inlineStr">
        <is>
          <t>NÃO PRECISA</t>
        </is>
      </c>
      <c r="Q199" s="9" t="n">
        <v>45300</v>
      </c>
      <c r="R199" s="7" t="inlineStr">
        <is>
          <t>Concluído Campo</t>
        </is>
      </c>
      <c r="S199" s="7" t="inlineStr"/>
      <c r="T199" s="10" t="inlineStr"/>
      <c r="U199" s="7" t="inlineStr"/>
      <c r="V199" s="7" t="inlineStr"/>
      <c r="W199" s="7" t="inlineStr"/>
      <c r="X199" s="7" t="inlineStr">
        <is>
          <t>AG. MEDIÇÃO</t>
        </is>
      </c>
      <c r="Y199" s="11">
        <f>IF(AND(L199&lt;&gt;"", S199&lt;&gt;""), S199-L199, IF(L199&lt;&gt;"", TODAY()-L199, ""))</f>
        <v/>
      </c>
      <c r="Z199" s="7">
        <f>IF(Y199="", "", IF(Y199&lt;=3, "NO PRAZO", "ATRASADO"))</f>
        <v/>
      </c>
      <c r="AA199" s="8" t="inlineStr">
        <is>
          <t>100% - OK</t>
        </is>
      </c>
    </row>
    <row r="200" ht="20" customHeight="1">
      <c r="A200" s="7" t="inlineStr">
        <is>
          <t>RSCLER0198</t>
        </is>
      </c>
      <c r="B200" s="8" t="inlineStr">
        <is>
          <t>PORTO ALEGRE</t>
        </is>
      </c>
      <c r="C200" s="7" t="inlineStr">
        <is>
          <t>JITAB</t>
        </is>
      </c>
      <c r="D200" s="7" t="inlineStr"/>
      <c r="E200" s="7" t="inlineStr"/>
      <c r="F200" s="8" t="inlineStr">
        <is>
          <t>PLANALTO GARDEMNS</t>
        </is>
      </c>
      <c r="G200" s="8" t="inlineStr">
        <is>
          <t>RUA WALIR ZOTTIS 625</t>
        </is>
      </c>
      <c r="H200" s="7" t="inlineStr"/>
      <c r="I200" s="8" t="inlineStr">
        <is>
          <t>3 ABERTURA E FECHAMENTO, 1 DERIVAÇÃO, 6 FUSÃO, 1 CX NOVA, 3 TESTE</t>
        </is>
      </c>
      <c r="J200" s="8" t="inlineStr"/>
      <c r="K200" s="8" t="inlineStr">
        <is>
          <t>MARCOS EMILIANO</t>
        </is>
      </c>
      <c r="L200" s="9" t="n">
        <v>45288</v>
      </c>
      <c r="M200" s="7" t="inlineStr"/>
      <c r="N200" s="9" t="n">
        <v>45290</v>
      </c>
      <c r="O200" s="9" t="n">
        <v>45290</v>
      </c>
      <c r="P200" s="7" t="inlineStr">
        <is>
          <t>NÃO PRECISA</t>
        </is>
      </c>
      <c r="Q200" s="9" t="n">
        <v>45300</v>
      </c>
      <c r="R200" s="7" t="inlineStr">
        <is>
          <t>Concluído Campo</t>
        </is>
      </c>
      <c r="S200" s="7" t="inlineStr"/>
      <c r="T200" s="10" t="inlineStr"/>
      <c r="U200" s="7" t="inlineStr"/>
      <c r="V200" s="7" t="inlineStr"/>
      <c r="W200" s="7" t="inlineStr"/>
      <c r="X200" s="7" t="inlineStr">
        <is>
          <t>AG. MEDIÇÃO</t>
        </is>
      </c>
      <c r="Y200" s="11">
        <f>IF(AND(L200&lt;&gt;"", S200&lt;&gt;""), S200-L200, IF(L200&lt;&gt;"", TODAY()-L200, ""))</f>
        <v/>
      </c>
      <c r="Z200" s="7">
        <f>IF(Y200="", "", IF(Y200&lt;=3, "NO PRAZO", "ATRASADO"))</f>
        <v/>
      </c>
      <c r="AA200" s="8" t="inlineStr">
        <is>
          <t>100% - OK</t>
        </is>
      </c>
    </row>
    <row r="201" ht="20" customHeight="1">
      <c r="A201" s="7" t="inlineStr">
        <is>
          <t>RSCLER0199</t>
        </is>
      </c>
      <c r="B201" s="8" t="inlineStr">
        <is>
          <t>PORTO ALEGRE</t>
        </is>
      </c>
      <c r="C201" s="7" t="inlineStr">
        <is>
          <t>CMQAA</t>
        </is>
      </c>
      <c r="D201" s="7" t="inlineStr"/>
      <c r="E201" s="7" t="inlineStr"/>
      <c r="F201" s="8" t="inlineStr">
        <is>
          <t>Oxy Home Resort</t>
        </is>
      </c>
      <c r="G201" s="8" t="inlineStr">
        <is>
          <t>R Silvio Silveira Soares 2589</t>
        </is>
      </c>
      <c r="H201" s="7" t="inlineStr"/>
      <c r="I201" s="8" t="inlineStr">
        <is>
          <t>FOI LANÇADO 270 METROS DE CABO DE 12FO, 8 ABERTURA E FECHAMENTO, 8 FUSÃO , 1 CX NOVA, 1 DERIVAÇÃO, 1 TESTE</t>
        </is>
      </c>
      <c r="J201" s="8" t="inlineStr">
        <is>
          <t>THIAGO</t>
        </is>
      </c>
      <c r="K201" s="8" t="inlineStr">
        <is>
          <t>MARCOS EMILIANO / LUCAS HOBERT</t>
        </is>
      </c>
      <c r="L201" s="9" t="n">
        <v>45288</v>
      </c>
      <c r="M201" s="9" t="n">
        <v>45293</v>
      </c>
      <c r="N201" s="9" t="n">
        <v>45300</v>
      </c>
      <c r="O201" s="9" t="n">
        <v>45300</v>
      </c>
      <c r="P201" s="7" t="inlineStr">
        <is>
          <t>NÃO PRECISA</t>
        </is>
      </c>
      <c r="Q201" s="9" t="n">
        <v>45345</v>
      </c>
      <c r="R201" s="7" t="inlineStr">
        <is>
          <t>Concluído Campo</t>
        </is>
      </c>
      <c r="S201" s="7" t="inlineStr"/>
      <c r="T201" s="10" t="inlineStr"/>
      <c r="U201" s="7" t="inlineStr"/>
      <c r="V201" s="7" t="inlineStr"/>
      <c r="W201" s="7" t="inlineStr"/>
      <c r="X201" s="7" t="inlineStr">
        <is>
          <t>AG. MEDIÇÃO</t>
        </is>
      </c>
      <c r="Y201" s="11">
        <f>IF(AND(L201&lt;&gt;"", S201&lt;&gt;""), S201-L201, IF(L201&lt;&gt;"", TODAY()-L201, ""))</f>
        <v/>
      </c>
      <c r="Z201" s="7">
        <f>IF(Y201="", "", IF(Y201&lt;=3, "NO PRAZO", "ATRASADO"))</f>
        <v/>
      </c>
      <c r="AA201" s="8" t="inlineStr">
        <is>
          <t>100% - OK</t>
        </is>
      </c>
    </row>
    <row r="202" ht="20" customHeight="1">
      <c r="A202" s="7" t="inlineStr">
        <is>
          <t>RSCLER0200</t>
        </is>
      </c>
      <c r="B202" s="8" t="inlineStr">
        <is>
          <t>PORTO ALEGRE</t>
        </is>
      </c>
      <c r="C202" s="7" t="inlineStr">
        <is>
          <t>SSOAA</t>
        </is>
      </c>
      <c r="D202" s="7" t="inlineStr"/>
      <c r="E202" s="7" t="inlineStr"/>
      <c r="F202" s="8" t="inlineStr">
        <is>
          <t>NODE SSOAC</t>
        </is>
      </c>
      <c r="G202" s="8" t="inlineStr">
        <is>
          <t>AV PASTOR ERNESTO SCHLIEPER 45</t>
        </is>
      </c>
      <c r="H202" s="7" t="inlineStr"/>
      <c r="I202" s="8" t="inlineStr">
        <is>
          <t>3 ABERTURA E FECHAMENTO, 1 DERIVAÇÃO, 26 FUSÃO, 1 CX NOVA, 2 TESTE</t>
        </is>
      </c>
      <c r="J202" s="8" t="inlineStr"/>
      <c r="K202" s="8" t="inlineStr">
        <is>
          <t>MARCOS EMILIANO</t>
        </is>
      </c>
      <c r="L202" s="9" t="n">
        <v>44923</v>
      </c>
      <c r="M202" s="7" t="inlineStr"/>
      <c r="N202" s="9" t="n">
        <v>45289</v>
      </c>
      <c r="O202" s="9" t="n">
        <v>44930</v>
      </c>
      <c r="P202" s="7" t="inlineStr">
        <is>
          <t>NÃO PRECISA</t>
        </is>
      </c>
      <c r="Q202" s="9" t="n">
        <v>45300</v>
      </c>
      <c r="R202" s="7" t="inlineStr">
        <is>
          <t>Concluído Campo</t>
        </is>
      </c>
      <c r="S202" s="9" t="n">
        <v>45313</v>
      </c>
      <c r="T202" s="10" t="inlineStr"/>
      <c r="U202" s="7" t="inlineStr">
        <is>
          <t>3881840</t>
        </is>
      </c>
      <c r="V202" s="7" t="inlineStr">
        <is>
          <t>EXECUTADO</t>
        </is>
      </c>
      <c r="W202" s="7" t="inlineStr"/>
      <c r="X202" s="7" t="inlineStr">
        <is>
          <t>MEDIÇÃO CONCLUÍDA</t>
        </is>
      </c>
      <c r="Y202" s="11">
        <f>IF(AND(L202&lt;&gt;"", S202&lt;&gt;""), S202-L202, IF(L202&lt;&gt;"", TODAY()-L202, ""))</f>
        <v/>
      </c>
      <c r="Z202" s="7">
        <f>IF(Y202="", "", IF(Y202&lt;=3, "NO PRAZO", "ATRASADO"))</f>
        <v/>
      </c>
      <c r="AA202" s="8" t="inlineStr">
        <is>
          <t>100% - OK</t>
        </is>
      </c>
    </row>
    <row r="203" ht="20" customHeight="1">
      <c r="A203" s="7" t="inlineStr">
        <is>
          <t>RSCLER0201</t>
        </is>
      </c>
      <c r="B203" s="8" t="inlineStr">
        <is>
          <t>PORTO ALEGRE</t>
        </is>
      </c>
      <c r="C203" s="7" t="inlineStr">
        <is>
          <t>TRZAA</t>
        </is>
      </c>
      <c r="D203" s="7" t="inlineStr"/>
      <c r="E203" s="7" t="inlineStr"/>
      <c r="F203" s="8" t="inlineStr">
        <is>
          <t>Galeria Luiz Henrique</t>
        </is>
      </c>
      <c r="G203" s="8" t="inlineStr">
        <is>
          <t>R Mario Totta 648</t>
        </is>
      </c>
      <c r="H203" s="7" t="inlineStr"/>
      <c r="I203" s="8" t="inlineStr">
        <is>
          <t>2 ABERTURA E FECHAMENTO, 6 FUSÃO, 4 TESTE</t>
        </is>
      </c>
      <c r="J203" s="8" t="inlineStr"/>
      <c r="K203" s="8" t="inlineStr">
        <is>
          <t>LUCAS HOBERT</t>
        </is>
      </c>
      <c r="L203" s="9" t="n">
        <v>45293</v>
      </c>
      <c r="M203" s="7" t="inlineStr"/>
      <c r="N203" s="9" t="n">
        <v>45293</v>
      </c>
      <c r="O203" s="9" t="n">
        <v>45295</v>
      </c>
      <c r="P203" s="7" t="inlineStr">
        <is>
          <t>NÃO PRECISA</t>
        </is>
      </c>
      <c r="Q203" s="9" t="n">
        <v>45300</v>
      </c>
      <c r="R203" s="7" t="inlineStr">
        <is>
          <t>Concluído Campo</t>
        </is>
      </c>
      <c r="S203" s="9" t="n">
        <v>45338</v>
      </c>
      <c r="T203" s="10" t="inlineStr"/>
      <c r="U203" s="7" t="inlineStr">
        <is>
          <t>3883080</t>
        </is>
      </c>
      <c r="V203" s="7" t="inlineStr">
        <is>
          <t>FINALIZADO</t>
        </is>
      </c>
      <c r="W203" s="7" t="inlineStr"/>
      <c r="X203" s="7" t="inlineStr">
        <is>
          <t>MEDIÇÃO CONCLUÍDA</t>
        </is>
      </c>
      <c r="Y203" s="11">
        <f>IF(AND(L203&lt;&gt;"", S203&lt;&gt;""), S203-L203, IF(L203&lt;&gt;"", TODAY()-L203, ""))</f>
        <v/>
      </c>
      <c r="Z203" s="7">
        <f>IF(Y203="", "", IF(Y203&lt;=3, "NO PRAZO", "ATRASADO"))</f>
        <v/>
      </c>
      <c r="AA203" s="8" t="inlineStr">
        <is>
          <t>100% - OK</t>
        </is>
      </c>
    </row>
    <row r="204" ht="20" customHeight="1">
      <c r="A204" s="7" t="inlineStr">
        <is>
          <t>RSCLER0202</t>
        </is>
      </c>
      <c r="B204" s="8" t="inlineStr">
        <is>
          <t>PORTO ALEGRE</t>
        </is>
      </c>
      <c r="C204" s="7" t="inlineStr">
        <is>
          <t>SSOAA</t>
        </is>
      </c>
      <c r="D204" s="7" t="inlineStr"/>
      <c r="E204" s="7" t="inlineStr"/>
      <c r="F204" s="8" t="inlineStr">
        <is>
          <t>Cond. Fit Jardins</t>
        </is>
      </c>
      <c r="G204" s="8" t="inlineStr">
        <is>
          <t>R. Monsenhor Antonio Guilherme Grings, 51</t>
        </is>
      </c>
      <c r="H204" s="7" t="inlineStr"/>
      <c r="I204" s="8" t="inlineStr">
        <is>
          <t>288 METROS DE CABO 12FO, 5 ABERTURA E FECHAMENTO, 7 FUSÃO, 1 DERIVAÇÃO, 3 TESTE, 1 CX NOVA</t>
        </is>
      </c>
      <c r="J204" s="8" t="inlineStr">
        <is>
          <t>MAICON</t>
        </is>
      </c>
      <c r="K204" s="8" t="inlineStr">
        <is>
          <t>PAULO GOMES</t>
        </is>
      </c>
      <c r="L204" s="9" t="n">
        <v>45296</v>
      </c>
      <c r="M204" s="9" t="n">
        <v>45296</v>
      </c>
      <c r="N204" s="9" t="n">
        <v>45299</v>
      </c>
      <c r="O204" s="9" t="n">
        <v>45302</v>
      </c>
      <c r="P204" s="7" t="inlineStr">
        <is>
          <t>NÃO PRECISA</t>
        </is>
      </c>
      <c r="Q204" s="9" t="n">
        <v>45345</v>
      </c>
      <c r="R204" s="7" t="inlineStr">
        <is>
          <t>Concluído Campo</t>
        </is>
      </c>
      <c r="S204" s="9" t="n">
        <v>45331</v>
      </c>
      <c r="T204" s="10" t="inlineStr"/>
      <c r="U204" s="7" t="inlineStr">
        <is>
          <t>3881856</t>
        </is>
      </c>
      <c r="V204" s="7" t="inlineStr">
        <is>
          <t>EXECUTADO</t>
        </is>
      </c>
      <c r="W204" s="7" t="inlineStr"/>
      <c r="X204" s="7" t="inlineStr">
        <is>
          <t>MEDIÇÃO CONCLUÍDA</t>
        </is>
      </c>
      <c r="Y204" s="11">
        <f>IF(AND(L204&lt;&gt;"", S204&lt;&gt;""), S204-L204, IF(L204&lt;&gt;"", TODAY()-L204, ""))</f>
        <v/>
      </c>
      <c r="Z204" s="7">
        <f>IF(Y204="", "", IF(Y204&lt;=3, "NO PRAZO", "ATRASADO"))</f>
        <v/>
      </c>
      <c r="AA204" s="8" t="inlineStr">
        <is>
          <t>100% - OK</t>
        </is>
      </c>
    </row>
    <row r="205" ht="20" customHeight="1">
      <c r="A205" s="7" t="inlineStr">
        <is>
          <t>RSCLER0203</t>
        </is>
      </c>
      <c r="B205" s="8" t="inlineStr">
        <is>
          <t>PORTO ALEGRE</t>
        </is>
      </c>
      <c r="C205" s="7" t="inlineStr">
        <is>
          <t>MNDAA</t>
        </is>
      </c>
      <c r="D205" s="7" t="inlineStr"/>
      <c r="E205" s="7" t="inlineStr"/>
      <c r="F205" s="8" t="inlineStr">
        <is>
          <t>R JOSÉ DE ALENCAR 1276</t>
        </is>
      </c>
      <c r="G205" s="8" t="inlineStr">
        <is>
          <t>R JOSÉ DE ALENCAR 1276</t>
        </is>
      </c>
      <c r="H205" s="7" t="inlineStr"/>
      <c r="I205" s="8" t="inlineStr">
        <is>
          <t>3 ABERTURA E FECHAMENTO, 6 FUSÃO, 3 TESTE</t>
        </is>
      </c>
      <c r="J205" s="8" t="inlineStr"/>
      <c r="K205" s="8" t="inlineStr">
        <is>
          <t>LUCAS HOBERT</t>
        </is>
      </c>
      <c r="L205" s="9" t="n">
        <v>45296</v>
      </c>
      <c r="M205" s="7" t="inlineStr"/>
      <c r="N205" s="7" t="inlineStr"/>
      <c r="O205" s="9" t="n">
        <v>45296</v>
      </c>
      <c r="P205" s="7" t="inlineStr">
        <is>
          <t>NÃO PRECISA</t>
        </is>
      </c>
      <c r="Q205" s="9" t="n">
        <v>45300</v>
      </c>
      <c r="R205" s="7" t="inlineStr">
        <is>
          <t>Concluído Campo</t>
        </is>
      </c>
      <c r="S205" s="9" t="n">
        <v>45296</v>
      </c>
      <c r="T205" s="10" t="inlineStr"/>
      <c r="U205" s="7" t="inlineStr">
        <is>
          <t>3881860</t>
        </is>
      </c>
      <c r="V205" s="7" t="inlineStr">
        <is>
          <t>EXECUTADO</t>
        </is>
      </c>
      <c r="W205" s="7" t="inlineStr"/>
      <c r="X205" s="7" t="inlineStr">
        <is>
          <t>MEDIÇÃO CONCLUÍDA</t>
        </is>
      </c>
      <c r="Y205" s="11">
        <f>IF(AND(L205&lt;&gt;"", S205&lt;&gt;""), S205-L205, IF(L205&lt;&gt;"", TODAY()-L205, ""))</f>
        <v/>
      </c>
      <c r="Z205" s="7">
        <f>IF(Y205="", "", IF(Y205&lt;=3, "NO PRAZO", "ATRASADO"))</f>
        <v/>
      </c>
      <c r="AA205" s="8" t="inlineStr">
        <is>
          <t>100% - OK</t>
        </is>
      </c>
    </row>
    <row r="206" ht="20" customHeight="1">
      <c r="A206" s="7" t="inlineStr">
        <is>
          <t>RSCLER0204</t>
        </is>
      </c>
      <c r="B206" s="8" t="inlineStr">
        <is>
          <t>PORTO ALEGRE</t>
        </is>
      </c>
      <c r="C206" s="7" t="inlineStr">
        <is>
          <t>MTSAA</t>
        </is>
      </c>
      <c r="D206" s="7" t="inlineStr"/>
      <c r="E206" s="7" t="inlineStr"/>
      <c r="F206" s="8" t="inlineStr">
        <is>
          <t>Edifício Aschneider Absolut Business</t>
        </is>
      </c>
      <c r="G206" s="8" t="inlineStr">
        <is>
          <t>Av. Cristóvão Colombo, 2948</t>
        </is>
      </c>
      <c r="H206" s="7" t="inlineStr"/>
      <c r="I206" s="8" t="inlineStr">
        <is>
          <t>4 ABERTURA E FECAHMENT, 3FUSÃO, 2 TESTE</t>
        </is>
      </c>
      <c r="J206" s="8" t="inlineStr"/>
      <c r="K206" s="8" t="inlineStr">
        <is>
          <t>PAULO GOMES</t>
        </is>
      </c>
      <c r="L206" s="9" t="n">
        <v>45299</v>
      </c>
      <c r="M206" s="7" t="inlineStr"/>
      <c r="N206" s="9" t="n">
        <v>45299</v>
      </c>
      <c r="O206" s="9" t="n">
        <v>45299</v>
      </c>
      <c r="P206" s="7" t="inlineStr">
        <is>
          <t>NÃO PRECISA</t>
        </is>
      </c>
      <c r="Q206" s="9" t="n">
        <v>45300</v>
      </c>
      <c r="R206" s="7" t="inlineStr">
        <is>
          <t>Concluído Campo</t>
        </is>
      </c>
      <c r="S206" s="9" t="n">
        <v>45299</v>
      </c>
      <c r="T206" s="10" t="inlineStr"/>
      <c r="U206" s="7" t="inlineStr">
        <is>
          <t>3883111</t>
        </is>
      </c>
      <c r="V206" s="7" t="inlineStr">
        <is>
          <t>FINALIZADO</t>
        </is>
      </c>
      <c r="W206" s="7" t="inlineStr"/>
      <c r="X206" s="7" t="inlineStr">
        <is>
          <t>MEDIÇÃO CONCLUÍDA</t>
        </is>
      </c>
      <c r="Y206" s="11">
        <f>IF(AND(L206&lt;&gt;"", S206&lt;&gt;""), S206-L206, IF(L206&lt;&gt;"", TODAY()-L206, ""))</f>
        <v/>
      </c>
      <c r="Z206" s="7">
        <f>IF(Y206="", "", IF(Y206&lt;=3, "NO PRAZO", "ATRASADO"))</f>
        <v/>
      </c>
      <c r="AA206" s="8" t="inlineStr">
        <is>
          <t>100% - OK</t>
        </is>
      </c>
    </row>
    <row r="207" ht="20" customHeight="1">
      <c r="A207" s="7" t="inlineStr">
        <is>
          <t>RSCLER0205</t>
        </is>
      </c>
      <c r="B207" s="8" t="inlineStr">
        <is>
          <t>PORTO ALEGRE</t>
        </is>
      </c>
      <c r="C207" s="7" t="inlineStr">
        <is>
          <t>MTSAA</t>
        </is>
      </c>
      <c r="D207" s="7" t="inlineStr"/>
      <c r="E207" s="7" t="inlineStr"/>
      <c r="F207" s="8" t="inlineStr">
        <is>
          <t>Condomínio Edificio Enea</t>
        </is>
      </c>
      <c r="G207" s="8" t="inlineStr">
        <is>
          <t>R GEN COUTO DE MAGALHAES 495</t>
        </is>
      </c>
      <c r="H207" s="7" t="inlineStr"/>
      <c r="I207" s="8" t="inlineStr">
        <is>
          <t>5 ABERTURA E FECHAMENTO, 5 FUSÃO, 2 TESTE</t>
        </is>
      </c>
      <c r="J207" s="8" t="inlineStr"/>
      <c r="K207" s="8" t="inlineStr">
        <is>
          <t>PAULO GOMES</t>
        </is>
      </c>
      <c r="L207" s="9" t="n">
        <v>45299</v>
      </c>
      <c r="M207" s="7" t="inlineStr"/>
      <c r="N207" s="9" t="n">
        <v>45300</v>
      </c>
      <c r="O207" s="9" t="n">
        <v>45300</v>
      </c>
      <c r="P207" s="7" t="inlineStr">
        <is>
          <t>NÃO PRECISA</t>
        </is>
      </c>
      <c r="Q207" s="9" t="n">
        <v>45300</v>
      </c>
      <c r="R207" s="7" t="inlineStr">
        <is>
          <t>Concluído Campo</t>
        </is>
      </c>
      <c r="S207" s="9" t="n">
        <v>45337</v>
      </c>
      <c r="T207" s="10" t="inlineStr"/>
      <c r="U207" s="7" t="inlineStr">
        <is>
          <t>3883341</t>
        </is>
      </c>
      <c r="V207" s="7" t="inlineStr">
        <is>
          <t>FINALIZADO</t>
        </is>
      </c>
      <c r="W207" s="7" t="inlineStr"/>
      <c r="X207" s="7" t="inlineStr">
        <is>
          <t>MEDIÇÃO CONCLUÍDA</t>
        </is>
      </c>
      <c r="Y207" s="11">
        <f>IF(AND(L207&lt;&gt;"", S207&lt;&gt;""), S207-L207, IF(L207&lt;&gt;"", TODAY()-L207, ""))</f>
        <v/>
      </c>
      <c r="Z207" s="7">
        <f>IF(Y207="", "", IF(Y207&lt;=3, "NO PRAZO", "ATRASADO"))</f>
        <v/>
      </c>
      <c r="AA207" s="8" t="inlineStr">
        <is>
          <t>100% - OK</t>
        </is>
      </c>
    </row>
    <row r="208" ht="20" customHeight="1">
      <c r="A208" s="7" t="inlineStr">
        <is>
          <t>RSCLER0206</t>
        </is>
      </c>
      <c r="B208" s="8" t="inlineStr">
        <is>
          <t>NOVO HAMBURGO</t>
        </is>
      </c>
      <c r="C208" s="7" t="inlineStr">
        <is>
          <t>CNUAB</t>
        </is>
      </c>
      <c r="D208" s="7" t="inlineStr"/>
      <c r="E208" s="7" t="inlineStr"/>
      <c r="F208" s="8" t="inlineStr">
        <is>
          <t>Cond. Residencial Daltro Filho</t>
        </is>
      </c>
      <c r="G208" s="8" t="inlineStr">
        <is>
          <t>Av Gen Daltro Filho 1575</t>
        </is>
      </c>
      <c r="H208" s="7" t="inlineStr"/>
      <c r="I208" s="8" t="inlineStr">
        <is>
          <t>2 ABERTURA E FECHAMENTO, 2 FUSÃO, 2 TESTE</t>
        </is>
      </c>
      <c r="J208" s="8" t="inlineStr"/>
      <c r="K208" s="8" t="inlineStr">
        <is>
          <t>LUCAS HOBERT</t>
        </is>
      </c>
      <c r="L208" s="9" t="n">
        <v>45299</v>
      </c>
      <c r="M208" s="7" t="inlineStr"/>
      <c r="N208" s="9" t="n">
        <v>45300</v>
      </c>
      <c r="O208" s="9" t="n">
        <v>45303</v>
      </c>
      <c r="P208" s="7" t="inlineStr">
        <is>
          <t>NÃO PRECISA</t>
        </is>
      </c>
      <c r="Q208" s="9" t="n">
        <v>45345</v>
      </c>
      <c r="R208" s="7" t="inlineStr">
        <is>
          <t>Concluído Campo</t>
        </is>
      </c>
      <c r="S208" s="9" t="n">
        <v>45302</v>
      </c>
      <c r="T208" s="10" t="inlineStr"/>
      <c r="U208" s="7" t="inlineStr">
        <is>
          <t>3883408</t>
        </is>
      </c>
      <c r="V208" s="7" t="inlineStr">
        <is>
          <t>FINALIZADO</t>
        </is>
      </c>
      <c r="W208" s="7" t="inlineStr"/>
      <c r="X208" s="7" t="inlineStr">
        <is>
          <t>MEDIÇÃO CONCLUÍDA</t>
        </is>
      </c>
      <c r="Y208" s="11">
        <f>IF(AND(L208&lt;&gt;"", S208&lt;&gt;""), S208-L208, IF(L208&lt;&gt;"", TODAY()-L208, ""))</f>
        <v/>
      </c>
      <c r="Z208" s="7">
        <f>IF(Y208="", "", IF(Y208&lt;=3, "NO PRAZO", "ATRASADO"))</f>
        <v/>
      </c>
      <c r="AA208" s="8" t="inlineStr">
        <is>
          <t>100% - OK</t>
        </is>
      </c>
    </row>
    <row r="209" ht="20" customHeight="1">
      <c r="A209" s="7" t="inlineStr">
        <is>
          <t>RSCLER0207</t>
        </is>
      </c>
      <c r="B209" s="8" t="inlineStr">
        <is>
          <t>PORTO ALEGRE</t>
        </is>
      </c>
      <c r="C209" s="7" t="inlineStr">
        <is>
          <t>VJDAB</t>
        </is>
      </c>
      <c r="D209" s="7" t="inlineStr"/>
      <c r="E209" s="7" t="inlineStr"/>
      <c r="F209" s="8" t="inlineStr">
        <is>
          <t>Karen Hernandes</t>
        </is>
      </c>
      <c r="G209" s="8" t="inlineStr">
        <is>
          <t>R. Vital Brasil 69</t>
        </is>
      </c>
      <c r="H209" s="7" t="inlineStr"/>
      <c r="I209" s="8" t="inlineStr">
        <is>
          <t>FOI LANÇADO 390 METROS DE CABO DE 12FO, 2 ABERTURA E FECHAMENTO, 3 FUSÃO, UMA NAP, 1 DERIVAÇÃO, 1 TESTE</t>
        </is>
      </c>
      <c r="J209" s="8" t="inlineStr">
        <is>
          <t>THIAGO</t>
        </is>
      </c>
      <c r="K209" s="8" t="inlineStr">
        <is>
          <t>LUCAS HOBERT</t>
        </is>
      </c>
      <c r="L209" s="9" t="n">
        <v>45307</v>
      </c>
      <c r="M209" s="9" t="n">
        <v>45307</v>
      </c>
      <c r="N209" s="9" t="n">
        <v>45313</v>
      </c>
      <c r="O209" s="9" t="n">
        <v>45313</v>
      </c>
      <c r="P209" s="7" t="inlineStr">
        <is>
          <t>NÃO PRECISA</t>
        </is>
      </c>
      <c r="Q209" s="9" t="n">
        <v>45345</v>
      </c>
      <c r="R209" s="7" t="inlineStr">
        <is>
          <t>Concluído Campo</t>
        </is>
      </c>
      <c r="S209" s="9" t="n">
        <v>45295</v>
      </c>
      <c r="T209" s="10" t="inlineStr"/>
      <c r="U209" s="7" t="inlineStr">
        <is>
          <t>3883428</t>
        </is>
      </c>
      <c r="V209" s="7" t="inlineStr">
        <is>
          <t>FINALIZADO</t>
        </is>
      </c>
      <c r="W209" s="7" t="inlineStr"/>
      <c r="X209" s="7" t="inlineStr">
        <is>
          <t>MEDIÇÃO CONCLUÍDA</t>
        </is>
      </c>
      <c r="Y209" s="11">
        <f>IF(AND(L209&lt;&gt;"", S209&lt;&gt;""), S209-L209, IF(L209&lt;&gt;"", TODAY()-L209, ""))</f>
        <v/>
      </c>
      <c r="Z209" s="7">
        <f>IF(Y209="", "", IF(Y209&lt;=3, "NO PRAZO", "ATRASADO"))</f>
        <v/>
      </c>
      <c r="AA209" s="8" t="inlineStr">
        <is>
          <t>100% - OK</t>
        </is>
      </c>
    </row>
    <row r="210" ht="20" customHeight="1">
      <c r="A210" s="7" t="inlineStr">
        <is>
          <t>RSCLER0208</t>
        </is>
      </c>
      <c r="B210" s="8" t="inlineStr">
        <is>
          <t>PORTO ALEGRE</t>
        </is>
      </c>
      <c r="C210" s="7" t="inlineStr">
        <is>
          <t>RBRAA</t>
        </is>
      </c>
      <c r="D210" s="7" t="inlineStr"/>
      <c r="E210" s="7" t="inlineStr"/>
      <c r="F210" s="8" t="inlineStr">
        <is>
          <t>Cond Ed Resid Hundred</t>
        </is>
      </c>
      <c r="G210" s="8" t="inlineStr">
        <is>
          <t>R. Dr. Lauro de Oliveira, 100</t>
        </is>
      </c>
      <c r="H210" s="7" t="inlineStr"/>
      <c r="I210" s="8" t="inlineStr">
        <is>
          <t>311 METROS DE CABO LANÇADO , 2 ABERTURA E FECHAMENTO, 8 FUSÃO, 2 DERIVAÇÃO, 1 CAIXA NOVA, 4 TESTE</t>
        </is>
      </c>
      <c r="J210" s="8" t="inlineStr">
        <is>
          <t>MAICON</t>
        </is>
      </c>
      <c r="K210" s="8" t="inlineStr">
        <is>
          <t>PAULO GOMES</t>
        </is>
      </c>
      <c r="L210" s="9" t="n">
        <v>45307</v>
      </c>
      <c r="M210" s="9" t="n">
        <v>45308</v>
      </c>
      <c r="N210" s="9" t="n">
        <v>45313</v>
      </c>
      <c r="O210" s="9" t="n">
        <v>45316</v>
      </c>
      <c r="P210" s="7" t="inlineStr">
        <is>
          <t>NÃO PRECISA</t>
        </is>
      </c>
      <c r="Q210" s="9" t="n">
        <v>45345</v>
      </c>
      <c r="R210" s="7" t="inlineStr">
        <is>
          <t>Concluído Campo</t>
        </is>
      </c>
      <c r="S210" s="9" t="n">
        <v>45300</v>
      </c>
      <c r="T210" s="10" t="inlineStr"/>
      <c r="U210" s="7" t="inlineStr">
        <is>
          <t>3883462</t>
        </is>
      </c>
      <c r="V210" s="7" t="inlineStr">
        <is>
          <t>FINALIZADO</t>
        </is>
      </c>
      <c r="W210" s="7" t="inlineStr"/>
      <c r="X210" s="7" t="inlineStr">
        <is>
          <t>MEDIÇÃO CONCLUÍDA</t>
        </is>
      </c>
      <c r="Y210" s="11">
        <f>IF(AND(L210&lt;&gt;"", S210&lt;&gt;""), S210-L210, IF(L210&lt;&gt;"", TODAY()-L210, ""))</f>
        <v/>
      </c>
      <c r="Z210" s="7">
        <f>IF(Y210="", "", IF(Y210&lt;=3, "NO PRAZO", "ATRASADO"))</f>
        <v/>
      </c>
      <c r="AA210" s="8" t="inlineStr">
        <is>
          <t>100% - OK</t>
        </is>
      </c>
    </row>
    <row r="211" ht="20" customHeight="1">
      <c r="A211" s="7" t="inlineStr">
        <is>
          <t>RSCLER0209</t>
        </is>
      </c>
      <c r="B211" s="8" t="inlineStr">
        <is>
          <t>NOVO HAMBURGO</t>
        </is>
      </c>
      <c r="C211" s="7" t="inlineStr">
        <is>
          <t>CNUAB</t>
        </is>
      </c>
      <c r="D211" s="7" t="inlineStr"/>
      <c r="E211" s="7" t="inlineStr"/>
      <c r="F211" s="8" t="inlineStr">
        <is>
          <t>Conj. Bartolomeu de Gusmão 230 e 240</t>
        </is>
      </c>
      <c r="G211" s="8" t="inlineStr">
        <is>
          <t>Conj. Bartolomeu de Gusmão 230 e 240</t>
        </is>
      </c>
      <c r="H211" s="7" t="inlineStr"/>
      <c r="I211" s="8" t="inlineStr">
        <is>
          <t>1 ABERTURA E FECHAMENTO, 3 FUSÃO, 1 CX NOVA, 1 DERIVAÇÃO, 2 TESTE</t>
        </is>
      </c>
      <c r="J211" s="8" t="inlineStr"/>
      <c r="K211" s="8" t="inlineStr">
        <is>
          <t>LUCAS HOBERT</t>
        </is>
      </c>
      <c r="L211" s="9" t="n">
        <v>45315</v>
      </c>
      <c r="M211" s="7" t="inlineStr"/>
      <c r="N211" s="9" t="n">
        <v>45319</v>
      </c>
      <c r="O211" s="9" t="n">
        <v>45319</v>
      </c>
      <c r="P211" s="7" t="inlineStr">
        <is>
          <t>NÃO PRECISA</t>
        </is>
      </c>
      <c r="Q211" s="9" t="n">
        <v>45345</v>
      </c>
      <c r="R211" s="7" t="inlineStr">
        <is>
          <t>Concluído Campo</t>
        </is>
      </c>
      <c r="S211" s="9" t="n">
        <v>45348</v>
      </c>
      <c r="T211" s="10" t="inlineStr"/>
      <c r="U211" s="7" t="inlineStr">
        <is>
          <t>3883586</t>
        </is>
      </c>
      <c r="V211" s="7" t="inlineStr">
        <is>
          <t>FINALIZADO</t>
        </is>
      </c>
      <c r="W211" s="7" t="inlineStr"/>
      <c r="X211" s="7" t="inlineStr">
        <is>
          <t>MEDIÇÃO CONCLUÍDA</t>
        </is>
      </c>
      <c r="Y211" s="11">
        <f>IF(AND(L211&lt;&gt;"", S211&lt;&gt;""), S211-L211, IF(L211&lt;&gt;"", TODAY()-L211, ""))</f>
        <v/>
      </c>
      <c r="Z211" s="7">
        <f>IF(Y211="", "", IF(Y211&lt;=3, "NO PRAZO", "ATRASADO"))</f>
        <v/>
      </c>
      <c r="AA211" s="8" t="inlineStr">
        <is>
          <t>100% - OK</t>
        </is>
      </c>
    </row>
    <row r="212" ht="20" customHeight="1">
      <c r="A212" s="7" t="inlineStr">
        <is>
          <t>RSCLER0210</t>
        </is>
      </c>
      <c r="B212" s="8" t="inlineStr">
        <is>
          <t>ELDORADO</t>
        </is>
      </c>
      <c r="C212" s="7" t="inlineStr">
        <is>
          <t>CNT-20</t>
        </is>
      </c>
      <c r="D212" s="7" t="inlineStr"/>
      <c r="E212" s="7" t="inlineStr"/>
      <c r="F212" s="8" t="inlineStr">
        <is>
          <t>CONDOMINIO PENINSULA PONTA DA FIGUEIRA N3500</t>
        </is>
      </c>
      <c r="G212" s="8" t="inlineStr">
        <is>
          <t>CONDOMINIO PENINSULA PONTA DA FIGUEIRA N3501</t>
        </is>
      </c>
      <c r="H212" s="7" t="inlineStr"/>
      <c r="I212" s="8" t="inlineStr">
        <is>
          <t>FOI LANÇADO 1968 METROS  DE CABO DE 12FO, 8 NAP NOVA, 1 FOSC NOVA, 1 FIST NOVA, 2 DERIVAÇÃO, 41 FUSÃO, 24 TESTE, 550 METROS DE CORDOALHA</t>
        </is>
      </c>
      <c r="J212" s="8" t="inlineStr">
        <is>
          <t>GIOVANE</t>
        </is>
      </c>
      <c r="K212" s="8" t="inlineStr">
        <is>
          <t>MARCOS EMILIANO</t>
        </is>
      </c>
      <c r="L212" s="9" t="n">
        <v>45322</v>
      </c>
      <c r="M212" s="9" t="n">
        <v>45327</v>
      </c>
      <c r="N212" s="9" t="n">
        <v>45329</v>
      </c>
      <c r="O212" s="9" t="n">
        <v>45329</v>
      </c>
      <c r="P212" s="7" t="inlineStr">
        <is>
          <t>NÃO PRECISA</t>
        </is>
      </c>
      <c r="Q212" s="9" t="n">
        <v>45345</v>
      </c>
      <c r="R212" s="7" t="inlineStr">
        <is>
          <t>Concluído Campo</t>
        </is>
      </c>
      <c r="S212" s="9" t="n">
        <v>45303</v>
      </c>
      <c r="T212" s="10" t="inlineStr"/>
      <c r="U212" s="7" t="inlineStr">
        <is>
          <t>3883608</t>
        </is>
      </c>
      <c r="V212" s="7" t="inlineStr">
        <is>
          <t>FINALIZADO</t>
        </is>
      </c>
      <c r="W212" s="7" t="inlineStr"/>
      <c r="X212" s="7" t="inlineStr">
        <is>
          <t>MEDIÇÃO CONCLUÍDA</t>
        </is>
      </c>
      <c r="Y212" s="11">
        <f>IF(AND(L212&lt;&gt;"", S212&lt;&gt;""), S212-L212, IF(L212&lt;&gt;"", TODAY()-L212, ""))</f>
        <v/>
      </c>
      <c r="Z212" s="7">
        <f>IF(Y212="", "", IF(Y212&lt;=3, "NO PRAZO", "ATRASADO"))</f>
        <v/>
      </c>
      <c r="AA212" s="8" t="inlineStr">
        <is>
          <t>100% - OK</t>
        </is>
      </c>
    </row>
    <row r="213" ht="20" customHeight="1">
      <c r="A213" s="7" t="inlineStr">
        <is>
          <t>RSCLER0211</t>
        </is>
      </c>
      <c r="B213" s="8" t="inlineStr">
        <is>
          <t>PORTO ALEGRE</t>
        </is>
      </c>
      <c r="C213" s="7" t="inlineStr">
        <is>
          <t>VNVAA</t>
        </is>
      </c>
      <c r="D213" s="7" t="inlineStr"/>
      <c r="E213" s="7" t="inlineStr"/>
      <c r="F213" s="8" t="inlineStr">
        <is>
          <t>Res Porto Aurora</t>
        </is>
      </c>
      <c r="G213" s="8" t="inlineStr">
        <is>
          <t>R Família Gonçalves Carneiro, 201</t>
        </is>
      </c>
      <c r="H213" s="7" t="inlineStr"/>
      <c r="I213" s="8" t="inlineStr">
        <is>
          <t>FOI LANÇADO 373 METROS DE CABO DE 12FO, 1 CX NOVA, 1 DERIVAÇÃO , 5 ABERTURA E FECHAMENTO, 30 FUSÃO, 5 TESTE</t>
        </is>
      </c>
      <c r="J213" s="8" t="inlineStr">
        <is>
          <t>NATANIEL</t>
        </is>
      </c>
      <c r="K213" s="8" t="inlineStr">
        <is>
          <t>NATANIEL</t>
        </is>
      </c>
      <c r="L213" s="9" t="n">
        <v>45329</v>
      </c>
      <c r="M213" s="9" t="n">
        <v>45329</v>
      </c>
      <c r="N213" s="9" t="n">
        <v>45331</v>
      </c>
      <c r="O213" s="9" t="n">
        <v>45336</v>
      </c>
      <c r="P213" s="7" t="inlineStr">
        <is>
          <t>NÃO PRECISA</t>
        </is>
      </c>
      <c r="Q213" s="9" t="n">
        <v>45345</v>
      </c>
      <c r="R213" s="7" t="inlineStr">
        <is>
          <t>Concluído Campo</t>
        </is>
      </c>
      <c r="S213" s="9" t="n">
        <v>45329</v>
      </c>
      <c r="T213" s="10" t="inlineStr"/>
      <c r="U213" s="7" t="inlineStr">
        <is>
          <t>3883522</t>
        </is>
      </c>
      <c r="V213" s="7" t="inlineStr">
        <is>
          <t>FINALIZADO</t>
        </is>
      </c>
      <c r="W213" s="7" t="inlineStr"/>
      <c r="X213" s="7" t="inlineStr">
        <is>
          <t>MEDIÇÃO CONCLUÍDA</t>
        </is>
      </c>
      <c r="Y213" s="11">
        <f>IF(AND(L213&lt;&gt;"", S213&lt;&gt;""), S213-L213, IF(L213&lt;&gt;"", TODAY()-L213, ""))</f>
        <v/>
      </c>
      <c r="Z213" s="7">
        <f>IF(Y213="", "", IF(Y213&lt;=3, "NO PRAZO", "ATRASADO"))</f>
        <v/>
      </c>
      <c r="AA213" s="8" t="inlineStr">
        <is>
          <t>100% - OK</t>
        </is>
      </c>
    </row>
    <row r="214" ht="20" customHeight="1">
      <c r="A214" s="7" t="inlineStr">
        <is>
          <t>RSCLER0212</t>
        </is>
      </c>
      <c r="B214" s="8" t="inlineStr">
        <is>
          <t>PORTO ALEGRE</t>
        </is>
      </c>
      <c r="C214" s="7" t="inlineStr">
        <is>
          <t>AZNAA</t>
        </is>
      </c>
      <c r="D214" s="7" t="inlineStr"/>
      <c r="E214" s="7" t="inlineStr"/>
      <c r="F214" s="8" t="inlineStr">
        <is>
          <t>Cond Ed Via Veneto</t>
        </is>
      </c>
      <c r="G214" s="8" t="inlineStr">
        <is>
          <t>Rua Vicente da Fontoura, 595 - 605</t>
        </is>
      </c>
      <c r="H214" s="7" t="inlineStr"/>
      <c r="I214" s="8" t="inlineStr">
        <is>
          <t>FOI LANÇANDO 250 METROS DE CABO DE 12FO,  1 CX NOVA, 6 ABERTURA E FECHAMENTO, 4 FUSÃO, 1 DERIVAÇÃO, TEVE 2 CX DE ROMPIMENTO NO TRECHO, 1 TESTE  ( TEVE 2 ABERTURA E FECHAMENTO A MAIS POIS ELE FOI 3 VEZES TESTAR POR FALTA DO CORDÃO NO SITE)</t>
        </is>
      </c>
      <c r="J214" s="8" t="inlineStr">
        <is>
          <t>NATANIEL</t>
        </is>
      </c>
      <c r="K214" s="8" t="inlineStr">
        <is>
          <t>NATANIEL</t>
        </is>
      </c>
      <c r="L214" s="9" t="n">
        <v>45321</v>
      </c>
      <c r="M214" s="9" t="n">
        <v>45331</v>
      </c>
      <c r="N214" s="9" t="n">
        <v>45337</v>
      </c>
      <c r="O214" s="9" t="n">
        <v>45337</v>
      </c>
      <c r="P214" s="7" t="inlineStr">
        <is>
          <t>NÃO PRECISA</t>
        </is>
      </c>
      <c r="Q214" s="9" t="n">
        <v>45345</v>
      </c>
      <c r="R214" s="7" t="inlineStr">
        <is>
          <t>Concluído Campo</t>
        </is>
      </c>
      <c r="S214" s="9" t="n">
        <v>45349</v>
      </c>
      <c r="T214" s="10" t="inlineStr"/>
      <c r="U214" s="7" t="inlineStr">
        <is>
          <t>3883624</t>
        </is>
      </c>
      <c r="V214" s="7" t="inlineStr">
        <is>
          <t>FINALIZADO</t>
        </is>
      </c>
      <c r="W214" s="7" t="inlineStr"/>
      <c r="X214" s="7" t="inlineStr">
        <is>
          <t>MEDIÇÃO CONCLUÍDA</t>
        </is>
      </c>
      <c r="Y214" s="11">
        <f>IF(AND(L214&lt;&gt;"", S214&lt;&gt;""), S214-L214, IF(L214&lt;&gt;"", TODAY()-L214, ""))</f>
        <v/>
      </c>
      <c r="Z214" s="7">
        <f>IF(Y214="", "", IF(Y214&lt;=3, "NO PRAZO", "ATRASADO"))</f>
        <v/>
      </c>
      <c r="AA214" s="8" t="inlineStr">
        <is>
          <t>100% - OK</t>
        </is>
      </c>
    </row>
    <row r="215" ht="20" customHeight="1">
      <c r="A215" s="7" t="inlineStr">
        <is>
          <t>RSCLER0213</t>
        </is>
      </c>
      <c r="B215" s="8" t="inlineStr">
        <is>
          <t>PORTO ALEGRE</t>
        </is>
      </c>
      <c r="C215" s="7" t="inlineStr">
        <is>
          <t>SANAA</t>
        </is>
      </c>
      <c r="D215" s="7" t="inlineStr"/>
      <c r="E215" s="7" t="inlineStr"/>
      <c r="F215" s="8" t="inlineStr">
        <is>
          <t>Condomínio Edificio Urbano Station</t>
        </is>
      </c>
      <c r="G215" s="8" t="inlineStr">
        <is>
          <t>Av. da Azenha, 680</t>
        </is>
      </c>
      <c r="H215" s="7" t="inlineStr"/>
      <c r="I215" s="8" t="inlineStr">
        <is>
          <t>FOI  LANÇADO 228 METROS DE CABO DE 12FO, 1 CX NOVA, 2 ABERTURA E FECHAMENTO, 1 DERIVAÇÃO, 4 FUSÃO, 2 TESTE</t>
        </is>
      </c>
      <c r="J215" s="8" t="inlineStr">
        <is>
          <t>NATANIEL</t>
        </is>
      </c>
      <c r="K215" s="8" t="inlineStr">
        <is>
          <t>NATANIEL</t>
        </is>
      </c>
      <c r="L215" s="9" t="n">
        <v>45321</v>
      </c>
      <c r="M215" s="9" t="n">
        <v>45331</v>
      </c>
      <c r="N215" s="9" t="n">
        <v>45331</v>
      </c>
      <c r="O215" s="9" t="n">
        <v>45331</v>
      </c>
      <c r="P215" s="7" t="inlineStr">
        <is>
          <t>NÃO PRECISA</t>
        </is>
      </c>
      <c r="Q215" s="9" t="n">
        <v>45345</v>
      </c>
      <c r="R215" s="7" t="inlineStr">
        <is>
          <t>Concluído Campo</t>
        </is>
      </c>
      <c r="S215" s="9" t="n">
        <v>45367</v>
      </c>
      <c r="T215" s="10" t="inlineStr"/>
      <c r="U215" s="7" t="inlineStr">
        <is>
          <t>3879269</t>
        </is>
      </c>
      <c r="V215" s="7" t="inlineStr">
        <is>
          <t>FINALIZADO</t>
        </is>
      </c>
      <c r="W215" s="7" t="inlineStr"/>
      <c r="X215" s="7" t="inlineStr">
        <is>
          <t>MEDIÇÃO CONCLUÍDA</t>
        </is>
      </c>
      <c r="Y215" s="11">
        <f>IF(AND(L215&lt;&gt;"", S215&lt;&gt;""), S215-L215, IF(L215&lt;&gt;"", TODAY()-L215, ""))</f>
        <v/>
      </c>
      <c r="Z215" s="7">
        <f>IF(Y215="", "", IF(Y215&lt;=3, "NO PRAZO", "ATRASADO"))</f>
        <v/>
      </c>
      <c r="AA215" s="8" t="inlineStr">
        <is>
          <t>100% - OK</t>
        </is>
      </c>
    </row>
    <row r="216" ht="20" customHeight="1">
      <c r="A216" s="7" t="inlineStr">
        <is>
          <t>RSCLER0214</t>
        </is>
      </c>
      <c r="B216" s="8" t="inlineStr">
        <is>
          <t>PORTO ALEGRE</t>
        </is>
      </c>
      <c r="C216" s="7" t="inlineStr">
        <is>
          <t>RBTAA</t>
        </is>
      </c>
      <c r="D216" s="7" t="inlineStr"/>
      <c r="E216" s="7" t="inlineStr"/>
      <c r="F216" s="8" t="inlineStr">
        <is>
          <t>Academia Eng. do Corpo</t>
        </is>
      </c>
      <c r="G216" s="8" t="inlineStr">
        <is>
          <t>Av Baltazar de Oliveira Garcia 2274</t>
        </is>
      </c>
      <c r="H216" s="7" t="inlineStr"/>
      <c r="I216" s="8" t="inlineStr">
        <is>
          <t>FOI  LANÇADO  377 METROS DE CABO DE 12FO, 1 NAP NOVA, 1 DERIVAÇÃO, 4 ABERTURA E FECHAMENTO, 2 FUSÃO, 3 TESTE  ( TEVE 2 ABERTURA E FECHAMENTO A MAIS POIS ELE FOI 3 VEZES TESTAR POR FALTA DO CORDÃO NO SITE)</t>
        </is>
      </c>
      <c r="J216" s="8" t="inlineStr">
        <is>
          <t>NATANIEL</t>
        </is>
      </c>
      <c r="K216" s="8" t="inlineStr">
        <is>
          <t>NATANIEL</t>
        </is>
      </c>
      <c r="L216" s="9" t="n">
        <v>45336</v>
      </c>
      <c r="M216" s="9" t="n">
        <v>45337</v>
      </c>
      <c r="N216" s="9" t="n">
        <v>45338</v>
      </c>
      <c r="O216" s="9" t="n">
        <v>45338</v>
      </c>
      <c r="P216" s="7" t="inlineStr">
        <is>
          <t>NÃO PRECISA</t>
        </is>
      </c>
      <c r="Q216" s="9" t="n">
        <v>45345</v>
      </c>
      <c r="R216" s="7" t="inlineStr">
        <is>
          <t>Concluído Campo</t>
        </is>
      </c>
      <c r="S216" s="7" t="inlineStr"/>
      <c r="T216" s="10" t="inlineStr"/>
      <c r="U216" s="7" t="inlineStr"/>
      <c r="V216" s="7" t="inlineStr"/>
      <c r="W216" s="7" t="inlineStr"/>
      <c r="X216" s="7" t="inlineStr">
        <is>
          <t>AG. MEDIÇÃO</t>
        </is>
      </c>
      <c r="Y216" s="11">
        <f>IF(AND(L216&lt;&gt;"", S216&lt;&gt;""), S216-L216, IF(L216&lt;&gt;"", TODAY()-L216, ""))</f>
        <v/>
      </c>
      <c r="Z216" s="7">
        <f>IF(Y216="", "", IF(Y216&lt;=3, "NO PRAZO", "ATRASADO"))</f>
        <v/>
      </c>
      <c r="AA216" s="8" t="inlineStr">
        <is>
          <t>100% - OK</t>
        </is>
      </c>
    </row>
    <row r="217" ht="20" customHeight="1">
      <c r="A217" s="7" t="inlineStr">
        <is>
          <t>RSCLER0215</t>
        </is>
      </c>
      <c r="B217" s="8" t="inlineStr">
        <is>
          <t>PORTO ALEGRE</t>
        </is>
      </c>
      <c r="C217" s="7" t="inlineStr">
        <is>
          <t>RBRAA</t>
        </is>
      </c>
      <c r="D217" s="7" t="inlineStr"/>
      <c r="E217" s="7" t="inlineStr"/>
      <c r="F217" s="8" t="inlineStr">
        <is>
          <t>R Santa Cecilia, 2149</t>
        </is>
      </c>
      <c r="G217" s="8" t="inlineStr">
        <is>
          <t>R Santa Cecilia, 2149</t>
        </is>
      </c>
      <c r="H217" s="7" t="inlineStr"/>
      <c r="I217" s="8" t="inlineStr">
        <is>
          <t>FOI LANÇADO 669 METROS DE CABO 8FO, 2 ABERTURA E FECHAMENTO, 4 FUSÃO, 1 DERIVAÇÃO, 2 TESTE, FAZER AS BUILTS</t>
        </is>
      </c>
      <c r="J217" s="8" t="inlineStr">
        <is>
          <t>JEFERSON</t>
        </is>
      </c>
      <c r="K217" s="8" t="inlineStr">
        <is>
          <t>JEFERSON</t>
        </is>
      </c>
      <c r="L217" s="9" t="n">
        <v>45345</v>
      </c>
      <c r="M217" s="9" t="n">
        <v>45346</v>
      </c>
      <c r="N217" s="9" t="n">
        <v>45348</v>
      </c>
      <c r="O217" s="9" t="n">
        <v>45348</v>
      </c>
      <c r="P217" s="7" t="inlineStr">
        <is>
          <t>NÃO PRECISA</t>
        </is>
      </c>
      <c r="Q217" s="9" t="n">
        <v>45350</v>
      </c>
      <c r="R217" s="7" t="inlineStr">
        <is>
          <t>Concluído Campo</t>
        </is>
      </c>
      <c r="S217" s="9" t="n">
        <v>45327</v>
      </c>
      <c r="T217" s="10" t="inlineStr"/>
      <c r="U217" s="7" t="inlineStr">
        <is>
          <t>3932299</t>
        </is>
      </c>
      <c r="V217" s="7" t="inlineStr">
        <is>
          <t>FINALIZADO</t>
        </is>
      </c>
      <c r="W217" s="7" t="inlineStr"/>
      <c r="X217" s="7" t="inlineStr">
        <is>
          <t>MEDIÇÃO CONCLUÍDA</t>
        </is>
      </c>
      <c r="Y217" s="11">
        <f>IF(AND(L217&lt;&gt;"", S217&lt;&gt;""), S217-L217, IF(L217&lt;&gt;"", TODAY()-L217, ""))</f>
        <v/>
      </c>
      <c r="Z217" s="7">
        <f>IF(Y217="", "", IF(Y217&lt;=3, "NO PRAZO", "ATRASADO"))</f>
        <v/>
      </c>
      <c r="AA217" s="8" t="inlineStr">
        <is>
          <t>100% - OK</t>
        </is>
      </c>
    </row>
    <row r="218" ht="20" customHeight="1">
      <c r="A218" s="7" t="inlineStr">
        <is>
          <t>RSCLER0216</t>
        </is>
      </c>
      <c r="B218" s="8" t="inlineStr">
        <is>
          <t>RSPSU07</t>
        </is>
      </c>
      <c r="C218" s="7" t="inlineStr">
        <is>
          <t>CTLAA</t>
        </is>
      </c>
      <c r="D218" s="7" t="inlineStr">
        <is>
          <t>CTLAE</t>
        </is>
      </c>
      <c r="E218" s="7" t="inlineStr">
        <is>
          <t>RSPSU07</t>
        </is>
      </c>
      <c r="F218" s="8" t="inlineStr">
        <is>
          <t>Projeto Condomínio Porto Smart</t>
        </is>
      </c>
      <c r="G218" s="8" t="inlineStr">
        <is>
          <t>Av Padre Cacique, 1820</t>
        </is>
      </c>
      <c r="H218" s="7" t="inlineStr">
        <is>
          <t>CTLAA.053.M070</t>
        </is>
      </c>
      <c r="I218" s="8" t="inlineStr">
        <is>
          <t>FOI LANÇADO 1171 METROS DE CABO DE 8FO, FOI RETIRADO 250 METROS DE CABO , FOI LANÇADO MAIS 350 METROS DE CABO, 3 CX NOVA, 16 FUSÃO, 5 ABERTURA E FECHAMENTO, 1 DERIVAÇÃO, 2 TESTE</t>
        </is>
      </c>
      <c r="J218" s="8" t="inlineStr">
        <is>
          <t>NATANIEL</t>
        </is>
      </c>
      <c r="K218" s="8" t="inlineStr">
        <is>
          <t>NATANIEL</t>
        </is>
      </c>
      <c r="L218" s="9" t="n">
        <v>45345</v>
      </c>
      <c r="M218" s="9" t="n">
        <v>45346</v>
      </c>
      <c r="N218" s="9" t="n">
        <v>45349</v>
      </c>
      <c r="O218" s="9" t="n">
        <v>45349</v>
      </c>
      <c r="P218" s="7" t="inlineStr">
        <is>
          <t>NÃO PRECISA</t>
        </is>
      </c>
      <c r="Q218" s="9" t="n">
        <v>45350</v>
      </c>
      <c r="R218" s="7" t="inlineStr">
        <is>
          <t>Concluído Campo</t>
        </is>
      </c>
      <c r="S218" s="9" t="n">
        <v>45369</v>
      </c>
      <c r="T218" s="10" t="inlineStr"/>
      <c r="U218" s="7" t="inlineStr">
        <is>
          <t>3932299</t>
        </is>
      </c>
      <c r="V218" s="7" t="inlineStr">
        <is>
          <t>FINALIZADO</t>
        </is>
      </c>
      <c r="W218" s="7" t="inlineStr"/>
      <c r="X218" s="7" t="inlineStr">
        <is>
          <t>MEDIÇÃO CONCLUÍDA</t>
        </is>
      </c>
      <c r="Y218" s="11">
        <f>IF(AND(L218&lt;&gt;"", S218&lt;&gt;""), S218-L218, IF(L218&lt;&gt;"", TODAY()-L218, ""))</f>
        <v/>
      </c>
      <c r="Z218" s="7">
        <f>IF(Y218="", "", IF(Y218&lt;=3, "NO PRAZO", "ATRASADO"))</f>
        <v/>
      </c>
      <c r="AA218" s="8" t="inlineStr">
        <is>
          <t>100% - OK</t>
        </is>
      </c>
    </row>
    <row r="219" ht="20" customHeight="1">
      <c r="A219" s="7" t="inlineStr">
        <is>
          <t>RSCLER0217</t>
        </is>
      </c>
      <c r="B219" s="8" t="inlineStr">
        <is>
          <t>PORTO ALEGRE</t>
        </is>
      </c>
      <c r="C219" s="7" t="inlineStr">
        <is>
          <t>CTLAA</t>
        </is>
      </c>
      <c r="D219" s="7" t="inlineStr">
        <is>
          <t>CMQAN</t>
        </is>
      </c>
      <c r="E219" s="7" t="inlineStr">
        <is>
          <t>RSPSU07</t>
        </is>
      </c>
      <c r="F219" s="8" t="inlineStr">
        <is>
          <t>RESIDENCIAL COHAJUDA</t>
        </is>
      </c>
      <c r="G219" s="8" t="inlineStr">
        <is>
          <t>RUA CEL. MASSOT, 685/691</t>
        </is>
      </c>
      <c r="H219" s="7" t="inlineStr">
        <is>
          <t>CTLAA.107.M020</t>
        </is>
      </c>
      <c r="I219" s="8" t="inlineStr">
        <is>
          <t>3 ABERTURA E FECHAMENTO , 15 FUSÃO, 3 TESTE</t>
        </is>
      </c>
      <c r="J219" s="8" t="inlineStr"/>
      <c r="K219" s="8" t="inlineStr">
        <is>
          <t>JEFERSON / PAULO GOMES</t>
        </is>
      </c>
      <c r="L219" s="9" t="n">
        <v>45355</v>
      </c>
      <c r="M219" s="7" t="inlineStr"/>
      <c r="N219" s="9" t="n">
        <v>45355</v>
      </c>
      <c r="O219" s="9" t="n">
        <v>45364</v>
      </c>
      <c r="P219" s="7" t="inlineStr">
        <is>
          <t>NÃO PRECISA</t>
        </is>
      </c>
      <c r="Q219" s="9" t="n">
        <v>45377</v>
      </c>
      <c r="R219" s="7" t="inlineStr">
        <is>
          <t>Concluído Campo</t>
        </is>
      </c>
      <c r="S219" s="9" t="n">
        <v>45364</v>
      </c>
      <c r="T219" s="10" t="inlineStr"/>
      <c r="U219" s="7" t="inlineStr">
        <is>
          <t>3932299</t>
        </is>
      </c>
      <c r="V219" s="7" t="inlineStr">
        <is>
          <t>FINALIZADO</t>
        </is>
      </c>
      <c r="W219" s="7" t="inlineStr"/>
      <c r="X219" s="7" t="inlineStr">
        <is>
          <t>MEDIÇÃO CONCLUÍDA</t>
        </is>
      </c>
      <c r="Y219" s="11">
        <f>IF(AND(L219&lt;&gt;"", S219&lt;&gt;""), S219-L219, IF(L219&lt;&gt;"", TODAY()-L219, ""))</f>
        <v/>
      </c>
      <c r="Z219" s="7">
        <f>IF(Y219="", "", IF(Y219&lt;=3, "NO PRAZO", "ATRASADO"))</f>
        <v/>
      </c>
      <c r="AA219" s="8" t="inlineStr">
        <is>
          <t>100% - OK</t>
        </is>
      </c>
    </row>
    <row r="220" ht="20" customHeight="1">
      <c r="A220" s="7" t="inlineStr">
        <is>
          <t>RSCLER0218</t>
        </is>
      </c>
      <c r="B220" s="8" t="inlineStr">
        <is>
          <t>PORTO ALEGRE</t>
        </is>
      </c>
      <c r="C220" s="7" t="inlineStr">
        <is>
          <t>BVSAB</t>
        </is>
      </c>
      <c r="D220" s="7" t="inlineStr"/>
      <c r="E220" s="7" t="inlineStr"/>
      <c r="F220" s="8" t="inlineStr">
        <is>
          <t>Edifício Nova Era</t>
        </is>
      </c>
      <c r="G220" s="8" t="inlineStr">
        <is>
          <t>Rua Furriel Luiz Antônio Vargas. 380</t>
        </is>
      </c>
      <c r="H220" s="7" t="inlineStr"/>
      <c r="I220" s="8" t="inlineStr">
        <is>
          <t>FOI LANÇADO 571 METROS DE CABO DE 8 VIAS, 2 ABERTURA E FECHAMENTO, 1 DERIVAÇÃO, 9 FUSÃO, 3 TESTE, 1 CX NOVA</t>
        </is>
      </c>
      <c r="J220" s="8" t="inlineStr">
        <is>
          <t>JEFERSON</t>
        </is>
      </c>
      <c r="K220" s="8" t="inlineStr">
        <is>
          <t>JEFERSON</t>
        </is>
      </c>
      <c r="L220" s="9" t="n">
        <v>45355</v>
      </c>
      <c r="M220" s="9" t="n">
        <v>45356</v>
      </c>
      <c r="N220" s="9" t="n">
        <v>45356</v>
      </c>
      <c r="O220" s="9" t="n">
        <v>45327</v>
      </c>
      <c r="P220" s="7" t="inlineStr">
        <is>
          <t>NÃO PRECISA</t>
        </is>
      </c>
      <c r="Q220" s="9" t="n">
        <v>45377</v>
      </c>
      <c r="R220" s="7" t="inlineStr">
        <is>
          <t>Concluído Campo</t>
        </is>
      </c>
      <c r="S220" s="9" t="n">
        <v>45364</v>
      </c>
      <c r="T220" s="10" t="inlineStr"/>
      <c r="U220" s="7" t="inlineStr">
        <is>
          <t>3932299</t>
        </is>
      </c>
      <c r="V220" s="7" t="inlineStr">
        <is>
          <t>FINALIZADO</t>
        </is>
      </c>
      <c r="W220" s="7" t="inlineStr"/>
      <c r="X220" s="7" t="inlineStr">
        <is>
          <t>MEDIÇÃO CONCLUÍDA</t>
        </is>
      </c>
      <c r="Y220" s="11">
        <f>IF(AND(L220&lt;&gt;"", S220&lt;&gt;""), S220-L220, IF(L220&lt;&gt;"", TODAY()-L220, ""))</f>
        <v/>
      </c>
      <c r="Z220" s="7">
        <f>IF(Y220="", "", IF(Y220&lt;=3, "NO PRAZO", "ATRASADO"))</f>
        <v/>
      </c>
      <c r="AA220" s="8" t="inlineStr">
        <is>
          <t>100% - OK</t>
        </is>
      </c>
    </row>
    <row r="221" ht="20" customHeight="1">
      <c r="A221" s="7" t="inlineStr">
        <is>
          <t>RSCLER0219</t>
        </is>
      </c>
      <c r="B221" s="8" t="inlineStr">
        <is>
          <t>PORTO ALEGRE</t>
        </is>
      </c>
      <c r="C221" s="7" t="inlineStr">
        <is>
          <t>CTLAA</t>
        </is>
      </c>
      <c r="D221" s="7" t="inlineStr">
        <is>
          <t>CMQAN</t>
        </is>
      </c>
      <c r="E221" s="7" t="inlineStr">
        <is>
          <t>RSPSU07</t>
        </is>
      </c>
      <c r="F221" s="8" t="inlineStr">
        <is>
          <t>Edifício Jardins De Provence</t>
        </is>
      </c>
      <c r="G221" s="8" t="inlineStr">
        <is>
          <t>Rua Cel Massot 214/228</t>
        </is>
      </c>
      <c r="H221" s="7" t="inlineStr">
        <is>
          <t>CTLAA.107.M050</t>
        </is>
      </c>
      <c r="I221" s="8" t="inlineStr">
        <is>
          <t>FOI LANÇADO 150 METROS DE CABO DE 12FO, 10 ABERTURA E FECHAMENTO,33 FUSÃO, 1 CX NOVA, 1 DERIVAÇÃO, 3 TESTE.</t>
        </is>
      </c>
      <c r="J221" s="8" t="inlineStr">
        <is>
          <t>JEFERSON</t>
        </is>
      </c>
      <c r="K221" s="8" t="inlineStr">
        <is>
          <t>JEFERSON / NATANIEL</t>
        </is>
      </c>
      <c r="L221" s="9" t="n">
        <v>45356</v>
      </c>
      <c r="M221" s="9" t="n">
        <v>45357</v>
      </c>
      <c r="N221" s="9" t="n">
        <v>45357</v>
      </c>
      <c r="O221" s="9" t="n">
        <v>45360</v>
      </c>
      <c r="P221" s="7" t="inlineStr">
        <is>
          <t>NÃO PRECISA</t>
        </is>
      </c>
      <c r="Q221" s="9" t="n">
        <v>45377</v>
      </c>
      <c r="R221" s="7" t="inlineStr">
        <is>
          <t>Concluído Campo</t>
        </is>
      </c>
      <c r="S221" s="9" t="n">
        <v>45365</v>
      </c>
      <c r="T221" s="10" t="inlineStr"/>
      <c r="U221" s="7" t="inlineStr">
        <is>
          <t>3932299</t>
        </is>
      </c>
      <c r="V221" s="7" t="inlineStr">
        <is>
          <t>FINALIZADO</t>
        </is>
      </c>
      <c r="W221" s="7" t="inlineStr"/>
      <c r="X221" s="7" t="inlineStr">
        <is>
          <t>MEDIÇÃO CONCLUÍDA</t>
        </is>
      </c>
      <c r="Y221" s="11">
        <f>IF(AND(L221&lt;&gt;"", S221&lt;&gt;""), S221-L221, IF(L221&lt;&gt;"", TODAY()-L221, ""))</f>
        <v/>
      </c>
      <c r="Z221" s="7">
        <f>IF(Y221="", "", IF(Y221&lt;=3, "NO PRAZO", "ATRASADO"))</f>
        <v/>
      </c>
      <c r="AA221" s="8" t="inlineStr">
        <is>
          <t>100% - OK</t>
        </is>
      </c>
    </row>
    <row r="222" ht="20" customHeight="1">
      <c r="A222" s="7" t="inlineStr">
        <is>
          <t>RSCLER0220</t>
        </is>
      </c>
      <c r="B222" s="8" t="inlineStr">
        <is>
          <t>PORTO ALEGRE</t>
        </is>
      </c>
      <c r="C222" s="7" t="inlineStr">
        <is>
          <t>MTSAA</t>
        </is>
      </c>
      <c r="D222" s="7" t="inlineStr"/>
      <c r="E222" s="7" t="inlineStr"/>
      <c r="F222" s="8" t="inlineStr">
        <is>
          <t>Condomínio Edifício Green Park</t>
        </is>
      </c>
      <c r="G222" s="8" t="inlineStr">
        <is>
          <t>Rua Silva Jardim, 966</t>
        </is>
      </c>
      <c r="H222" s="7" t="inlineStr"/>
      <c r="I222" s="8" t="inlineStr">
        <is>
          <t>3  ABERTURA E FECHAMENTO , 2 FUSÃO, 1 TESTE ( CAIXA DUPLICADA )</t>
        </is>
      </c>
      <c r="J222" s="8" t="inlineStr"/>
      <c r="K222" s="8" t="inlineStr">
        <is>
          <t>PAULO GOMES</t>
        </is>
      </c>
      <c r="L222" s="9" t="n">
        <v>45362</v>
      </c>
      <c r="M222" s="7" t="inlineStr"/>
      <c r="N222" s="9" t="n">
        <v>45363</v>
      </c>
      <c r="O222" s="9" t="n">
        <v>45369</v>
      </c>
      <c r="P222" s="7" t="inlineStr">
        <is>
          <t>NÃO PRECISA</t>
        </is>
      </c>
      <c r="Q222" s="9" t="n">
        <v>45377</v>
      </c>
      <c r="R222" s="7" t="inlineStr">
        <is>
          <t>Concluído Campo</t>
        </is>
      </c>
      <c r="S222" s="9" t="n">
        <v>45369</v>
      </c>
      <c r="T222" s="10" t="inlineStr"/>
      <c r="U222" s="7" t="inlineStr">
        <is>
          <t>3932299</t>
        </is>
      </c>
      <c r="V222" s="7" t="inlineStr">
        <is>
          <t>FINALIZADO</t>
        </is>
      </c>
      <c r="W222" s="7" t="inlineStr"/>
      <c r="X222" s="7" t="inlineStr">
        <is>
          <t>MEDIÇÃO CONCLUÍDA</t>
        </is>
      </c>
      <c r="Y222" s="11">
        <f>IF(AND(L222&lt;&gt;"", S222&lt;&gt;""), S222-L222, IF(L222&lt;&gt;"", TODAY()-L222, ""))</f>
        <v/>
      </c>
      <c r="Z222" s="7">
        <f>IF(Y222="", "", IF(Y222&lt;=3, "NO PRAZO", "ATRASADO"))</f>
        <v/>
      </c>
      <c r="AA222" s="8" t="inlineStr">
        <is>
          <t>100% - OK</t>
        </is>
      </c>
    </row>
    <row r="223" ht="20" customHeight="1">
      <c r="A223" s="7" t="inlineStr">
        <is>
          <t>RSCLER0221</t>
        </is>
      </c>
      <c r="B223" s="8" t="inlineStr">
        <is>
          <t>PORTO ALEGRE</t>
        </is>
      </c>
      <c r="C223" s="7" t="inlineStr">
        <is>
          <t>TRZAA</t>
        </is>
      </c>
      <c r="D223" s="7" t="inlineStr"/>
      <c r="E223" s="7" t="inlineStr"/>
      <c r="F223" s="8" t="inlineStr">
        <is>
          <t>AV COPACABANA, 421</t>
        </is>
      </c>
      <c r="G223" s="8" t="inlineStr">
        <is>
          <t>AV COPACABANA, 421</t>
        </is>
      </c>
      <c r="H223" s="7" t="inlineStr">
        <is>
          <t>TRZAA.101.M040</t>
        </is>
      </c>
      <c r="I223" s="8" t="inlineStr">
        <is>
          <t>FOI LANÇADO 722 METROS DE CABO DE 12FO, 3 ABERTURA E FECHAMENTO, 1 CX NOVA, 2 DERIVAÇÃO, 3 FUSÃO, 1 TESTE</t>
        </is>
      </c>
      <c r="J223" s="8" t="inlineStr">
        <is>
          <t>GIOVANE</t>
        </is>
      </c>
      <c r="K223" s="8" t="inlineStr">
        <is>
          <t>MARCOS EMILIANO</t>
        </is>
      </c>
      <c r="L223" s="9" t="n">
        <v>45362</v>
      </c>
      <c r="M223" s="9" t="n">
        <v>45363</v>
      </c>
      <c r="N223" s="9" t="n">
        <v>45363</v>
      </c>
      <c r="O223" s="9" t="n">
        <v>45363</v>
      </c>
      <c r="P223" s="7" t="inlineStr">
        <is>
          <t>NÃO PRECISA</t>
        </is>
      </c>
      <c r="Q223" s="9" t="n">
        <v>45377</v>
      </c>
      <c r="R223" s="7" t="inlineStr">
        <is>
          <t>Concluído Campo</t>
        </is>
      </c>
      <c r="S223" s="9" t="n">
        <v>45360</v>
      </c>
      <c r="T223" s="10" t="inlineStr"/>
      <c r="U223" s="7" t="inlineStr">
        <is>
          <t>3932299</t>
        </is>
      </c>
      <c r="V223" s="7" t="inlineStr">
        <is>
          <t>FINALIZADO</t>
        </is>
      </c>
      <c r="W223" s="7" t="inlineStr"/>
      <c r="X223" s="7" t="inlineStr">
        <is>
          <t>MEDIÇÃO CONCLUÍDA</t>
        </is>
      </c>
      <c r="Y223" s="11">
        <f>IF(AND(L223&lt;&gt;"", S223&lt;&gt;""), S223-L223, IF(L223&lt;&gt;"", TODAY()-L223, ""))</f>
        <v/>
      </c>
      <c r="Z223" s="7">
        <f>IF(Y223="", "", IF(Y223&lt;=3, "NO PRAZO", "ATRASADO"))</f>
        <v/>
      </c>
      <c r="AA223" s="8" t="inlineStr">
        <is>
          <t>100% - OK</t>
        </is>
      </c>
    </row>
    <row r="224" ht="20" customHeight="1">
      <c r="A224" s="7" t="inlineStr">
        <is>
          <t>RSCLER0222</t>
        </is>
      </c>
      <c r="B224" s="8" t="inlineStr">
        <is>
          <t>PORTO ALEGRE</t>
        </is>
      </c>
      <c r="C224" s="7" t="inlineStr">
        <is>
          <t>TRZAA</t>
        </is>
      </c>
      <c r="D224" s="7" t="inlineStr"/>
      <c r="E224" s="7" t="inlineStr"/>
      <c r="F224" s="8" t="inlineStr">
        <is>
          <t>Cond. Clarity</t>
        </is>
      </c>
      <c r="G224" s="8" t="inlineStr">
        <is>
          <t>R. Landel de Moura, 1541</t>
        </is>
      </c>
      <c r="H224" s="7" t="inlineStr"/>
      <c r="I224" s="8" t="inlineStr">
        <is>
          <t>FOI  LANÇADO 332 METROS DE CABO DE 12FO, 3 ABERTURA E FECHAMENTO , 6 FUSÃO , 1 DERIVAÇÃO, 1 CX NOVA , 3 TESTE</t>
        </is>
      </c>
      <c r="J224" s="8" t="inlineStr">
        <is>
          <t>VITOR</t>
        </is>
      </c>
      <c r="K224" s="8" t="inlineStr">
        <is>
          <t>PAULO GOMES</t>
        </is>
      </c>
      <c r="L224" s="9" t="n">
        <v>45364</v>
      </c>
      <c r="M224" s="9" t="n">
        <v>45365</v>
      </c>
      <c r="N224" s="9" t="n">
        <v>45366</v>
      </c>
      <c r="O224" s="9" t="n">
        <v>45366</v>
      </c>
      <c r="P224" s="7" t="inlineStr">
        <is>
          <t>NÃO PRECISA</t>
        </is>
      </c>
      <c r="Q224" s="9" t="n">
        <v>45377</v>
      </c>
      <c r="R224" s="7" t="inlineStr">
        <is>
          <t>Concluído Campo</t>
        </is>
      </c>
      <c r="S224" s="9" t="n">
        <v>45364</v>
      </c>
      <c r="T224" s="10" t="inlineStr"/>
      <c r="U224" s="7" t="inlineStr">
        <is>
          <t>3932299</t>
        </is>
      </c>
      <c r="V224" s="7" t="inlineStr">
        <is>
          <t>FINALIZADO</t>
        </is>
      </c>
      <c r="W224" s="7" t="inlineStr"/>
      <c r="X224" s="7" t="inlineStr">
        <is>
          <t>MEDIÇÃO CONCLUÍDA</t>
        </is>
      </c>
      <c r="Y224" s="11">
        <f>IF(AND(L224&lt;&gt;"", S224&lt;&gt;""), S224-L224, IF(L224&lt;&gt;"", TODAY()-L224, ""))</f>
        <v/>
      </c>
      <c r="Z224" s="7">
        <f>IF(Y224="", "", IF(Y224&lt;=3, "NO PRAZO", "ATRASADO"))</f>
        <v/>
      </c>
      <c r="AA224" s="8" t="inlineStr">
        <is>
          <t>100% - OK</t>
        </is>
      </c>
    </row>
    <row r="225" ht="20" customHeight="1">
      <c r="A225" s="7" t="inlineStr">
        <is>
          <t>RSCLER0223</t>
        </is>
      </c>
      <c r="B225" s="8" t="inlineStr">
        <is>
          <t>PORTO ALEGRE</t>
        </is>
      </c>
      <c r="C225" s="7" t="inlineStr">
        <is>
          <t>PRTAA</t>
        </is>
      </c>
      <c r="D225" s="7" t="inlineStr"/>
      <c r="E225" s="7" t="inlineStr"/>
      <c r="F225" s="8" t="inlineStr">
        <is>
          <t>RESID CURCEL</t>
        </is>
      </c>
      <c r="G225" s="8" t="inlineStr">
        <is>
          <t>R PRF CRISTIANO FISCHER 2272</t>
        </is>
      </c>
      <c r="H225" s="7" t="inlineStr">
        <is>
          <t>PRTAA.001.M100</t>
        </is>
      </c>
      <c r="I225" s="8" t="inlineStr">
        <is>
          <t>FOI LANÇADO 265 METRNOS DE CABO DE 12FO, 6 ABERTURA E FECHAMENTIO, 5 FUSÃO, 1 CX NOVA, 1 DERIVAÇÃO, 1 TESTE</t>
        </is>
      </c>
      <c r="J225" s="8" t="inlineStr">
        <is>
          <t>THIAGO</t>
        </is>
      </c>
      <c r="K225" s="8" t="inlineStr">
        <is>
          <t>PAULO GOMES</t>
        </is>
      </c>
      <c r="L225" s="9" t="n">
        <v>45364</v>
      </c>
      <c r="M225" s="9" t="n">
        <v>45366</v>
      </c>
      <c r="N225" s="9" t="n">
        <v>45366</v>
      </c>
      <c r="O225" s="9" t="n">
        <v>45374</v>
      </c>
      <c r="P225" s="7" t="inlineStr">
        <is>
          <t>NÃO PRECISA</t>
        </is>
      </c>
      <c r="Q225" s="9" t="n">
        <v>45377</v>
      </c>
      <c r="R225" s="7" t="inlineStr">
        <is>
          <t>Concluído Campo</t>
        </is>
      </c>
      <c r="S225" s="9" t="n">
        <v>45363</v>
      </c>
      <c r="T225" s="10" t="inlineStr"/>
      <c r="U225" s="7" t="inlineStr">
        <is>
          <t>3932299</t>
        </is>
      </c>
      <c r="V225" s="7" t="inlineStr">
        <is>
          <t>FINALIZADO</t>
        </is>
      </c>
      <c r="W225" s="7" t="inlineStr"/>
      <c r="X225" s="7" t="inlineStr">
        <is>
          <t>MEDIÇÃO CONCLUÍDA</t>
        </is>
      </c>
      <c r="Y225" s="11">
        <f>IF(AND(L225&lt;&gt;"", S225&lt;&gt;""), S225-L225, IF(L225&lt;&gt;"", TODAY()-L225, ""))</f>
        <v/>
      </c>
      <c r="Z225" s="7">
        <f>IF(Y225="", "", IF(Y225&lt;=3, "NO PRAZO", "ATRASADO"))</f>
        <v/>
      </c>
      <c r="AA225" s="8" t="inlineStr">
        <is>
          <t>100% - OK</t>
        </is>
      </c>
    </row>
    <row r="226" ht="20" customHeight="1">
      <c r="A226" s="7" t="inlineStr">
        <is>
          <t>RSCLER0224</t>
        </is>
      </c>
      <c r="B226" s="8" t="inlineStr">
        <is>
          <t>PORTO ALEGRE</t>
        </is>
      </c>
      <c r="C226" s="7" t="inlineStr"/>
      <c r="D226" s="7" t="inlineStr"/>
      <c r="E226" s="7" t="inlineStr"/>
      <c r="F226" s="8" t="inlineStr">
        <is>
          <t>CONDOMINIO VIVERDES CLUBLE RESIDENCIAL</t>
        </is>
      </c>
      <c r="G226" s="8" t="inlineStr">
        <is>
          <t>ESTRADA CRISTIANO KRAEMER, 5080</t>
        </is>
      </c>
      <c r="H226" s="7" t="inlineStr"/>
      <c r="I226" s="8" t="inlineStr">
        <is>
          <t>FOI LANÇADO 234 METROS DE CABO DE 12FO, 10 ABERTURA E FECHAMENTO DE GUARITAS, 1 GUARITA DESOBSTRUIDA, 5 GUARITAS TESTADAS DE 10 MTS CADA, 2 GUARITAS DE 10 MTS GUIADAS A PEDIDO DO CONDOMINIO, 50 MTS DE RESERVA NA 1° GUARITA APÓS LATERAL DO CONDOMINIO</t>
        </is>
      </c>
      <c r="J226" s="8" t="inlineStr">
        <is>
          <t>SAMURAI</t>
        </is>
      </c>
      <c r="K226" s="8" t="inlineStr"/>
      <c r="L226" s="9" t="n">
        <v>45364</v>
      </c>
      <c r="M226" s="9" t="n">
        <v>45364</v>
      </c>
      <c r="N226" s="7" t="inlineStr"/>
      <c r="O226" s="9" t="n">
        <v>45364</v>
      </c>
      <c r="P226" s="7" t="inlineStr">
        <is>
          <t>NÃO PRECISA</t>
        </is>
      </c>
      <c r="Q226" s="9" t="n">
        <v>45377</v>
      </c>
      <c r="R226" s="7" t="inlineStr">
        <is>
          <t>Concluído Campo</t>
        </is>
      </c>
      <c r="S226" s="9" t="n">
        <v>45378</v>
      </c>
      <c r="T226" s="10" t="inlineStr"/>
      <c r="U226" s="7" t="inlineStr">
        <is>
          <t>3932299</t>
        </is>
      </c>
      <c r="V226" s="7" t="inlineStr">
        <is>
          <t>FINALIZADO</t>
        </is>
      </c>
      <c r="W226" s="7" t="inlineStr"/>
      <c r="X226" s="7" t="inlineStr">
        <is>
          <t>MEDIÇÃO CONCLUÍDA</t>
        </is>
      </c>
      <c r="Y226" s="11">
        <f>IF(AND(L226&lt;&gt;"", S226&lt;&gt;""), S226-L226, IF(L226&lt;&gt;"", TODAY()-L226, ""))</f>
        <v/>
      </c>
      <c r="Z226" s="7">
        <f>IF(Y226="", "", IF(Y226&lt;=3, "NO PRAZO", "ATRASADO"))</f>
        <v/>
      </c>
      <c r="AA226" s="8" t="inlineStr">
        <is>
          <t>100% - OK</t>
        </is>
      </c>
    </row>
    <row r="227" ht="20" customHeight="1">
      <c r="A227" s="7" t="inlineStr">
        <is>
          <t>RSCLER0225</t>
        </is>
      </c>
      <c r="B227" s="8" t="inlineStr">
        <is>
          <t>PORTO ALEGRE</t>
        </is>
      </c>
      <c r="C227" s="7" t="inlineStr">
        <is>
          <t>BVSAB</t>
        </is>
      </c>
      <c r="D227" s="7" t="inlineStr"/>
      <c r="E227" s="7" t="inlineStr"/>
      <c r="F227" s="8" t="inlineStr">
        <is>
          <t>Condomínio Edifício Cantegril</t>
        </is>
      </c>
      <c r="G227" s="8" t="inlineStr">
        <is>
          <t>Av Protásio Alves, 4000</t>
        </is>
      </c>
      <c r="H227" s="7" t="inlineStr"/>
      <c r="I227" s="8" t="inlineStr">
        <is>
          <t>2 ABERTURA E FECHAMENTO, 2 TESTE</t>
        </is>
      </c>
      <c r="J227" s="8" t="inlineStr"/>
      <c r="K227" s="8" t="inlineStr">
        <is>
          <t>PAULO GOMES</t>
        </is>
      </c>
      <c r="L227" s="9" t="n">
        <v>45364</v>
      </c>
      <c r="M227" s="7" t="inlineStr"/>
      <c r="N227" s="9" t="n">
        <v>45365</v>
      </c>
      <c r="O227" s="9" t="n">
        <v>45365</v>
      </c>
      <c r="P227" s="7" t="inlineStr">
        <is>
          <t>NÃO PRECISA</t>
        </is>
      </c>
      <c r="Q227" s="9" t="n">
        <v>45377</v>
      </c>
      <c r="R227" s="7" t="inlineStr">
        <is>
          <t>Concluído Campo</t>
        </is>
      </c>
      <c r="S227" s="9" t="n">
        <v>45366</v>
      </c>
      <c r="T227" s="10" t="inlineStr"/>
      <c r="U227" s="7" t="inlineStr">
        <is>
          <t>3932299</t>
        </is>
      </c>
      <c r="V227" s="7" t="inlineStr">
        <is>
          <t>FINALIZADO</t>
        </is>
      </c>
      <c r="W227" s="7" t="inlineStr"/>
      <c r="X227" s="7" t="inlineStr">
        <is>
          <t>MEDIÇÃO CONCLUÍDA</t>
        </is>
      </c>
      <c r="Y227" s="11">
        <f>IF(AND(L227&lt;&gt;"", S227&lt;&gt;""), S227-L227, IF(L227&lt;&gt;"", TODAY()-L227, ""))</f>
        <v/>
      </c>
      <c r="Z227" s="7">
        <f>IF(Y227="", "", IF(Y227&lt;=3, "NO PRAZO", "ATRASADO"))</f>
        <v/>
      </c>
      <c r="AA227" s="8" t="inlineStr">
        <is>
          <t>100% - OK</t>
        </is>
      </c>
    </row>
    <row r="228" ht="20" customHeight="1">
      <c r="A228" s="7" t="inlineStr">
        <is>
          <t>RSCLER0226</t>
        </is>
      </c>
      <c r="B228" s="8" t="inlineStr">
        <is>
          <t>PORTO ALEGRE</t>
        </is>
      </c>
      <c r="C228" s="7" t="inlineStr">
        <is>
          <t>VIPAA</t>
        </is>
      </c>
      <c r="D228" s="7" t="inlineStr"/>
      <c r="E228" s="7" t="inlineStr"/>
      <c r="F228" s="8" t="inlineStr">
        <is>
          <t>Condomínio Royal Park</t>
        </is>
      </c>
      <c r="G228" s="8" t="inlineStr">
        <is>
          <t>Rua Fernando Cortez, 195</t>
        </is>
      </c>
      <c r="H228" s="7" t="inlineStr"/>
      <c r="I228" s="8" t="inlineStr">
        <is>
          <t>5 ABERTURA E FECHAMENTO, 12 FUSÃO, 4 TESTE</t>
        </is>
      </c>
      <c r="J228" s="8" t="inlineStr"/>
      <c r="K228" s="8" t="inlineStr">
        <is>
          <t>PAULO GOMES</t>
        </is>
      </c>
      <c r="L228" s="9" t="n">
        <v>45364</v>
      </c>
      <c r="M228" s="7" t="inlineStr"/>
      <c r="N228" s="9" t="n">
        <v>45365</v>
      </c>
      <c r="O228" s="9" t="n">
        <v>45369</v>
      </c>
      <c r="P228" s="7" t="inlineStr">
        <is>
          <t>NÃO PRECISA</t>
        </is>
      </c>
      <c r="Q228" s="9" t="n">
        <v>45377</v>
      </c>
      <c r="R228" s="7" t="inlineStr">
        <is>
          <t>Concluído Campo</t>
        </is>
      </c>
      <c r="S228" s="9" t="n">
        <v>45370</v>
      </c>
      <c r="T228" s="10" t="inlineStr"/>
      <c r="U228" s="7" t="inlineStr">
        <is>
          <t>3932299</t>
        </is>
      </c>
      <c r="V228" s="7" t="inlineStr">
        <is>
          <t>FINALIZADO</t>
        </is>
      </c>
      <c r="W228" s="7" t="inlineStr"/>
      <c r="X228" s="7" t="inlineStr">
        <is>
          <t>MEDIÇÃO CONCLUÍDA</t>
        </is>
      </c>
      <c r="Y228" s="11">
        <f>IF(AND(L228&lt;&gt;"", S228&lt;&gt;""), S228-L228, IF(L228&lt;&gt;"", TODAY()-L228, ""))</f>
        <v/>
      </c>
      <c r="Z228" s="7">
        <f>IF(Y228="", "", IF(Y228&lt;=3, "NO PRAZO", "ATRASADO"))</f>
        <v/>
      </c>
      <c r="AA228" s="8" t="inlineStr">
        <is>
          <t>100% - OK</t>
        </is>
      </c>
    </row>
    <row r="229" ht="20" customHeight="1">
      <c r="A229" s="7" t="inlineStr">
        <is>
          <t>RSCLER0227</t>
        </is>
      </c>
      <c r="B229" s="8" t="inlineStr">
        <is>
          <t>GRAVATAI</t>
        </is>
      </c>
      <c r="C229" s="7" t="inlineStr">
        <is>
          <t>CNTAA</t>
        </is>
      </c>
      <c r="D229" s="7" t="inlineStr"/>
      <c r="E229" s="7" t="inlineStr"/>
      <c r="F229" s="8" t="inlineStr">
        <is>
          <t>Paseo Cittá</t>
        </is>
      </c>
      <c r="G229" s="8" t="inlineStr">
        <is>
          <t>Tv Herbert, 26</t>
        </is>
      </c>
      <c r="H229" s="7" t="inlineStr">
        <is>
          <t>CNTAA.011.M020</t>
        </is>
      </c>
      <c r="I229" s="8" t="inlineStr">
        <is>
          <t>FOI LANÇADO 1100 METROS DE CABO DE 12FO, 4 ABERTURA E FECHAMENTO, 24 FUSÃO , 1 CX NOVA, 1 DERIVAÇÃO, 6 TESTE</t>
        </is>
      </c>
      <c r="J229" s="8" t="inlineStr">
        <is>
          <t>THIAGO</t>
        </is>
      </c>
      <c r="K229" s="8" t="inlineStr">
        <is>
          <t>DIOGO / MARCO EMILIANO</t>
        </is>
      </c>
      <c r="L229" s="9" t="n">
        <v>45364</v>
      </c>
      <c r="M229" s="9" t="n">
        <v>45365</v>
      </c>
      <c r="N229" s="9" t="n">
        <v>45366</v>
      </c>
      <c r="O229" s="9" t="n">
        <v>45372</v>
      </c>
      <c r="P229" s="7" t="inlineStr">
        <is>
          <t>NÃO PRECISA</t>
        </is>
      </c>
      <c r="Q229" s="9" t="n">
        <v>45377</v>
      </c>
      <c r="R229" s="7" t="inlineStr">
        <is>
          <t>Concluído Campo</t>
        </is>
      </c>
      <c r="S229" s="9" t="n">
        <v>45370</v>
      </c>
      <c r="T229" s="10" t="inlineStr"/>
      <c r="U229" s="7" t="inlineStr">
        <is>
          <t>3930977</t>
        </is>
      </c>
      <c r="V229" s="7" t="inlineStr">
        <is>
          <t>FINALIZADO</t>
        </is>
      </c>
      <c r="W229" s="7" t="inlineStr"/>
      <c r="X229" s="7" t="inlineStr">
        <is>
          <t>MEDIÇÃO CONCLUÍDA</t>
        </is>
      </c>
      <c r="Y229" s="11">
        <f>IF(AND(L229&lt;&gt;"", S229&lt;&gt;""), S229-L229, IF(L229&lt;&gt;"", TODAY()-L229, ""))</f>
        <v/>
      </c>
      <c r="Z229" s="7">
        <f>IF(Y229="", "", IF(Y229&lt;=3, "NO PRAZO", "ATRASADO"))</f>
        <v/>
      </c>
      <c r="AA229" s="8" t="inlineStr">
        <is>
          <t>100% - OK</t>
        </is>
      </c>
    </row>
    <row r="230" ht="20" customHeight="1">
      <c r="A230" s="7" t="inlineStr">
        <is>
          <t>RSCLER0228</t>
        </is>
      </c>
      <c r="B230" s="8" t="inlineStr">
        <is>
          <t>PORTO ALEGRE</t>
        </is>
      </c>
      <c r="C230" s="7" t="inlineStr">
        <is>
          <t>TRZAA</t>
        </is>
      </c>
      <c r="D230" s="7" t="inlineStr"/>
      <c r="E230" s="7" t="inlineStr"/>
      <c r="F230" s="8" t="inlineStr">
        <is>
          <t>Pe. Joao Batista Reus 2163 - 2173</t>
        </is>
      </c>
      <c r="G230" s="8" t="inlineStr">
        <is>
          <t>Pe. Joao Batista Reus 2163 - 2173</t>
        </is>
      </c>
      <c r="H230" s="7" t="inlineStr"/>
      <c r="I230" s="8" t="inlineStr">
        <is>
          <t>FOI LANÇADO 590 METROS DE CABO DE 12FO, 4 ABERTURA E FECHAMENTO, 6 FUSÃO, 3 DERIVAÇÃO, 1 CX NOVA, 2 TESTE</t>
        </is>
      </c>
      <c r="J230" s="8" t="inlineStr">
        <is>
          <t>THIAGO</t>
        </is>
      </c>
      <c r="K230" s="8" t="inlineStr">
        <is>
          <t>PAULO GOMES</t>
        </is>
      </c>
      <c r="L230" s="9" t="n">
        <v>45366</v>
      </c>
      <c r="M230" s="9" t="n">
        <v>45367</v>
      </c>
      <c r="N230" s="9" t="n">
        <v>45367</v>
      </c>
      <c r="O230" s="9" t="n">
        <v>45367</v>
      </c>
      <c r="P230" s="7" t="inlineStr">
        <is>
          <t>NÃO PRECISA</t>
        </is>
      </c>
      <c r="Q230" s="9" t="n">
        <v>45377</v>
      </c>
      <c r="R230" s="7" t="inlineStr">
        <is>
          <t>Concluído Campo</t>
        </is>
      </c>
      <c r="S230" s="9" t="n">
        <v>45372</v>
      </c>
      <c r="T230" s="10" t="inlineStr"/>
      <c r="U230" s="7" t="inlineStr">
        <is>
          <t>3932299</t>
        </is>
      </c>
      <c r="V230" s="7" t="inlineStr">
        <is>
          <t>FINALIZADO</t>
        </is>
      </c>
      <c r="W230" s="7" t="inlineStr"/>
      <c r="X230" s="7" t="inlineStr">
        <is>
          <t>MEDIÇÃO CONCLUÍDA</t>
        </is>
      </c>
      <c r="Y230" s="11">
        <f>IF(AND(L230&lt;&gt;"", S230&lt;&gt;""), S230-L230, IF(L230&lt;&gt;"", TODAY()-L230, ""))</f>
        <v/>
      </c>
      <c r="Z230" s="7">
        <f>IF(Y230="", "", IF(Y230&lt;=3, "NO PRAZO", "ATRASADO"))</f>
        <v/>
      </c>
      <c r="AA230" s="8" t="inlineStr">
        <is>
          <t>100% - OK</t>
        </is>
      </c>
    </row>
    <row r="231" ht="20" customHeight="1">
      <c r="A231" s="7" t="inlineStr">
        <is>
          <t>RSCLER0229</t>
        </is>
      </c>
      <c r="B231" s="8" t="inlineStr">
        <is>
          <t>PORTO ALEGRE</t>
        </is>
      </c>
      <c r="C231" s="7" t="inlineStr">
        <is>
          <t>JCVAA</t>
        </is>
      </c>
      <c r="D231" s="7" t="inlineStr"/>
      <c r="E231" s="7" t="inlineStr"/>
      <c r="F231" s="8" t="inlineStr">
        <is>
          <t>Projeto ABRAHAM GOLDZTEIN</t>
        </is>
      </c>
      <c r="G231" s="8" t="inlineStr">
        <is>
          <t>Projeto ABRAHAM GOLDZTEIN</t>
        </is>
      </c>
      <c r="H231" s="7" t="inlineStr"/>
      <c r="I231" s="8" t="inlineStr">
        <is>
          <t>FOI LANÇADO 18 METROS DE CABO DE 12FO, 3 ABERTURA E FECHAMENTO, 4 FUSÃO, 1 DERIVAÇÃO, 1 NAP NOVA, 1 TESTE</t>
        </is>
      </c>
      <c r="J231" s="8" t="inlineStr"/>
      <c r="K231" s="8" t="inlineStr">
        <is>
          <t>MARCOS EMILIANO</t>
        </is>
      </c>
      <c r="L231" s="9" t="n">
        <v>45369</v>
      </c>
      <c r="M231" s="7" t="inlineStr"/>
      <c r="N231" s="9" t="n">
        <v>45370</v>
      </c>
      <c r="O231" s="9" t="n">
        <v>45370</v>
      </c>
      <c r="P231" s="7" t="inlineStr">
        <is>
          <t>NÃO PRECISA</t>
        </is>
      </c>
      <c r="Q231" s="9" t="n">
        <v>45377</v>
      </c>
      <c r="R231" s="7" t="inlineStr">
        <is>
          <t>Concluído Campo</t>
        </is>
      </c>
      <c r="S231" s="9" t="n">
        <v>45370</v>
      </c>
      <c r="T231" s="10" t="inlineStr"/>
      <c r="U231" s="7" t="inlineStr">
        <is>
          <t>3932299</t>
        </is>
      </c>
      <c r="V231" s="7" t="inlineStr">
        <is>
          <t>FINALIZADO</t>
        </is>
      </c>
      <c r="W231" s="7" t="inlineStr"/>
      <c r="X231" s="7" t="inlineStr">
        <is>
          <t>MEDIÇÃO CONCLUÍDA</t>
        </is>
      </c>
      <c r="Y231" s="11">
        <f>IF(AND(L231&lt;&gt;"", S231&lt;&gt;""), S231-L231, IF(L231&lt;&gt;"", TODAY()-L231, ""))</f>
        <v/>
      </c>
      <c r="Z231" s="7">
        <f>IF(Y231="", "", IF(Y231&lt;=3, "NO PRAZO", "ATRASADO"))</f>
        <v/>
      </c>
      <c r="AA231" s="8" t="inlineStr">
        <is>
          <t>100% - OK</t>
        </is>
      </c>
    </row>
    <row r="232" ht="20" customHeight="1">
      <c r="A232" s="7" t="inlineStr">
        <is>
          <t>RSCLER0230</t>
        </is>
      </c>
      <c r="B232" s="8" t="inlineStr">
        <is>
          <t>CANOAS</t>
        </is>
      </c>
      <c r="C232" s="7" t="inlineStr">
        <is>
          <t>MRDAA</t>
        </is>
      </c>
      <c r="D232" s="7" t="inlineStr"/>
      <c r="E232" s="7" t="inlineStr"/>
      <c r="F232" s="8" t="inlineStr">
        <is>
          <t>MC DONALDS</t>
        </is>
      </c>
      <c r="G232" s="8" t="inlineStr">
        <is>
          <t>MC DONALDS</t>
        </is>
      </c>
      <c r="H232" s="7" t="inlineStr"/>
      <c r="I232" s="8" t="inlineStr">
        <is>
          <t>FOI 750 METROS DE CABO 12FO , 1 ABERTURA E FECHAMENTO , 1 FOSC NOVA, 1 NAP NOVA, 4 FUSÃO, 1 DERIVAÇÃO</t>
        </is>
      </c>
      <c r="J232" s="8" t="inlineStr">
        <is>
          <t>VITOR</t>
        </is>
      </c>
      <c r="K232" s="8" t="inlineStr">
        <is>
          <t>MARCOS EMILIANO</t>
        </is>
      </c>
      <c r="L232" s="9" t="n">
        <v>45362</v>
      </c>
      <c r="M232" s="9" t="n">
        <v>45363</v>
      </c>
      <c r="N232" s="9" t="n">
        <v>45363</v>
      </c>
      <c r="O232" s="9" t="n">
        <v>45364</v>
      </c>
      <c r="P232" s="7" t="inlineStr">
        <is>
          <t>NÃO PRECISA</t>
        </is>
      </c>
      <c r="Q232" s="9" t="n">
        <v>45377</v>
      </c>
      <c r="R232" s="7" t="inlineStr">
        <is>
          <t>Concluído Campo</t>
        </is>
      </c>
      <c r="S232" s="9" t="n">
        <v>45378</v>
      </c>
      <c r="T232" s="10" t="inlineStr"/>
      <c r="U232" s="7" t="inlineStr">
        <is>
          <t>3930987</t>
        </is>
      </c>
      <c r="V232" s="7" t="inlineStr">
        <is>
          <t>FINALIZADO</t>
        </is>
      </c>
      <c r="W232" s="7" t="inlineStr"/>
      <c r="X232" s="7" t="inlineStr">
        <is>
          <t>MEDIÇÃO CONCLUÍDA</t>
        </is>
      </c>
      <c r="Y232" s="11">
        <f>IF(AND(L232&lt;&gt;"", S232&lt;&gt;""), S232-L232, IF(L232&lt;&gt;"", TODAY()-L232, ""))</f>
        <v/>
      </c>
      <c r="Z232" s="7">
        <f>IF(Y232="", "", IF(Y232&lt;=3, "NO PRAZO", "ATRASADO"))</f>
        <v/>
      </c>
      <c r="AA232" s="8" t="inlineStr">
        <is>
          <t>100% - OK</t>
        </is>
      </c>
    </row>
    <row r="233" ht="20" customHeight="1">
      <c r="A233" s="7" t="inlineStr">
        <is>
          <t>RSCLER0231</t>
        </is>
      </c>
      <c r="B233" s="8" t="inlineStr">
        <is>
          <t>PORTO ALEGRE</t>
        </is>
      </c>
      <c r="C233" s="7" t="inlineStr">
        <is>
          <t>RBTAB</t>
        </is>
      </c>
      <c r="D233" s="7" t="inlineStr"/>
      <c r="E233" s="7" t="inlineStr"/>
      <c r="F233" s="8" t="inlineStr">
        <is>
          <t>RESIDENCIAL PORTO SINAI</t>
        </is>
      </c>
      <c r="G233" s="8" t="inlineStr">
        <is>
          <t>RUA ADA VAZ CABEDA, 400</t>
        </is>
      </c>
      <c r="H233" s="7" t="inlineStr"/>
      <c r="I233" s="8" t="inlineStr">
        <is>
          <t>2 ABERTURA E FECHAMENTO, 1 DERIVAÇÃO, 4 FUSÃO, 2 TESTE</t>
        </is>
      </c>
      <c r="J233" s="8" t="inlineStr"/>
      <c r="K233" s="8" t="inlineStr">
        <is>
          <t>MARCOS EMILIANO</t>
        </is>
      </c>
      <c r="L233" s="9" t="n">
        <v>45369</v>
      </c>
      <c r="M233" s="7" t="inlineStr"/>
      <c r="N233" s="9" t="n">
        <v>45370</v>
      </c>
      <c r="O233" s="9" t="n">
        <v>45370</v>
      </c>
      <c r="P233" s="7" t="inlineStr">
        <is>
          <t>NÃO PRECISA</t>
        </is>
      </c>
      <c r="Q233" s="9" t="n">
        <v>45377</v>
      </c>
      <c r="R233" s="7" t="inlineStr">
        <is>
          <t>Concluído Campo</t>
        </is>
      </c>
      <c r="S233" s="9" t="n">
        <v>45384</v>
      </c>
      <c r="T233" s="10" t="inlineStr"/>
      <c r="U233" s="7" t="inlineStr">
        <is>
          <t>3976022</t>
        </is>
      </c>
      <c r="V233" s="7" t="inlineStr">
        <is>
          <t>FINALIZADO</t>
        </is>
      </c>
      <c r="W233" s="7" t="inlineStr"/>
      <c r="X233" s="7" t="inlineStr">
        <is>
          <t>MEDIÇÃO CONCLUÍDA</t>
        </is>
      </c>
      <c r="Y233" s="11">
        <f>IF(AND(L233&lt;&gt;"", S233&lt;&gt;""), S233-L233, IF(L233&lt;&gt;"", TODAY()-L233, ""))</f>
        <v/>
      </c>
      <c r="Z233" s="7">
        <f>IF(Y233="", "", IF(Y233&lt;=3, "NO PRAZO", "ATRASADO"))</f>
        <v/>
      </c>
      <c r="AA233" s="8" t="inlineStr">
        <is>
          <t>100% - OK</t>
        </is>
      </c>
    </row>
    <row r="234" ht="20" customHeight="1">
      <c r="A234" s="7" t="inlineStr">
        <is>
          <t>RSCLER0232</t>
        </is>
      </c>
      <c r="B234" s="8" t="inlineStr">
        <is>
          <t>PORTO ALEGRE</t>
        </is>
      </c>
      <c r="C234" s="7" t="inlineStr">
        <is>
          <t>RBTAB</t>
        </is>
      </c>
      <c r="D234" s="7" t="inlineStr"/>
      <c r="E234" s="7" t="inlineStr"/>
      <c r="F234" s="8" t="inlineStr">
        <is>
          <t>RESIDENCIAL PORTO LAÇADOR</t>
        </is>
      </c>
      <c r="G234" s="8" t="inlineStr">
        <is>
          <t>RUA ADA VAZ CABEDA, 340</t>
        </is>
      </c>
      <c r="H234" s="7" t="inlineStr"/>
      <c r="I234" s="8" t="inlineStr">
        <is>
          <t>FOI LANÇADO 430 METROS DE CABO DE 12FO, 1 ABERTURA E FECHAMENTO, 1 CX NOVA, 2 DERIVAÇÃO, 8 FUSÕES, 4 TESTES</t>
        </is>
      </c>
      <c r="J234" s="8" t="inlineStr">
        <is>
          <t>THIAGO</t>
        </is>
      </c>
      <c r="K234" s="8" t="inlineStr">
        <is>
          <t>MARCOS EMILIANO</t>
        </is>
      </c>
      <c r="L234" s="9" t="n">
        <v>45369</v>
      </c>
      <c r="M234" s="9" t="n">
        <v>45370</v>
      </c>
      <c r="N234" s="9" t="n">
        <v>45370</v>
      </c>
      <c r="O234" s="9" t="n">
        <v>45370</v>
      </c>
      <c r="P234" s="7" t="inlineStr">
        <is>
          <t>NÃO PRECISA</t>
        </is>
      </c>
      <c r="Q234" s="9" t="n">
        <v>45377</v>
      </c>
      <c r="R234" s="7" t="inlineStr">
        <is>
          <t>Concluído Campo</t>
        </is>
      </c>
      <c r="S234" s="9" t="n">
        <v>45381</v>
      </c>
      <c r="T234" s="10" t="inlineStr"/>
      <c r="U234" s="7" t="inlineStr">
        <is>
          <t>3976022</t>
        </is>
      </c>
      <c r="V234" s="7" t="inlineStr">
        <is>
          <t>FINALIZADO</t>
        </is>
      </c>
      <c r="W234" s="7" t="inlineStr"/>
      <c r="X234" s="7" t="inlineStr">
        <is>
          <t>MEDIÇÃO CONCLUÍDA</t>
        </is>
      </c>
      <c r="Y234" s="11">
        <f>IF(AND(L234&lt;&gt;"", S234&lt;&gt;""), S234-L234, IF(L234&lt;&gt;"", TODAY()-L234, ""))</f>
        <v/>
      </c>
      <c r="Z234" s="7">
        <f>IF(Y234="", "", IF(Y234&lt;=3, "NO PRAZO", "ATRASADO"))</f>
        <v/>
      </c>
      <c r="AA234" s="8" t="inlineStr">
        <is>
          <t>100% - OK</t>
        </is>
      </c>
    </row>
    <row r="235" ht="20" customHeight="1">
      <c r="A235" s="7" t="inlineStr">
        <is>
          <t>RSCLER0233</t>
        </is>
      </c>
      <c r="B235" s="8" t="inlineStr">
        <is>
          <t>CANOAS</t>
        </is>
      </c>
      <c r="C235" s="7" t="inlineStr">
        <is>
          <t>CNTAA</t>
        </is>
      </c>
      <c r="D235" s="7" t="inlineStr"/>
      <c r="E235" s="7" t="inlineStr"/>
      <c r="F235" s="8" t="inlineStr">
        <is>
          <t>CONDOMÍNIO SENSE  CANOAS</t>
        </is>
      </c>
      <c r="G235" s="8" t="inlineStr">
        <is>
          <t>Rua Carlos Drumond de Andrade, 188</t>
        </is>
      </c>
      <c r="H235" s="7" t="inlineStr"/>
      <c r="I235" s="8" t="inlineStr">
        <is>
          <t>FOI LANÇADO 115 METROS DE CABO DE 24FO DA 111 ATÉ A 111.M020, FOI LANÇADO 270 METROS DE CABO DE 8 VIAS, 3 ABERTURA E FECHAMENTO, 3 DERIVAÇÃO, 9 FUSÕES,  1 CX NOVA, 3 TESTE.</t>
        </is>
      </c>
      <c r="J235" s="8" t="inlineStr">
        <is>
          <t>THIAGO</t>
        </is>
      </c>
      <c r="K235" s="8" t="inlineStr">
        <is>
          <t>MARCOS EMILIANO</t>
        </is>
      </c>
      <c r="L235" s="9" t="n">
        <v>45373</v>
      </c>
      <c r="M235" s="9" t="n">
        <v>45376</v>
      </c>
      <c r="N235" s="9" t="n">
        <v>45378</v>
      </c>
      <c r="O235" s="9" t="n">
        <v>45378</v>
      </c>
      <c r="P235" s="7" t="inlineStr">
        <is>
          <t>NÃO PRECISA</t>
        </is>
      </c>
      <c r="Q235" s="9" t="n">
        <v>45405</v>
      </c>
      <c r="R235" s="7" t="inlineStr">
        <is>
          <t>Concluído Campo</t>
        </is>
      </c>
      <c r="S235" s="9" t="n">
        <v>45378</v>
      </c>
      <c r="T235" s="10" t="inlineStr"/>
      <c r="U235" s="7" t="inlineStr">
        <is>
          <t>3976022</t>
        </is>
      </c>
      <c r="V235" s="7" t="inlineStr">
        <is>
          <t>FINALIZADO</t>
        </is>
      </c>
      <c r="W235" s="7" t="inlineStr"/>
      <c r="X235" s="7" t="inlineStr">
        <is>
          <t>MEDIÇÃO CONCLUÍDA</t>
        </is>
      </c>
      <c r="Y235" s="11">
        <f>IF(AND(L235&lt;&gt;"", S235&lt;&gt;""), S235-L235, IF(L235&lt;&gt;"", TODAY()-L235, ""))</f>
        <v/>
      </c>
      <c r="Z235" s="7">
        <f>IF(Y235="", "", IF(Y235&lt;=3, "NO PRAZO", "ATRASADO"))</f>
        <v/>
      </c>
      <c r="AA235" s="8" t="inlineStr">
        <is>
          <t>100% - OK</t>
        </is>
      </c>
    </row>
    <row r="236" ht="20" customHeight="1">
      <c r="A236" s="7" t="inlineStr">
        <is>
          <t>RSCLER0234</t>
        </is>
      </c>
      <c r="B236" s="8" t="inlineStr">
        <is>
          <t>PORTO ALEGRE</t>
        </is>
      </c>
      <c r="C236" s="7" t="inlineStr">
        <is>
          <t>MTSAA</t>
        </is>
      </c>
      <c r="D236" s="7" t="inlineStr"/>
      <c r="E236" s="7" t="inlineStr"/>
      <c r="F236" s="8" t="inlineStr">
        <is>
          <t>Pq Porto Las Palmas</t>
        </is>
      </c>
      <c r="G236" s="8" t="inlineStr">
        <is>
          <t>Tv Esporte Clube Cruzeiro 200</t>
        </is>
      </c>
      <c r="H236" s="7" t="inlineStr"/>
      <c r="I236" s="8" t="inlineStr">
        <is>
          <t>FOI LANÇADO 365 METROS DE CABO DE 8VIAS, 1 ABERTURA E FECHAMENTO, 1 CX NOVA, 6 FUSÕES, 2 DERIVAÇÕES</t>
        </is>
      </c>
      <c r="J236" s="8" t="inlineStr">
        <is>
          <t>THIAGO</t>
        </is>
      </c>
      <c r="K236" s="8" t="inlineStr">
        <is>
          <t>MARCOS EMILIANO</t>
        </is>
      </c>
      <c r="L236" s="9" t="n">
        <v>45373</v>
      </c>
      <c r="M236" s="9" t="n">
        <v>45377</v>
      </c>
      <c r="N236" s="9" t="n">
        <v>45382</v>
      </c>
      <c r="O236" s="9" t="n">
        <v>45384</v>
      </c>
      <c r="P236" s="7" t="inlineStr">
        <is>
          <t>NÃO PRECISA</t>
        </is>
      </c>
      <c r="Q236" s="9" t="n">
        <v>45405</v>
      </c>
      <c r="R236" s="7" t="inlineStr">
        <is>
          <t>Concluído Campo</t>
        </is>
      </c>
      <c r="S236" s="9" t="n">
        <v>45382</v>
      </c>
      <c r="T236" s="10" t="inlineStr"/>
      <c r="U236" s="7" t="inlineStr">
        <is>
          <t>3976022</t>
        </is>
      </c>
      <c r="V236" s="7" t="inlineStr">
        <is>
          <t>FINALIZADO</t>
        </is>
      </c>
      <c r="W236" s="7" t="inlineStr"/>
      <c r="X236" s="7" t="inlineStr">
        <is>
          <t>MEDIÇÃO CONCLUÍDA</t>
        </is>
      </c>
      <c r="Y236" s="11">
        <f>IF(AND(L236&lt;&gt;"", S236&lt;&gt;""), S236-L236, IF(L236&lt;&gt;"", TODAY()-L236, ""))</f>
        <v/>
      </c>
      <c r="Z236" s="7">
        <f>IF(Y236="", "", IF(Y236&lt;=3, "NO PRAZO", "ATRASADO"))</f>
        <v/>
      </c>
      <c r="AA236" s="8" t="inlineStr">
        <is>
          <t>100% - OK</t>
        </is>
      </c>
    </row>
    <row r="237" ht="20" customHeight="1">
      <c r="A237" s="7" t="inlineStr">
        <is>
          <t>RSCLER0235</t>
        </is>
      </c>
      <c r="B237" s="8" t="inlineStr">
        <is>
          <t>PORTO ALEGRE</t>
        </is>
      </c>
      <c r="C237" s="7" t="inlineStr">
        <is>
          <t>RBTAA</t>
        </is>
      </c>
      <c r="D237" s="7" t="inlineStr"/>
      <c r="E237" s="7" t="inlineStr"/>
      <c r="F237" s="8" t="inlineStr">
        <is>
          <t>Cond Edifício Rosa dos Ventos II</t>
        </is>
      </c>
      <c r="G237" s="8" t="inlineStr">
        <is>
          <t>Av Sarandi, 905</t>
        </is>
      </c>
      <c r="H237" s="7" t="inlineStr"/>
      <c r="I237" s="8" t="inlineStr">
        <is>
          <t>FOI LANÇADO 70 METROS DE CABO DE 8VIAS, 2 ABERTURA E FECHAMENTO, 4 FUSÃO, 1 DERIVAÇÃO, 1 CX NOVA, 2 TESTE</t>
        </is>
      </c>
      <c r="J237" s="8" t="inlineStr">
        <is>
          <t>THIAGO</t>
        </is>
      </c>
      <c r="K237" s="8" t="inlineStr">
        <is>
          <t>MARCOS EMILIANO</t>
        </is>
      </c>
      <c r="L237" s="9" t="n">
        <v>45376</v>
      </c>
      <c r="M237" s="9" t="n">
        <v>45377</v>
      </c>
      <c r="N237" s="9" t="n">
        <v>45382</v>
      </c>
      <c r="O237" s="9" t="n">
        <v>45382</v>
      </c>
      <c r="P237" s="7" t="inlineStr">
        <is>
          <t>NÃO PRECISA</t>
        </is>
      </c>
      <c r="Q237" s="9" t="n">
        <v>45405</v>
      </c>
      <c r="R237" s="7" t="inlineStr">
        <is>
          <t>Concluído Campo</t>
        </is>
      </c>
      <c r="S237" s="9" t="n">
        <v>45382</v>
      </c>
      <c r="T237" s="10" t="inlineStr"/>
      <c r="U237" s="7" t="inlineStr">
        <is>
          <t>3976022</t>
        </is>
      </c>
      <c r="V237" s="7" t="inlineStr">
        <is>
          <t>FINALIZADO</t>
        </is>
      </c>
      <c r="W237" s="7" t="inlineStr"/>
      <c r="X237" s="7" t="inlineStr">
        <is>
          <t>MEDIÇÃO CONCLUÍDA</t>
        </is>
      </c>
      <c r="Y237" s="11">
        <f>IF(AND(L237&lt;&gt;"", S237&lt;&gt;""), S237-L237, IF(L237&lt;&gt;"", TODAY()-L237, ""))</f>
        <v/>
      </c>
      <c r="Z237" s="7">
        <f>IF(Y237="", "", IF(Y237&lt;=3, "NO PRAZO", "ATRASADO"))</f>
        <v/>
      </c>
      <c r="AA237" s="8" t="inlineStr">
        <is>
          <t>100% - OK</t>
        </is>
      </c>
    </row>
    <row r="238" ht="20" customHeight="1">
      <c r="A238" s="7" t="inlineStr">
        <is>
          <t>RSCLER0236</t>
        </is>
      </c>
      <c r="B238" s="8" t="inlineStr">
        <is>
          <t>CANOAS</t>
        </is>
      </c>
      <c r="C238" s="7" t="inlineStr">
        <is>
          <t>CNTAA</t>
        </is>
      </c>
      <c r="D238" s="7" t="inlineStr"/>
      <c r="E238" s="7" t="inlineStr"/>
      <c r="F238" s="8" t="inlineStr">
        <is>
          <t>Residencial Hemingway</t>
        </is>
      </c>
      <c r="G238" s="8" t="inlineStr">
        <is>
          <t>Rua Guilherme Morsh, 111</t>
        </is>
      </c>
      <c r="H238" s="7" t="inlineStr"/>
      <c r="I238" s="8" t="inlineStr">
        <is>
          <t>FOI LANÇADO 260 METROS DE CABO DE 8 VIAS, 2 ABERTURA E FECHAMENTO, 1 DERIVAÇÃO, 8 FUSÕES, 4 TESTE</t>
        </is>
      </c>
      <c r="J238" s="8" t="inlineStr">
        <is>
          <t>THIAGO</t>
        </is>
      </c>
      <c r="K238" s="8" t="inlineStr">
        <is>
          <t>MARCOS EMILIANO</t>
        </is>
      </c>
      <c r="L238" s="9" t="n">
        <v>45376</v>
      </c>
      <c r="M238" s="9" t="n">
        <v>45376</v>
      </c>
      <c r="N238" s="9" t="n">
        <v>45377</v>
      </c>
      <c r="O238" s="9" t="n">
        <v>45378</v>
      </c>
      <c r="P238" s="7" t="inlineStr">
        <is>
          <t>NÃO PRECISA</t>
        </is>
      </c>
      <c r="Q238" s="9" t="n">
        <v>45405</v>
      </c>
      <c r="R238" s="7" t="inlineStr">
        <is>
          <t>Concluído Campo</t>
        </is>
      </c>
      <c r="S238" s="9" t="n">
        <v>45404</v>
      </c>
      <c r="T238" s="10" t="inlineStr"/>
      <c r="U238" s="7" t="inlineStr">
        <is>
          <t>3976068</t>
        </is>
      </c>
      <c r="V238" s="7" t="inlineStr">
        <is>
          <t>FINALIZADO</t>
        </is>
      </c>
      <c r="W238" s="7" t="inlineStr"/>
      <c r="X238" s="7" t="inlineStr">
        <is>
          <t>MEDIÇÃO CONCLUÍDA</t>
        </is>
      </c>
      <c r="Y238" s="11">
        <f>IF(AND(L238&lt;&gt;"", S238&lt;&gt;""), S238-L238, IF(L238&lt;&gt;"", TODAY()-L238, ""))</f>
        <v/>
      </c>
      <c r="Z238" s="7">
        <f>IF(Y238="", "", IF(Y238&lt;=3, "NO PRAZO", "ATRASADO"))</f>
        <v/>
      </c>
      <c r="AA238" s="8" t="inlineStr">
        <is>
          <t>100% - OK</t>
        </is>
      </c>
    </row>
    <row r="239" ht="20" customHeight="1">
      <c r="A239" s="7" t="inlineStr">
        <is>
          <t>RSCLER0237</t>
        </is>
      </c>
      <c r="B239" s="8" t="inlineStr">
        <is>
          <t>PORTO ALEGRE</t>
        </is>
      </c>
      <c r="C239" s="7" t="inlineStr">
        <is>
          <t>TRZAA</t>
        </is>
      </c>
      <c r="D239" s="7" t="inlineStr"/>
      <c r="E239" s="7" t="inlineStr"/>
      <c r="F239" s="8" t="inlineStr">
        <is>
          <t>Condomínio Altos da Chácara</t>
        </is>
      </c>
      <c r="G239" s="8" t="inlineStr">
        <is>
          <t>Rua Pe. João Batista Reus, 173</t>
        </is>
      </c>
      <c r="H239" s="7" t="inlineStr"/>
      <c r="I239" s="8" t="inlineStr">
        <is>
          <t>3 ABERTURA E FECHAMENTO, 5 FUSÕES, 3 TESTE</t>
        </is>
      </c>
      <c r="J239" s="8" t="inlineStr"/>
      <c r="K239" s="8" t="inlineStr">
        <is>
          <t>MARCOS EMILIANO</t>
        </is>
      </c>
      <c r="L239" s="9" t="n">
        <v>45377</v>
      </c>
      <c r="M239" s="7" t="inlineStr"/>
      <c r="N239" s="9" t="n">
        <v>45378</v>
      </c>
      <c r="O239" s="9" t="n">
        <v>45378</v>
      </c>
      <c r="P239" s="7" t="inlineStr">
        <is>
          <t>NÃO PRECISA</t>
        </is>
      </c>
      <c r="Q239" s="9" t="n">
        <v>45405</v>
      </c>
      <c r="R239" s="7" t="inlineStr">
        <is>
          <t>Concluído Campo</t>
        </is>
      </c>
      <c r="S239" s="9" t="n">
        <v>45404</v>
      </c>
      <c r="T239" s="10" t="inlineStr"/>
      <c r="U239" s="7" t="inlineStr">
        <is>
          <t>3976068</t>
        </is>
      </c>
      <c r="V239" s="7" t="inlineStr">
        <is>
          <t>FINALIZADO</t>
        </is>
      </c>
      <c r="W239" s="7" t="inlineStr"/>
      <c r="X239" s="7" t="inlineStr">
        <is>
          <t>MEDIÇÃO CONCLUÍDA</t>
        </is>
      </c>
      <c r="Y239" s="11">
        <f>IF(AND(L239&lt;&gt;"", S239&lt;&gt;""), S239-L239, IF(L239&lt;&gt;"", TODAY()-L239, ""))</f>
        <v/>
      </c>
      <c r="Z239" s="7">
        <f>IF(Y239="", "", IF(Y239&lt;=3, "NO PRAZO", "ATRASADO"))</f>
        <v/>
      </c>
      <c r="AA239" s="8" t="inlineStr">
        <is>
          <t>100% - OK</t>
        </is>
      </c>
    </row>
    <row r="240" ht="20" customHeight="1">
      <c r="A240" s="7" t="inlineStr">
        <is>
          <t>RSCLER0238</t>
        </is>
      </c>
      <c r="B240" s="8" t="inlineStr">
        <is>
          <t>NOVO HAMBURGO</t>
        </is>
      </c>
      <c r="C240" s="7" t="inlineStr">
        <is>
          <t>CNTAA</t>
        </is>
      </c>
      <c r="D240" s="7" t="inlineStr"/>
      <c r="E240" s="7" t="inlineStr"/>
      <c r="F240" s="8" t="inlineStr">
        <is>
          <t>Edifício Verona</t>
        </is>
      </c>
      <c r="G240" s="8" t="inlineStr">
        <is>
          <t>Rua Augusto Jung, 80</t>
        </is>
      </c>
      <c r="H240" s="7" t="inlineStr"/>
      <c r="I240" s="8" t="inlineStr">
        <is>
          <t>FOI LANÇADO 153 METROS DE CABO DE 12FO ,2 ABERTURA E FECHAMENTO, 1 DERIVAÇÃO, 1 CX NOVA, 3FUSÃO, 1 TESTE</t>
        </is>
      </c>
      <c r="J240" s="8" t="inlineStr">
        <is>
          <t>GIOVANE</t>
        </is>
      </c>
      <c r="K240" s="8" t="inlineStr">
        <is>
          <t>MARCOS EMILIANO</t>
        </is>
      </c>
      <c r="L240" s="9" t="n">
        <v>45379</v>
      </c>
      <c r="M240" s="9" t="n">
        <v>45379</v>
      </c>
      <c r="N240" s="9" t="n">
        <v>45381</v>
      </c>
      <c r="O240" s="9" t="n">
        <v>45381</v>
      </c>
      <c r="P240" s="7" t="inlineStr">
        <is>
          <t>NÃO PRECISA</t>
        </is>
      </c>
      <c r="Q240" s="9" t="n">
        <v>45405</v>
      </c>
      <c r="R240" s="7" t="inlineStr">
        <is>
          <t>Concluído Campo</t>
        </is>
      </c>
      <c r="S240" s="9" t="n">
        <v>45384</v>
      </c>
      <c r="T240" s="10" t="inlineStr"/>
      <c r="U240" s="7" t="inlineStr">
        <is>
          <t>3976022</t>
        </is>
      </c>
      <c r="V240" s="7" t="inlineStr">
        <is>
          <t>FINALIZADO</t>
        </is>
      </c>
      <c r="W240" s="7" t="inlineStr"/>
      <c r="X240" s="7" t="inlineStr">
        <is>
          <t>MEDIÇÃO CONCLUÍDA</t>
        </is>
      </c>
      <c r="Y240" s="11">
        <f>IF(AND(L240&lt;&gt;"", S240&lt;&gt;""), S240-L240, IF(L240&lt;&gt;"", TODAY()-L240, ""))</f>
        <v/>
      </c>
      <c r="Z240" s="7">
        <f>IF(Y240="", "", IF(Y240&lt;=3, "NO PRAZO", "ATRASADO"))</f>
        <v/>
      </c>
      <c r="AA240" s="8" t="inlineStr">
        <is>
          <t>100% - OK</t>
        </is>
      </c>
    </row>
    <row r="241" ht="20" customHeight="1">
      <c r="A241" s="7" t="inlineStr">
        <is>
          <t>RSCLER0239</t>
        </is>
      </c>
      <c r="B241" s="8" t="inlineStr">
        <is>
          <t>NOVO HAMBURGO</t>
        </is>
      </c>
      <c r="C241" s="7" t="inlineStr">
        <is>
          <t>CNTAA</t>
        </is>
      </c>
      <c r="D241" s="7" t="inlineStr"/>
      <c r="E241" s="7" t="inlineStr"/>
      <c r="F241" s="8" t="inlineStr">
        <is>
          <t>Edifício</t>
        </is>
      </c>
      <c r="G241" s="8" t="inlineStr">
        <is>
          <t>Rua Augusto Jung, 70</t>
        </is>
      </c>
      <c r="H241" s="7" t="inlineStr"/>
      <c r="I241" s="8" t="inlineStr">
        <is>
          <t>3 ABERTURA E FECHAMENTO, 1 SPLITTER NOVO, 7 FUSÃO, 2 TESTE</t>
        </is>
      </c>
      <c r="J241" s="8" t="inlineStr"/>
      <c r="K241" s="8" t="inlineStr">
        <is>
          <t>LUCAS HOBERT</t>
        </is>
      </c>
      <c r="L241" s="9" t="n">
        <v>45379</v>
      </c>
      <c r="M241" s="7" t="inlineStr"/>
      <c r="N241" s="9" t="n">
        <v>45404</v>
      </c>
      <c r="O241" s="9" t="n">
        <v>45404</v>
      </c>
      <c r="P241" s="7" t="inlineStr">
        <is>
          <t>NÃO PRECISA</t>
        </is>
      </c>
      <c r="Q241" s="9" t="n">
        <v>45374</v>
      </c>
      <c r="R241" s="7" t="inlineStr">
        <is>
          <t>Concluído Campo</t>
        </is>
      </c>
      <c r="S241" s="9" t="n">
        <v>45392</v>
      </c>
      <c r="T241" s="10" t="inlineStr"/>
      <c r="U241" s="7" t="inlineStr">
        <is>
          <t>3976022</t>
        </is>
      </c>
      <c r="V241" s="7" t="inlineStr">
        <is>
          <t>FINALIZADO</t>
        </is>
      </c>
      <c r="W241" s="7" t="inlineStr"/>
      <c r="X241" s="7" t="inlineStr">
        <is>
          <t>MEDIÇÃO CONCLUÍDA</t>
        </is>
      </c>
      <c r="Y241" s="11">
        <f>IF(AND(L241&lt;&gt;"", S241&lt;&gt;""), S241-L241, IF(L241&lt;&gt;"", TODAY()-L241, ""))</f>
        <v/>
      </c>
      <c r="Z241" s="7">
        <f>IF(Y241="", "", IF(Y241&lt;=3, "NO PRAZO", "ATRASADO"))</f>
        <v/>
      </c>
      <c r="AA241" s="8" t="inlineStr">
        <is>
          <t>100% - OK</t>
        </is>
      </c>
    </row>
    <row r="242" ht="20" customHeight="1">
      <c r="A242" s="7" t="inlineStr">
        <is>
          <t>RSCLER0240</t>
        </is>
      </c>
      <c r="B242" s="8" t="inlineStr">
        <is>
          <t>NOVO HAMBURGO</t>
        </is>
      </c>
      <c r="C242" s="7" t="inlineStr">
        <is>
          <t>CNTAA</t>
        </is>
      </c>
      <c r="D242" s="7" t="inlineStr"/>
      <c r="E242" s="7" t="inlineStr"/>
      <c r="F242" s="8" t="inlineStr">
        <is>
          <t>Allegro Residencial</t>
        </is>
      </c>
      <c r="G242" s="8" t="inlineStr">
        <is>
          <t>Rua Augusto Jung, 65</t>
        </is>
      </c>
      <c r="H242" s="7" t="inlineStr"/>
      <c r="I242" s="8" t="inlineStr">
        <is>
          <t>3 ABERTURA E FECHAMENTO, 6 FUSÃO, 2 TESTE</t>
        </is>
      </c>
      <c r="J242" s="8" t="inlineStr"/>
      <c r="K242" s="8" t="inlineStr">
        <is>
          <t>LUCAS HOBERT</t>
        </is>
      </c>
      <c r="L242" s="9" t="n">
        <v>45379</v>
      </c>
      <c r="M242" s="7" t="inlineStr"/>
      <c r="N242" s="9" t="n">
        <v>45404</v>
      </c>
      <c r="O242" s="9" t="n">
        <v>45404</v>
      </c>
      <c r="P242" s="7" t="inlineStr">
        <is>
          <t>NÃO PRECISA</t>
        </is>
      </c>
      <c r="Q242" s="9" t="n">
        <v>45374</v>
      </c>
      <c r="R242" s="7" t="inlineStr">
        <is>
          <t>Concluído Campo</t>
        </is>
      </c>
      <c r="S242" s="7" t="inlineStr"/>
      <c r="T242" s="10" t="inlineStr"/>
      <c r="U242" s="7" t="inlineStr"/>
      <c r="V242" s="7" t="inlineStr"/>
      <c r="W242" s="7" t="inlineStr"/>
      <c r="X242" s="7" t="inlineStr">
        <is>
          <t>AG. MEDIÇÃO</t>
        </is>
      </c>
      <c r="Y242" s="11">
        <f>IF(AND(L242&lt;&gt;"", S242&lt;&gt;""), S242-L242, IF(L242&lt;&gt;"", TODAY()-L242, ""))</f>
        <v/>
      </c>
      <c r="Z242" s="7">
        <f>IF(Y242="", "", IF(Y242&lt;=3, "NO PRAZO", "ATRASADO"))</f>
        <v/>
      </c>
      <c r="AA242" s="8" t="inlineStr">
        <is>
          <t>100% - OK</t>
        </is>
      </c>
    </row>
    <row r="243" ht="20" customHeight="1">
      <c r="A243" s="7" t="inlineStr">
        <is>
          <t>RSCLER0241</t>
        </is>
      </c>
      <c r="B243" s="8" t="inlineStr">
        <is>
          <t>PORTO ALEGRE</t>
        </is>
      </c>
      <c r="C243" s="7" t="inlineStr">
        <is>
          <t>SSOAA</t>
        </is>
      </c>
      <c r="D243" s="7" t="inlineStr"/>
      <c r="E243" s="7" t="inlineStr"/>
      <c r="F243" s="8" t="inlineStr">
        <is>
          <t>Cond. Empresarial Harpia</t>
        </is>
      </c>
      <c r="G243" s="8" t="inlineStr">
        <is>
          <t>Sergio Jungblut Dieterich, 604</t>
        </is>
      </c>
      <c r="H243" s="7" t="inlineStr"/>
      <c r="I243" s="8" t="inlineStr">
        <is>
          <t>FOI LANÇADO 517 METROS DE CABO DE 12FO, 2 ABERTURA E FECHAMENTO, 6 FUSÃO, 1 DERIVAÇÃO, 1 CX NOVA 1 TESTE</t>
        </is>
      </c>
      <c r="J243" s="8" t="inlineStr">
        <is>
          <t>UBIRATAN</t>
        </is>
      </c>
      <c r="K243" s="8" t="inlineStr">
        <is>
          <t>MARCOS EMILIANO</t>
        </is>
      </c>
      <c r="L243" s="9" t="n">
        <v>45379</v>
      </c>
      <c r="M243" s="9" t="n">
        <v>45381</v>
      </c>
      <c r="N243" s="9" t="n">
        <v>45381</v>
      </c>
      <c r="O243" s="9" t="n">
        <v>45382</v>
      </c>
      <c r="P243" s="7" t="inlineStr">
        <is>
          <t>NÃO PRECISA</t>
        </is>
      </c>
      <c r="Q243" s="9" t="n">
        <v>45405</v>
      </c>
      <c r="R243" s="7" t="inlineStr">
        <is>
          <t>Concluído Campo</t>
        </is>
      </c>
      <c r="S243" s="9" t="n">
        <v>45386</v>
      </c>
      <c r="T243" s="10" t="inlineStr"/>
      <c r="U243" s="7" t="inlineStr">
        <is>
          <t>3976022</t>
        </is>
      </c>
      <c r="V243" s="7" t="inlineStr">
        <is>
          <t>FINALIZADO</t>
        </is>
      </c>
      <c r="W243" s="7" t="inlineStr"/>
      <c r="X243" s="7" t="inlineStr">
        <is>
          <t>MEDIÇÃO CONCLUÍDA</t>
        </is>
      </c>
      <c r="Y243" s="11">
        <f>IF(AND(L243&lt;&gt;"", S243&lt;&gt;""), S243-L243, IF(L243&lt;&gt;"", TODAY()-L243, ""))</f>
        <v/>
      </c>
      <c r="Z243" s="7">
        <f>IF(Y243="", "", IF(Y243&lt;=3, "NO PRAZO", "ATRASADO"))</f>
        <v/>
      </c>
      <c r="AA243" s="8" t="inlineStr">
        <is>
          <t>100% - OK</t>
        </is>
      </c>
    </row>
    <row r="244" ht="20" customHeight="1">
      <c r="A244" s="7" t="inlineStr">
        <is>
          <t>RSCLER0242</t>
        </is>
      </c>
      <c r="B244" s="8" t="inlineStr">
        <is>
          <t>PORTO ALEGRE</t>
        </is>
      </c>
      <c r="C244" s="7" t="inlineStr">
        <is>
          <t>VJDAB</t>
        </is>
      </c>
      <c r="D244" s="7" t="inlineStr"/>
      <c r="E244" s="7" t="inlineStr"/>
      <c r="F244" s="8" t="inlineStr">
        <is>
          <t>Condomínio Terrabela Planalto</t>
        </is>
      </c>
      <c r="G244" s="8" t="inlineStr">
        <is>
          <t>Rua Tenente Ary Tarrago, 1680</t>
        </is>
      </c>
      <c r="H244" s="7" t="inlineStr"/>
      <c r="I244" s="8" t="inlineStr">
        <is>
          <t>FOI LANÇADO 647 METROS DE CABO DE 12FO, 6 ABERTURA E FECHAMENTO, 20 FUSÃO, 4 DERIVAÇÃO, 2 CX NOVA, ( 1 DE ROMPIMENTO), 4 TESTE</t>
        </is>
      </c>
      <c r="J244" s="8" t="inlineStr">
        <is>
          <t>UBIRATÃ / THIAGO</t>
        </is>
      </c>
      <c r="K244" s="8" t="inlineStr">
        <is>
          <t>PAULO GOMES</t>
        </is>
      </c>
      <c r="L244" s="9" t="n">
        <v>45379</v>
      </c>
      <c r="M244" s="9" t="n">
        <v>45384</v>
      </c>
      <c r="N244" s="9" t="n">
        <v>45392</v>
      </c>
      <c r="O244" s="9" t="n">
        <v>45392</v>
      </c>
      <c r="P244" s="7" t="inlineStr">
        <is>
          <t>NÃO PRECISA</t>
        </is>
      </c>
      <c r="Q244" s="9" t="n">
        <v>45405</v>
      </c>
      <c r="R244" s="7" t="inlineStr">
        <is>
          <t>Concluído Campo</t>
        </is>
      </c>
      <c r="S244" s="9" t="n">
        <v>45386</v>
      </c>
      <c r="T244" s="10" t="inlineStr"/>
      <c r="U244" s="7" t="inlineStr">
        <is>
          <t>3976022</t>
        </is>
      </c>
      <c r="V244" s="7" t="inlineStr">
        <is>
          <t>FINALIZADO</t>
        </is>
      </c>
      <c r="W244" s="7" t="inlineStr"/>
      <c r="X244" s="7" t="inlineStr">
        <is>
          <t>MEDIÇÃO CONCLUÍDA</t>
        </is>
      </c>
      <c r="Y244" s="11">
        <f>IF(AND(L244&lt;&gt;"", S244&lt;&gt;""), S244-L244, IF(L244&lt;&gt;"", TODAY()-L244, ""))</f>
        <v/>
      </c>
      <c r="Z244" s="7">
        <f>IF(Y244="", "", IF(Y244&lt;=3, "NO PRAZO", "ATRASADO"))</f>
        <v/>
      </c>
      <c r="AA244" s="8" t="inlineStr">
        <is>
          <t>100% - OK</t>
        </is>
      </c>
    </row>
    <row r="245" ht="20" customHeight="1">
      <c r="A245" s="7" t="inlineStr">
        <is>
          <t>RSCLER0243</t>
        </is>
      </c>
      <c r="B245" s="8" t="inlineStr">
        <is>
          <t>PORTO ALEGRE</t>
        </is>
      </c>
      <c r="C245" s="7" t="inlineStr">
        <is>
          <t>MTSAA</t>
        </is>
      </c>
      <c r="D245" s="7" t="inlineStr"/>
      <c r="E245" s="7" t="inlineStr"/>
      <c r="F245" s="8" t="inlineStr"/>
      <c r="G245" s="8" t="inlineStr">
        <is>
          <t>AUGUSTO LOUREIRO LIMA, 99,</t>
        </is>
      </c>
      <c r="H245" s="7" t="inlineStr"/>
      <c r="I245" s="8" t="inlineStr">
        <is>
          <t>PARALIZADO PELO APELLANIZ</t>
        </is>
      </c>
      <c r="J245" s="8" t="inlineStr">
        <is>
          <t>UBIRATAN</t>
        </is>
      </c>
      <c r="K245" s="8" t="inlineStr">
        <is>
          <t>MARCOS EMILIANO</t>
        </is>
      </c>
      <c r="L245" s="9" t="n">
        <v>45383</v>
      </c>
      <c r="M245" s="9" t="n">
        <v>45383</v>
      </c>
      <c r="N245" s="7" t="inlineStr"/>
      <c r="O245" s="7" t="inlineStr">
        <is>
          <t>CANCELADO</t>
        </is>
      </c>
      <c r="P245" s="7" t="inlineStr">
        <is>
          <t>Não Precisa</t>
        </is>
      </c>
      <c r="Q245" s="7" t="inlineStr"/>
      <c r="R245" s="7" t="inlineStr">
        <is>
          <t>Cancelado</t>
        </is>
      </c>
      <c r="S245" s="9" t="n">
        <v>45392</v>
      </c>
      <c r="T245" s="10" t="inlineStr"/>
      <c r="U245" s="7" t="inlineStr">
        <is>
          <t>3976022</t>
        </is>
      </c>
      <c r="V245" s="7" t="inlineStr">
        <is>
          <t>FINALIZADO</t>
        </is>
      </c>
      <c r="W245" s="7" t="inlineStr"/>
      <c r="X245" s="7" t="inlineStr">
        <is>
          <t>MEDIÇÃO CONCLUÍDA</t>
        </is>
      </c>
      <c r="Y245" s="11">
        <f>IF(AND(L245&lt;&gt;"", S245&lt;&gt;""), S245-L245, IF(L245&lt;&gt;"", TODAY()-L245, ""))</f>
        <v/>
      </c>
      <c r="Z245" s="7">
        <f>IF(Y245="", "", IF(Y245&lt;=3, "NO PRAZO", "ATRASADO"))</f>
        <v/>
      </c>
      <c r="AA245" s="8" t="inlineStr"/>
    </row>
    <row r="246" ht="20" customHeight="1">
      <c r="A246" s="7" t="inlineStr">
        <is>
          <t>RSCLER0244</t>
        </is>
      </c>
      <c r="B246" s="8" t="inlineStr">
        <is>
          <t>PORTO ALEGRE</t>
        </is>
      </c>
      <c r="C246" s="7" t="inlineStr">
        <is>
          <t>MTSAA</t>
        </is>
      </c>
      <c r="D246" s="7" t="inlineStr"/>
      <c r="E246" s="7" t="inlineStr"/>
      <c r="F246" s="8" t="inlineStr">
        <is>
          <t>Edifício Maison Du Soleil</t>
        </is>
      </c>
      <c r="G246" s="8" t="inlineStr">
        <is>
          <t>AV ITAJAÍ, 496</t>
        </is>
      </c>
      <c r="H246" s="7" t="inlineStr"/>
      <c r="I246" s="8" t="inlineStr">
        <is>
          <t>FOI LANÇADO 712 METROS DE CABO DE 12FO, 4 ABERTURA E FECHAMENTO, 9 FUSÃO, 1 DERIVAÇÃO, 1 CX NOVA, 1 TESTE - FAZER AS BULTS DE JOGADA DE FIBRAS</t>
        </is>
      </c>
      <c r="J246" s="8" t="inlineStr">
        <is>
          <t>UBIRATAN</t>
        </is>
      </c>
      <c r="K246" s="8" t="inlineStr">
        <is>
          <t>MARCOS EMILIANO</t>
        </is>
      </c>
      <c r="L246" s="9" t="n">
        <v>45383</v>
      </c>
      <c r="M246" s="9" t="n">
        <v>45383</v>
      </c>
      <c r="N246" s="9" t="n">
        <v>45384</v>
      </c>
      <c r="O246" s="9" t="n">
        <v>45384</v>
      </c>
      <c r="P246" s="7" t="inlineStr">
        <is>
          <t>NÃO PRECISA</t>
        </is>
      </c>
      <c r="Q246" s="9" t="n">
        <v>45405</v>
      </c>
      <c r="R246" s="7" t="inlineStr">
        <is>
          <t>Concluído Campo</t>
        </is>
      </c>
      <c r="S246" s="9" t="n">
        <v>45386</v>
      </c>
      <c r="T246" s="10" t="inlineStr"/>
      <c r="U246" s="7" t="inlineStr">
        <is>
          <t>3976022</t>
        </is>
      </c>
      <c r="V246" s="7" t="inlineStr">
        <is>
          <t>FINALIZADO</t>
        </is>
      </c>
      <c r="W246" s="7" t="inlineStr"/>
      <c r="X246" s="7" t="inlineStr">
        <is>
          <t>MEDIÇÃO CONCLUÍDA</t>
        </is>
      </c>
      <c r="Y246" s="11">
        <f>IF(AND(L246&lt;&gt;"", S246&lt;&gt;""), S246-L246, IF(L246&lt;&gt;"", TODAY()-L246, ""))</f>
        <v/>
      </c>
      <c r="Z246" s="7">
        <f>IF(Y246="", "", IF(Y246&lt;=3, "NO PRAZO", "ATRASADO"))</f>
        <v/>
      </c>
      <c r="AA246" s="8" t="inlineStr">
        <is>
          <t>100% - OK</t>
        </is>
      </c>
    </row>
    <row r="247" ht="20" customHeight="1">
      <c r="A247" s="7" t="inlineStr">
        <is>
          <t>RSCLER0245</t>
        </is>
      </c>
      <c r="B247" s="8" t="inlineStr">
        <is>
          <t>NOVO HAMBURGO</t>
        </is>
      </c>
      <c r="C247" s="7" t="inlineStr">
        <is>
          <t>CNUAB</t>
        </is>
      </c>
      <c r="D247" s="7" t="inlineStr"/>
      <c r="E247" s="7" t="inlineStr"/>
      <c r="F247" s="8" t="inlineStr">
        <is>
          <t>CNUAB.012.M030</t>
        </is>
      </c>
      <c r="G247" s="8" t="inlineStr">
        <is>
          <t>Rua Bartolomeu de Gusmão 230 e 240</t>
        </is>
      </c>
      <c r="H247" s="7" t="inlineStr">
        <is>
          <t>CNUAB.012.M030</t>
        </is>
      </c>
      <c r="I247" s="8" t="inlineStr">
        <is>
          <t>JÁ ESTAVA CONSTRUÍDO</t>
        </is>
      </c>
      <c r="J247" s="8" t="inlineStr"/>
      <c r="K247" s="8" t="inlineStr">
        <is>
          <t>VINICIUS / RODRIGO</t>
        </is>
      </c>
      <c r="L247" s="9" t="n">
        <v>45384</v>
      </c>
      <c r="M247" s="7" t="inlineStr"/>
      <c r="N247" s="9" t="n">
        <v>45386</v>
      </c>
      <c r="O247" s="9" t="n">
        <v>45386</v>
      </c>
      <c r="P247" s="7" t="inlineStr">
        <is>
          <t>NÃO PRECISA</t>
        </is>
      </c>
      <c r="Q247" s="9" t="n">
        <v>45405</v>
      </c>
      <c r="R247" s="7" t="inlineStr">
        <is>
          <t>Concluído Campo</t>
        </is>
      </c>
      <c r="S247" s="9" t="n">
        <v>45387</v>
      </c>
      <c r="T247" s="10" t="inlineStr"/>
      <c r="U247" s="7" t="inlineStr">
        <is>
          <t>3976022</t>
        </is>
      </c>
      <c r="V247" s="7" t="inlineStr">
        <is>
          <t>FINALIZADO</t>
        </is>
      </c>
      <c r="W247" s="7" t="inlineStr"/>
      <c r="X247" s="7" t="inlineStr">
        <is>
          <t>MEDIÇÃO CONCLUÍDA</t>
        </is>
      </c>
      <c r="Y247" s="11">
        <f>IF(AND(L247&lt;&gt;"", S247&lt;&gt;""), S247-L247, IF(L247&lt;&gt;"", TODAY()-L247, ""))</f>
        <v/>
      </c>
      <c r="Z247" s="7">
        <f>IF(Y247="", "", IF(Y247&lt;=3, "NO PRAZO", "ATRASADO"))</f>
        <v/>
      </c>
      <c r="AA247" s="8" t="inlineStr">
        <is>
          <t>100% - OK</t>
        </is>
      </c>
    </row>
    <row r="248" ht="20" customHeight="1">
      <c r="A248" s="7" t="inlineStr">
        <is>
          <t>RSCLER0246</t>
        </is>
      </c>
      <c r="B248" s="8" t="inlineStr">
        <is>
          <t>NOVO HAMBURGO</t>
        </is>
      </c>
      <c r="C248" s="7" t="inlineStr">
        <is>
          <t>CNUAB</t>
        </is>
      </c>
      <c r="D248" s="7" t="inlineStr"/>
      <c r="E248" s="7" t="inlineStr"/>
      <c r="F248" s="8" t="inlineStr">
        <is>
          <t>CNUAB.013.M020</t>
        </is>
      </c>
      <c r="G248" s="8" t="inlineStr">
        <is>
          <t>Rua Barão de Guaíba 211</t>
        </is>
      </c>
      <c r="H248" s="7" t="inlineStr">
        <is>
          <t>CNUAB.013.M020</t>
        </is>
      </c>
      <c r="I248" s="8" t="inlineStr">
        <is>
          <t>FOI LANÇADO 260 METROS DE CABO DE 12FO, 3 ABERTURA E FECHAMENTO, 1 SPLITTER, 13 FUSÃO, 1 DERIVAÇÃO, 4 TESTE</t>
        </is>
      </c>
      <c r="J248" s="8" t="inlineStr">
        <is>
          <t>MALCOLN</t>
        </is>
      </c>
      <c r="K248" s="8" t="inlineStr">
        <is>
          <t>VINICIUS / TAYLLER</t>
        </is>
      </c>
      <c r="L248" s="9" t="n">
        <v>45384</v>
      </c>
      <c r="M248" s="9" t="n">
        <v>45390</v>
      </c>
      <c r="N248" s="9" t="n">
        <v>45392</v>
      </c>
      <c r="O248" s="9" t="n">
        <v>45392</v>
      </c>
      <c r="P248" s="7" t="inlineStr">
        <is>
          <t>NÃO PRECISA</t>
        </is>
      </c>
      <c r="Q248" s="9" t="n">
        <v>45405</v>
      </c>
      <c r="R248" s="7" t="inlineStr">
        <is>
          <t>Concluído Campo</t>
        </is>
      </c>
      <c r="S248" s="9" t="n">
        <v>45391</v>
      </c>
      <c r="T248" s="10" t="inlineStr"/>
      <c r="U248" s="7" t="inlineStr">
        <is>
          <t>3976022</t>
        </is>
      </c>
      <c r="V248" s="7" t="inlineStr">
        <is>
          <t>FINALIZADO</t>
        </is>
      </c>
      <c r="W248" s="7" t="inlineStr"/>
      <c r="X248" s="7" t="inlineStr">
        <is>
          <t>MEDIÇÃO CONCLUÍDA</t>
        </is>
      </c>
      <c r="Y248" s="11">
        <f>IF(AND(L248&lt;&gt;"", S248&lt;&gt;""), S248-L248, IF(L248&lt;&gt;"", TODAY()-L248, ""))</f>
        <v/>
      </c>
      <c r="Z248" s="7">
        <f>IF(Y248="", "", IF(Y248&lt;=3, "NO PRAZO", "ATRASADO"))</f>
        <v/>
      </c>
      <c r="AA248" s="8" t="inlineStr">
        <is>
          <t>100% - OK</t>
        </is>
      </c>
    </row>
    <row r="249" ht="20" customHeight="1">
      <c r="A249" s="7" t="inlineStr">
        <is>
          <t>RSCLER0247</t>
        </is>
      </c>
      <c r="B249" s="8" t="inlineStr">
        <is>
          <t>NOVO HAMBURGO</t>
        </is>
      </c>
      <c r="C249" s="7" t="inlineStr">
        <is>
          <t>CNTAA</t>
        </is>
      </c>
      <c r="D249" s="7" t="inlineStr"/>
      <c r="E249" s="7" t="inlineStr"/>
      <c r="F249" s="8" t="inlineStr">
        <is>
          <t>CNTAA.119.M030</t>
        </is>
      </c>
      <c r="G249" s="8" t="inlineStr">
        <is>
          <t>Rua Lavras do Sul 1 NHO</t>
        </is>
      </c>
      <c r="H249" s="7" t="inlineStr">
        <is>
          <t>CNTAA.119.M030</t>
        </is>
      </c>
      <c r="I249" s="8" t="inlineStr">
        <is>
          <t>2 ABERTURA E FECHAMENTO, 3 FUSÃO, 3 TESTE</t>
        </is>
      </c>
      <c r="J249" s="8" t="inlineStr"/>
      <c r="K249" s="8" t="inlineStr">
        <is>
          <t>VINICIUS / RODRIGO</t>
        </is>
      </c>
      <c r="L249" s="9" t="n">
        <v>45384</v>
      </c>
      <c r="M249" s="7" t="inlineStr"/>
      <c r="N249" s="9" t="n">
        <v>45386</v>
      </c>
      <c r="O249" s="9" t="n">
        <v>45386</v>
      </c>
      <c r="P249" s="7" t="inlineStr">
        <is>
          <t>NÃO PRECISA</t>
        </is>
      </c>
      <c r="Q249" s="9" t="n">
        <v>45405</v>
      </c>
      <c r="R249" s="7" t="inlineStr">
        <is>
          <t>Concluído Campo</t>
        </is>
      </c>
      <c r="S249" s="9" t="n">
        <v>45391</v>
      </c>
      <c r="T249" s="10" t="inlineStr"/>
      <c r="U249" s="7" t="inlineStr">
        <is>
          <t>3976022</t>
        </is>
      </c>
      <c r="V249" s="7" t="inlineStr">
        <is>
          <t>FINALIZADO</t>
        </is>
      </c>
      <c r="W249" s="7" t="inlineStr"/>
      <c r="X249" s="7" t="inlineStr">
        <is>
          <t>MEDIÇÃO CONCLUÍDA</t>
        </is>
      </c>
      <c r="Y249" s="11">
        <f>IF(AND(L249&lt;&gt;"", S249&lt;&gt;""), S249-L249, IF(L249&lt;&gt;"", TODAY()-L249, ""))</f>
        <v/>
      </c>
      <c r="Z249" s="7">
        <f>IF(Y249="", "", IF(Y249&lt;=3, "NO PRAZO", "ATRASADO"))</f>
        <v/>
      </c>
      <c r="AA249" s="8" t="inlineStr">
        <is>
          <t>100% - OK</t>
        </is>
      </c>
    </row>
    <row r="250" ht="20" customHeight="1">
      <c r="A250" s="7" t="inlineStr">
        <is>
          <t>RSCLER0248</t>
        </is>
      </c>
      <c r="B250" s="8" t="inlineStr">
        <is>
          <t>PORTO ALEGRE</t>
        </is>
      </c>
      <c r="C250" s="7" t="inlineStr">
        <is>
          <t>JITAB</t>
        </is>
      </c>
      <c r="D250" s="7" t="inlineStr"/>
      <c r="E250" s="7" t="inlineStr"/>
      <c r="F250" s="8" t="inlineStr">
        <is>
          <t>Condomínio Cascais</t>
        </is>
      </c>
      <c r="G250" s="8" t="inlineStr">
        <is>
          <t>Avenida Cascais, 99</t>
        </is>
      </c>
      <c r="H250" s="7" t="inlineStr">
        <is>
          <t>CNUAB.013.M020.</t>
        </is>
      </c>
      <c r="I250" s="8" t="inlineStr">
        <is>
          <t>FOI LANÇADO 721 METROS DE CABO DE 12 FO, 1 ABERTURA E FECHAMENTO, 1 DERIVAÇÃO, 8 FUSÃO, 1 CX NOVA, 4 TESTE</t>
        </is>
      </c>
      <c r="J250" s="8" t="inlineStr">
        <is>
          <t>THIAGO</t>
        </is>
      </c>
      <c r="K250" s="8" t="inlineStr">
        <is>
          <t>MARCOS EMILIANO</t>
        </is>
      </c>
      <c r="L250" s="9" t="n">
        <v>45384</v>
      </c>
      <c r="M250" s="9" t="n">
        <v>45385</v>
      </c>
      <c r="N250" s="9" t="n">
        <v>45386</v>
      </c>
      <c r="O250" s="9" t="n">
        <v>45386</v>
      </c>
      <c r="P250" s="7" t="inlineStr">
        <is>
          <t>NÃO PRECISA</t>
        </is>
      </c>
      <c r="Q250" s="9" t="n">
        <v>45405</v>
      </c>
      <c r="R250" s="7" t="inlineStr">
        <is>
          <t>Concluído Campo</t>
        </is>
      </c>
      <c r="S250" s="9" t="n">
        <v>45392</v>
      </c>
      <c r="T250" s="10" t="inlineStr"/>
      <c r="U250" s="7" t="inlineStr">
        <is>
          <t>3976022</t>
        </is>
      </c>
      <c r="V250" s="7" t="inlineStr">
        <is>
          <t>FINALIZADO</t>
        </is>
      </c>
      <c r="W250" s="7" t="inlineStr"/>
      <c r="X250" s="7" t="inlineStr">
        <is>
          <t>MEDIÇÃO CONCLUÍDA</t>
        </is>
      </c>
      <c r="Y250" s="11">
        <f>IF(AND(L250&lt;&gt;"", S250&lt;&gt;""), S250-L250, IF(L250&lt;&gt;"", TODAY()-L250, ""))</f>
        <v/>
      </c>
      <c r="Z250" s="7">
        <f>IF(Y250="", "", IF(Y250&lt;=3, "NO PRAZO", "ATRASADO"))</f>
        <v/>
      </c>
      <c r="AA250" s="8" t="inlineStr">
        <is>
          <t>100% - OK</t>
        </is>
      </c>
    </row>
    <row r="251" ht="20" customHeight="1">
      <c r="A251" s="7" t="inlineStr">
        <is>
          <t>RSCLER0249</t>
        </is>
      </c>
      <c r="B251" s="8" t="inlineStr">
        <is>
          <t>PORTO ALEGRE</t>
        </is>
      </c>
      <c r="C251" s="7" t="inlineStr">
        <is>
          <t>MTSAA</t>
        </is>
      </c>
      <c r="D251" s="7" t="inlineStr"/>
      <c r="E251" s="7" t="inlineStr"/>
      <c r="F251" s="8" t="inlineStr">
        <is>
          <t>MAISON MARYLAND</t>
        </is>
      </c>
      <c r="G251" s="8" t="inlineStr">
        <is>
          <t>AV MARILAND 1060</t>
        </is>
      </c>
      <c r="H251" s="7" t="inlineStr"/>
      <c r="I251" s="8" t="inlineStr">
        <is>
          <t>FOI LANÇADO 175 METROS DE CABO DE 12FO, 2 ABERTURA E FECHAMENTO, 1 FUSÃO, 1 DERIVAÇÃO, 1 TESTE, 1 CX NOVA</t>
        </is>
      </c>
      <c r="J251" s="8" t="inlineStr">
        <is>
          <t>THIAGO</t>
        </is>
      </c>
      <c r="K251" s="8" t="inlineStr">
        <is>
          <t>PAULO GOMES</t>
        </is>
      </c>
      <c r="L251" s="9" t="n">
        <v>45384</v>
      </c>
      <c r="M251" s="9" t="n">
        <v>45386</v>
      </c>
      <c r="N251" s="9" t="n">
        <v>45391</v>
      </c>
      <c r="O251" s="9" t="n">
        <v>45391</v>
      </c>
      <c r="P251" s="7" t="inlineStr">
        <is>
          <t>NÃO PRECISA</t>
        </is>
      </c>
      <c r="Q251" s="9" t="n">
        <v>45405</v>
      </c>
      <c r="R251" s="7" t="inlineStr">
        <is>
          <t>Concluído Campo</t>
        </is>
      </c>
      <c r="S251" s="9" t="n">
        <v>45402</v>
      </c>
      <c r="T251" s="10" t="inlineStr"/>
      <c r="U251" s="7" t="inlineStr">
        <is>
          <t>3976068</t>
        </is>
      </c>
      <c r="V251" s="7" t="inlineStr">
        <is>
          <t>FINALIZADO</t>
        </is>
      </c>
      <c r="W251" s="7" t="inlineStr"/>
      <c r="X251" s="7" t="inlineStr">
        <is>
          <t>MEDIÇÃO CONCLUÍDA</t>
        </is>
      </c>
      <c r="Y251" s="11">
        <f>IF(AND(L251&lt;&gt;"", S251&lt;&gt;""), S251-L251, IF(L251&lt;&gt;"", TODAY()-L251, ""))</f>
        <v/>
      </c>
      <c r="Z251" s="7">
        <f>IF(Y251="", "", IF(Y251&lt;=3, "NO PRAZO", "ATRASADO"))</f>
        <v/>
      </c>
      <c r="AA251" s="8" t="inlineStr">
        <is>
          <t>100% - OK</t>
        </is>
      </c>
    </row>
    <row r="252" ht="20" customHeight="1">
      <c r="A252" s="7" t="inlineStr">
        <is>
          <t>RSCLER0250</t>
        </is>
      </c>
      <c r="B252" s="8" t="inlineStr">
        <is>
          <t>PORTO ALEGRE</t>
        </is>
      </c>
      <c r="C252" s="7" t="inlineStr">
        <is>
          <t>VIPAA</t>
        </is>
      </c>
      <c r="D252" s="7" t="inlineStr"/>
      <c r="E252" s="7" t="inlineStr"/>
      <c r="F252" s="8" t="inlineStr">
        <is>
          <t>Condomínio Guarapari</t>
        </is>
      </c>
      <c r="G252" s="8" t="inlineStr">
        <is>
          <t>Rua Alberto Silva, 397</t>
        </is>
      </c>
      <c r="H252" s="7" t="inlineStr"/>
      <c r="I252" s="8" t="inlineStr">
        <is>
          <t>2 ABERTURA E FECHAMENTO, 6 FUSÃO, 1 SPLITTER , 5 TESTE</t>
        </is>
      </c>
      <c r="J252" s="8" t="inlineStr"/>
      <c r="K252" s="8" t="inlineStr">
        <is>
          <t>VINICIUS / FELIPE</t>
        </is>
      </c>
      <c r="L252" s="9" t="n">
        <v>45384</v>
      </c>
      <c r="M252" s="7" t="inlineStr"/>
      <c r="N252" s="9" t="n">
        <v>45387</v>
      </c>
      <c r="O252" s="9" t="n">
        <v>45387</v>
      </c>
      <c r="P252" s="7" t="inlineStr">
        <is>
          <t>NÃO PRECISA</t>
        </is>
      </c>
      <c r="Q252" s="9" t="n">
        <v>45405</v>
      </c>
      <c r="R252" s="7" t="inlineStr">
        <is>
          <t>Concluído Campo</t>
        </is>
      </c>
      <c r="S252" s="9" t="n">
        <v>45402</v>
      </c>
      <c r="T252" s="10" t="inlineStr"/>
      <c r="U252" s="7" t="inlineStr">
        <is>
          <t>3976068</t>
        </is>
      </c>
      <c r="V252" s="7" t="inlineStr">
        <is>
          <t>FINALIZADO</t>
        </is>
      </c>
      <c r="W252" s="7" t="inlineStr"/>
      <c r="X252" s="7" t="inlineStr">
        <is>
          <t>MEDIÇÃO CONCLUÍDA</t>
        </is>
      </c>
      <c r="Y252" s="11">
        <f>IF(AND(L252&lt;&gt;"", S252&lt;&gt;""), S252-L252, IF(L252&lt;&gt;"", TODAY()-L252, ""))</f>
        <v/>
      </c>
      <c r="Z252" s="7">
        <f>IF(Y252="", "", IF(Y252&lt;=3, "NO PRAZO", "ATRASADO"))</f>
        <v/>
      </c>
      <c r="AA252" s="8" t="inlineStr">
        <is>
          <t>100% - OK</t>
        </is>
      </c>
    </row>
    <row r="253" ht="20" customHeight="1">
      <c r="A253" s="7" t="inlineStr">
        <is>
          <t>RSCLER0251</t>
        </is>
      </c>
      <c r="B253" s="8" t="inlineStr">
        <is>
          <t>PORTO ALEGRE</t>
        </is>
      </c>
      <c r="C253" s="7" t="inlineStr">
        <is>
          <t>AZNAA</t>
        </is>
      </c>
      <c r="D253" s="7" t="inlineStr"/>
      <c r="E253" s="7" t="inlineStr"/>
      <c r="F253" s="8" t="inlineStr">
        <is>
          <t>Condomínio Tivoli</t>
        </is>
      </c>
      <c r="G253" s="8" t="inlineStr">
        <is>
          <t>Rua Vicente da Fontoura, 612</t>
        </is>
      </c>
      <c r="H253" s="7" t="inlineStr"/>
      <c r="I253" s="8" t="inlineStr">
        <is>
          <t>3 ABERTURA E FECHAMENTO, 3 FUSÃO, 1 DERIVAÇÃO, 1 TESTE</t>
        </is>
      </c>
      <c r="J253" s="8" t="inlineStr"/>
      <c r="K253" s="8" t="inlineStr">
        <is>
          <t>PAULO GOMES</t>
        </is>
      </c>
      <c r="L253" s="9" t="n">
        <v>45390</v>
      </c>
      <c r="M253" s="7" t="inlineStr"/>
      <c r="N253" s="9" t="n">
        <v>45391</v>
      </c>
      <c r="O253" s="9" t="n">
        <v>45391</v>
      </c>
      <c r="P253" s="7" t="inlineStr">
        <is>
          <t>NÃO PRECISA</t>
        </is>
      </c>
      <c r="Q253" s="9" t="n">
        <v>45405</v>
      </c>
      <c r="R253" s="7" t="inlineStr">
        <is>
          <t>Concluído Campo</t>
        </is>
      </c>
      <c r="S253" s="9" t="n">
        <v>45400</v>
      </c>
      <c r="T253" s="10" t="inlineStr"/>
      <c r="U253" s="7" t="inlineStr">
        <is>
          <t>3976068</t>
        </is>
      </c>
      <c r="V253" s="7" t="inlineStr">
        <is>
          <t>FINALIZADO</t>
        </is>
      </c>
      <c r="W253" s="7" t="inlineStr"/>
      <c r="X253" s="7" t="inlineStr">
        <is>
          <t>MEDIÇÃO CONCLUÍDA</t>
        </is>
      </c>
      <c r="Y253" s="11">
        <f>IF(AND(L253&lt;&gt;"", S253&lt;&gt;""), S253-L253, IF(L253&lt;&gt;"", TODAY()-L253, ""))</f>
        <v/>
      </c>
      <c r="Z253" s="7">
        <f>IF(Y253="", "", IF(Y253&lt;=3, "NO PRAZO", "ATRASADO"))</f>
        <v/>
      </c>
      <c r="AA253" s="8" t="inlineStr">
        <is>
          <t>100% - OK</t>
        </is>
      </c>
    </row>
    <row r="254" ht="20" customHeight="1">
      <c r="A254" s="7" t="inlineStr">
        <is>
          <t>RSCLER0252</t>
        </is>
      </c>
      <c r="B254" s="8" t="inlineStr">
        <is>
          <t>PORTO ALEGRE</t>
        </is>
      </c>
      <c r="C254" s="7" t="inlineStr">
        <is>
          <t>CTLAA</t>
        </is>
      </c>
      <c r="D254" s="7" t="inlineStr">
        <is>
          <t>CMQAN</t>
        </is>
      </c>
      <c r="E254" s="7" t="inlineStr">
        <is>
          <t>RSPSU07</t>
        </is>
      </c>
      <c r="F254" s="8" t="inlineStr">
        <is>
          <t>Edifício Terrazas Mirador</t>
        </is>
      </c>
      <c r="G254" s="8" t="inlineStr">
        <is>
          <t>Rua Diário de Notícias, 1555</t>
        </is>
      </c>
      <c r="H254" s="7" t="inlineStr">
        <is>
          <t>CTLAA.107.M060</t>
        </is>
      </c>
      <c r="I254" s="8" t="inlineStr">
        <is>
          <t>FOI LANÇADO 800 METROS DE CABO DE 12FO, 3 ABERTURA E FECHAMENTO, 1 DERIVAÇÃO, 2 FUSÃO, 1 TESTE</t>
        </is>
      </c>
      <c r="J254" s="8" t="inlineStr">
        <is>
          <t>THIAGO</t>
        </is>
      </c>
      <c r="K254" s="8" t="inlineStr">
        <is>
          <t>DIOGO / MARCOS EMILIANO</t>
        </is>
      </c>
      <c r="L254" s="9" t="n">
        <v>45391</v>
      </c>
      <c r="M254" s="9" t="n">
        <v>45392</v>
      </c>
      <c r="N254" s="9" t="n">
        <v>45394</v>
      </c>
      <c r="O254" s="9" t="n">
        <v>45402</v>
      </c>
      <c r="P254" s="7" t="inlineStr">
        <is>
          <t>NÃO PRECISA</t>
        </is>
      </c>
      <c r="Q254" s="9" t="n">
        <v>45405</v>
      </c>
      <c r="R254" s="7" t="inlineStr">
        <is>
          <t>Concluído Campo</t>
        </is>
      </c>
      <c r="S254" s="9" t="n">
        <v>45400</v>
      </c>
      <c r="T254" s="10" t="inlineStr"/>
      <c r="U254" s="7" t="inlineStr">
        <is>
          <t>3976068</t>
        </is>
      </c>
      <c r="V254" s="7" t="inlineStr">
        <is>
          <t>FINALIZADO</t>
        </is>
      </c>
      <c r="W254" s="7" t="inlineStr"/>
      <c r="X254" s="7" t="inlineStr">
        <is>
          <t>MEDIÇÃO CONCLUÍDA</t>
        </is>
      </c>
      <c r="Y254" s="11">
        <f>IF(AND(L254&lt;&gt;"", S254&lt;&gt;""), S254-L254, IF(L254&lt;&gt;"", TODAY()-L254, ""))</f>
        <v/>
      </c>
      <c r="Z254" s="7">
        <f>IF(Y254="", "", IF(Y254&lt;=3, "NO PRAZO", "ATRASADO"))</f>
        <v/>
      </c>
      <c r="AA254" s="8" t="inlineStr">
        <is>
          <t>100% - OK</t>
        </is>
      </c>
    </row>
    <row r="255" ht="20" customHeight="1">
      <c r="A255" s="7" t="inlineStr">
        <is>
          <t>RSCLER0253</t>
        </is>
      </c>
      <c r="B255" s="8" t="inlineStr">
        <is>
          <t>PORTO ALEGRE</t>
        </is>
      </c>
      <c r="C255" s="7" t="inlineStr">
        <is>
          <t>CTLAA</t>
        </is>
      </c>
      <c r="D255" s="7" t="inlineStr">
        <is>
          <t>CMQAN</t>
        </is>
      </c>
      <c r="E255" s="7" t="inlineStr">
        <is>
          <t>RSPSU07</t>
        </is>
      </c>
      <c r="F255" s="8" t="inlineStr">
        <is>
          <t>Condomínio Edifício Garden Place Cristal</t>
        </is>
      </c>
      <c r="G255" s="8" t="inlineStr">
        <is>
          <t>Rua Diário de Notícias, 1625</t>
        </is>
      </c>
      <c r="H255" s="7" t="inlineStr">
        <is>
          <t>CTLAA.107.M060.</t>
        </is>
      </c>
      <c r="I255" s="8" t="inlineStr">
        <is>
          <t>3 ABERTURA E FECHAMENTO, 2 FUSÃO , 1 TESTE</t>
        </is>
      </c>
      <c r="J255" s="8" t="inlineStr"/>
      <c r="K255" s="8" t="inlineStr">
        <is>
          <t>DIOGO / MARCOS EMILIANO</t>
        </is>
      </c>
      <c r="L255" s="9" t="n">
        <v>45391</v>
      </c>
      <c r="M255" s="7" t="inlineStr"/>
      <c r="N255" s="9" t="n">
        <v>45394</v>
      </c>
      <c r="O255" s="9" t="n">
        <v>45402</v>
      </c>
      <c r="P255" s="7" t="inlineStr">
        <is>
          <t>NÃO PRECISA</t>
        </is>
      </c>
      <c r="Q255" s="9" t="n">
        <v>45405</v>
      </c>
      <c r="R255" s="7" t="inlineStr">
        <is>
          <t>Concluído Campo</t>
        </is>
      </c>
      <c r="S255" s="9" t="n">
        <v>45398</v>
      </c>
      <c r="T255" s="10" t="inlineStr"/>
      <c r="U255" s="7" t="inlineStr">
        <is>
          <t>3976022</t>
        </is>
      </c>
      <c r="V255" s="7" t="inlineStr">
        <is>
          <t>FINALIZADO</t>
        </is>
      </c>
      <c r="W255" s="7" t="inlineStr"/>
      <c r="X255" s="7" t="inlineStr">
        <is>
          <t>MEDIÇÃO CONCLUÍDA</t>
        </is>
      </c>
      <c r="Y255" s="11">
        <f>IF(AND(L255&lt;&gt;"", S255&lt;&gt;""), S255-L255, IF(L255&lt;&gt;"", TODAY()-L255, ""))</f>
        <v/>
      </c>
      <c r="Z255" s="7">
        <f>IF(Y255="", "", IF(Y255&lt;=3, "NO PRAZO", "ATRASADO"))</f>
        <v/>
      </c>
      <c r="AA255" s="8" t="inlineStr">
        <is>
          <t>100% - OK</t>
        </is>
      </c>
    </row>
    <row r="256" ht="20" customHeight="1">
      <c r="A256" s="7" t="inlineStr">
        <is>
          <t>RSCLER0254</t>
        </is>
      </c>
      <c r="B256" s="8" t="inlineStr">
        <is>
          <t>PORTO ALEGRE</t>
        </is>
      </c>
      <c r="C256" s="7" t="inlineStr">
        <is>
          <t>MTSAA</t>
        </is>
      </c>
      <c r="D256" s="7" t="inlineStr"/>
      <c r="E256" s="7" t="inlineStr"/>
      <c r="F256" s="8" t="inlineStr">
        <is>
          <t>Condomínio do Edifício Brindisi</t>
        </is>
      </c>
      <c r="G256" s="8" t="inlineStr">
        <is>
          <t>Av. Nilópolis, 473</t>
        </is>
      </c>
      <c r="H256" s="7" t="inlineStr"/>
      <c r="I256" s="8" t="inlineStr">
        <is>
          <t>FOI LANÇADO  105 METROS DE CABO DE 12FO, A TRAVESSIA FOI FEITO AUTO SUSTENTAVÉL, 23 ABERTURA E FECHAMENTO, 2 DERIVAÇÃO 9 FUSÃO, 3 TESTE, 1 CX NOVA</t>
        </is>
      </c>
      <c r="J256" s="8" t="inlineStr">
        <is>
          <t>MALCOLN</t>
        </is>
      </c>
      <c r="K256" s="8" t="inlineStr">
        <is>
          <t>PAULO GOMES / FABIO AMARILIO</t>
        </is>
      </c>
      <c r="L256" s="9" t="n">
        <v>45391</v>
      </c>
      <c r="M256" s="9" t="n">
        <v>45397</v>
      </c>
      <c r="N256" s="9" t="n">
        <v>45397</v>
      </c>
      <c r="O256" s="9" t="n">
        <v>45398</v>
      </c>
      <c r="P256" s="7" t="inlineStr">
        <is>
          <t>NÃO PRECISA</t>
        </is>
      </c>
      <c r="Q256" s="9" t="n">
        <v>45374</v>
      </c>
      <c r="R256" s="7" t="inlineStr">
        <is>
          <t>Concluído Campo</t>
        </is>
      </c>
      <c r="S256" s="9" t="n">
        <v>45397</v>
      </c>
      <c r="T256" s="10" t="inlineStr"/>
      <c r="U256" s="7" t="inlineStr">
        <is>
          <t>3976022</t>
        </is>
      </c>
      <c r="V256" s="7" t="inlineStr">
        <is>
          <t>FINALIZADO</t>
        </is>
      </c>
      <c r="W256" s="7" t="inlineStr"/>
      <c r="X256" s="7" t="inlineStr">
        <is>
          <t>MEDIÇÃO CONCLUÍDA</t>
        </is>
      </c>
      <c r="Y256" s="11">
        <f>IF(AND(L256&lt;&gt;"", S256&lt;&gt;""), S256-L256, IF(L256&lt;&gt;"", TODAY()-L256, ""))</f>
        <v/>
      </c>
      <c r="Z256" s="7">
        <f>IF(Y256="", "", IF(Y256&lt;=3, "NO PRAZO", "ATRASADO"))</f>
        <v/>
      </c>
      <c r="AA256" s="8" t="inlineStr">
        <is>
          <t>100% - OK</t>
        </is>
      </c>
    </row>
    <row r="257" ht="20" customHeight="1">
      <c r="A257" s="7" t="inlineStr">
        <is>
          <t>RSCLER0255</t>
        </is>
      </c>
      <c r="B257" s="8" t="inlineStr">
        <is>
          <t>PORTO ALEGRE</t>
        </is>
      </c>
      <c r="C257" s="7" t="inlineStr">
        <is>
          <t>SANAB</t>
        </is>
      </c>
      <c r="D257" s="7" t="inlineStr"/>
      <c r="E257" s="7" t="inlineStr"/>
      <c r="F257" s="8" t="inlineStr">
        <is>
          <t>Condomínio Edifício Vangard</t>
        </is>
      </c>
      <c r="G257" s="8" t="inlineStr">
        <is>
          <t>Rua São Luis, 662</t>
        </is>
      </c>
      <c r="H257" s="7" t="inlineStr"/>
      <c r="I257" s="8" t="inlineStr">
        <is>
          <t>5 ABERTURA E FECHAMENTO , 4 FUSÃO, 1 TESTE</t>
        </is>
      </c>
      <c r="J257" s="8" t="inlineStr"/>
      <c r="K257" s="8" t="inlineStr">
        <is>
          <t>LUCAS HOBERT</t>
        </is>
      </c>
      <c r="L257" s="9" t="n">
        <v>45392</v>
      </c>
      <c r="M257" s="7" t="inlineStr"/>
      <c r="N257" s="9" t="n">
        <v>45399</v>
      </c>
      <c r="O257" s="9" t="n">
        <v>45400</v>
      </c>
      <c r="P257" s="7" t="inlineStr">
        <is>
          <t>NÃO PRECISA</t>
        </is>
      </c>
      <c r="Q257" s="9" t="n">
        <v>45405</v>
      </c>
      <c r="R257" s="7" t="inlineStr">
        <is>
          <t>Concluído Campo</t>
        </is>
      </c>
      <c r="S257" s="9" t="n">
        <v>45393</v>
      </c>
      <c r="T257" s="10" t="inlineStr"/>
      <c r="U257" s="7" t="inlineStr">
        <is>
          <t>3976022</t>
        </is>
      </c>
      <c r="V257" s="7" t="inlineStr">
        <is>
          <t>FINALIZADO</t>
        </is>
      </c>
      <c r="W257" s="7" t="inlineStr"/>
      <c r="X257" s="7" t="inlineStr">
        <is>
          <t>MEDIÇÃO CONCLUÍDA</t>
        </is>
      </c>
      <c r="Y257" s="11">
        <f>IF(AND(L257&lt;&gt;"", S257&lt;&gt;""), S257-L257, IF(L257&lt;&gt;"", TODAY()-L257, ""))</f>
        <v/>
      </c>
      <c r="Z257" s="7">
        <f>IF(Y257="", "", IF(Y257&lt;=3, "NO PRAZO", "ATRASADO"))</f>
        <v/>
      </c>
      <c r="AA257" s="8" t="inlineStr">
        <is>
          <t>100% - OK</t>
        </is>
      </c>
    </row>
    <row r="258" ht="20" customHeight="1">
      <c r="A258" s="7" t="inlineStr">
        <is>
          <t>RSCLER0256</t>
        </is>
      </c>
      <c r="B258" s="8" t="inlineStr">
        <is>
          <t>PORTO ALEGRE</t>
        </is>
      </c>
      <c r="C258" s="7" t="inlineStr">
        <is>
          <t>SANAA</t>
        </is>
      </c>
      <c r="D258" s="7" t="inlineStr"/>
      <c r="E258" s="7" t="inlineStr"/>
      <c r="F258" s="8" t="inlineStr">
        <is>
          <t>Cond Edifício Residencial Freitas</t>
        </is>
      </c>
      <c r="G258" s="8" t="inlineStr">
        <is>
          <t>Rua Freitas e Castro, 300</t>
        </is>
      </c>
      <c r="H258" s="7" t="inlineStr"/>
      <c r="I258" s="8" t="inlineStr">
        <is>
          <t>2 ABERTURA E FECHAMENTO, 2 FUSÃO, 2 TESTE</t>
        </is>
      </c>
      <c r="J258" s="8" t="inlineStr"/>
      <c r="K258" s="8" t="inlineStr">
        <is>
          <t>FABIO AMARILIO</t>
        </is>
      </c>
      <c r="L258" s="9" t="n">
        <v>45392</v>
      </c>
      <c r="M258" s="7" t="inlineStr"/>
      <c r="N258" s="9" t="n">
        <v>45397</v>
      </c>
      <c r="O258" s="9" t="n">
        <v>45397</v>
      </c>
      <c r="P258" s="7" t="inlineStr">
        <is>
          <t>NÃO PRECISA</t>
        </is>
      </c>
      <c r="Q258" s="9" t="n">
        <v>45405</v>
      </c>
      <c r="R258" s="7" t="inlineStr">
        <is>
          <t>Concluído Campo</t>
        </is>
      </c>
      <c r="S258" s="9" t="n">
        <v>45460</v>
      </c>
      <c r="T258" s="10" t="inlineStr"/>
      <c r="U258" s="7" t="inlineStr">
        <is>
          <t>4096750</t>
        </is>
      </c>
      <c r="V258" s="7" t="inlineStr">
        <is>
          <t>FINALIZADO</t>
        </is>
      </c>
      <c r="W258" s="7" t="inlineStr"/>
      <c r="X258" s="7" t="inlineStr">
        <is>
          <t>MEDIÇÃO CONCLUÍDA</t>
        </is>
      </c>
      <c r="Y258" s="11">
        <f>IF(AND(L258&lt;&gt;"", S258&lt;&gt;""), S258-L258, IF(L258&lt;&gt;"", TODAY()-L258, ""))</f>
        <v/>
      </c>
      <c r="Z258" s="7">
        <f>IF(Y258="", "", IF(Y258&lt;=3, "NO PRAZO", "ATRASADO"))</f>
        <v/>
      </c>
      <c r="AA258" s="8" t="inlineStr">
        <is>
          <t>100% - OK</t>
        </is>
      </c>
    </row>
    <row r="259" ht="20" customHeight="1">
      <c r="A259" s="7" t="inlineStr">
        <is>
          <t>RSCLER0257</t>
        </is>
      </c>
      <c r="B259" s="8" t="inlineStr">
        <is>
          <t>PORTO ALEGRE</t>
        </is>
      </c>
      <c r="C259" s="7" t="inlineStr">
        <is>
          <t>RBRAA</t>
        </is>
      </c>
      <c r="D259" s="7" t="inlineStr"/>
      <c r="E259" s="7" t="inlineStr"/>
      <c r="F259" s="8" t="inlineStr">
        <is>
          <t>NAP lotada</t>
        </is>
      </c>
      <c r="G259" s="8" t="inlineStr">
        <is>
          <t>Rua Cabral, 201</t>
        </is>
      </c>
      <c r="H259" s="7" t="inlineStr"/>
      <c r="I259" s="8" t="inlineStr">
        <is>
          <t>1 ABERTURA E FECHAMENTO, 1 SPLITTER NOVO, 2 FUSÃO, 1 TESTE</t>
        </is>
      </c>
      <c r="J259" s="8" t="inlineStr"/>
      <c r="K259" s="8" t="inlineStr">
        <is>
          <t>LUCAS HOBERT</t>
        </is>
      </c>
      <c r="L259" s="9" t="n">
        <v>45392</v>
      </c>
      <c r="M259" s="9" t="n">
        <v>45393</v>
      </c>
      <c r="N259" s="9" t="n">
        <v>45394</v>
      </c>
      <c r="O259" s="9" t="n">
        <v>45393</v>
      </c>
      <c r="P259" s="7" t="inlineStr">
        <is>
          <t>NÃO PRECISA</t>
        </is>
      </c>
      <c r="Q259" s="9" t="n">
        <v>45374</v>
      </c>
      <c r="R259" s="7" t="inlineStr">
        <is>
          <t>Concluído Campo</t>
        </is>
      </c>
      <c r="S259" s="9" t="n">
        <v>45432</v>
      </c>
      <c r="T259" s="10" t="inlineStr"/>
      <c r="U259" s="7" t="inlineStr">
        <is>
          <t>4039380</t>
        </is>
      </c>
      <c r="V259" s="7" t="inlineStr">
        <is>
          <t>FINALIZADO</t>
        </is>
      </c>
      <c r="W259" s="7" t="inlineStr"/>
      <c r="X259" s="7" t="inlineStr">
        <is>
          <t>MEDIÇÃO CONCLUÍDA</t>
        </is>
      </c>
      <c r="Y259" s="11">
        <f>IF(AND(L259&lt;&gt;"", S259&lt;&gt;""), S259-L259, IF(L259&lt;&gt;"", TODAY()-L259, ""))</f>
        <v/>
      </c>
      <c r="Z259" s="7">
        <f>IF(Y259="", "", IF(Y259&lt;=3, "NO PRAZO", "ATRASADO"))</f>
        <v/>
      </c>
      <c r="AA259" s="8" t="inlineStr">
        <is>
          <t>100% - OK</t>
        </is>
      </c>
    </row>
    <row r="260" ht="20" customHeight="1">
      <c r="A260" s="7" t="inlineStr">
        <is>
          <t>RSCLER0258</t>
        </is>
      </c>
      <c r="B260" s="8" t="inlineStr">
        <is>
          <t>PORTO ALEGRE</t>
        </is>
      </c>
      <c r="C260" s="7" t="inlineStr">
        <is>
          <t>MNDAC</t>
        </is>
      </c>
      <c r="D260" s="7" t="inlineStr"/>
      <c r="E260" s="7" t="inlineStr"/>
      <c r="F260" s="8" t="inlineStr">
        <is>
          <t>Cond Edifício Boulevard Saint James I</t>
        </is>
      </c>
      <c r="G260" s="8" t="inlineStr">
        <is>
          <t>Rua Costa, 361</t>
        </is>
      </c>
      <c r="H260" s="7" t="inlineStr"/>
      <c r="I260" s="8" t="inlineStr">
        <is>
          <t>2 ABERTURA E FECHAMENTO, 6 FUSÃO, 1 DERIVAÇÃO, 3 TESTE</t>
        </is>
      </c>
      <c r="J260" s="8" t="inlineStr"/>
      <c r="K260" s="8" t="inlineStr">
        <is>
          <t>TAYLLER / VINICIUS</t>
        </is>
      </c>
      <c r="L260" s="9" t="n">
        <v>45387</v>
      </c>
      <c r="M260" s="7" t="inlineStr"/>
      <c r="N260" s="9" t="n">
        <v>45392</v>
      </c>
      <c r="O260" s="9" t="n">
        <v>45392</v>
      </c>
      <c r="P260" s="7" t="inlineStr">
        <is>
          <t>NÃO PRECISA</t>
        </is>
      </c>
      <c r="Q260" s="9" t="n">
        <v>45405</v>
      </c>
      <c r="R260" s="7" t="inlineStr">
        <is>
          <t>Concluído Campo</t>
        </is>
      </c>
      <c r="S260" s="9" t="n">
        <v>45402</v>
      </c>
      <c r="T260" s="10" t="inlineStr"/>
      <c r="U260" s="7" t="inlineStr">
        <is>
          <t>3976068</t>
        </is>
      </c>
      <c r="V260" s="7" t="inlineStr">
        <is>
          <t>FINALIZADO</t>
        </is>
      </c>
      <c r="W260" s="7" t="inlineStr"/>
      <c r="X260" s="7" t="inlineStr">
        <is>
          <t>MEDIÇÃO CONCLUÍDA</t>
        </is>
      </c>
      <c r="Y260" s="11">
        <f>IF(AND(L260&lt;&gt;"", S260&lt;&gt;""), S260-L260, IF(L260&lt;&gt;"", TODAY()-L260, ""))</f>
        <v/>
      </c>
      <c r="Z260" s="7">
        <f>IF(Y260="", "", IF(Y260&lt;=3, "NO PRAZO", "ATRASADO"))</f>
        <v/>
      </c>
      <c r="AA260" s="8" t="inlineStr">
        <is>
          <t>100% - OK</t>
        </is>
      </c>
    </row>
    <row r="261" ht="20" customHeight="1">
      <c r="A261" s="7" t="inlineStr">
        <is>
          <t>RSCLER0259</t>
        </is>
      </c>
      <c r="B261" s="8" t="inlineStr">
        <is>
          <t>PORTO ALEGRE</t>
        </is>
      </c>
      <c r="C261" s="7" t="inlineStr">
        <is>
          <t>TRLAA</t>
        </is>
      </c>
      <c r="D261" s="7" t="inlineStr">
        <is>
          <t>MDRAA</t>
        </is>
      </c>
      <c r="E261" s="7" t="inlineStr"/>
      <c r="F261" s="8" t="inlineStr">
        <is>
          <t>Cond Edifício Residencial Porto Pacífico</t>
        </is>
      </c>
      <c r="G261" s="8" t="inlineStr">
        <is>
          <t>Rua Cel. Aparício Borges, 910</t>
        </is>
      </c>
      <c r="H261" s="7" t="inlineStr">
        <is>
          <t>TRLAA.261.M060</t>
        </is>
      </c>
      <c r="I261" s="8" t="inlineStr">
        <is>
          <t>FOI LANÇANDO 195 METROS DE CABO DE 12FO, 2 ABERRTURA E FECHAMENTO, 2 DERIVAÇÃO, 4 FUSÃO, 1 CX NOVA, 2 TESTE</t>
        </is>
      </c>
      <c r="J261" s="8" t="inlineStr">
        <is>
          <t>THIAGO LAMBRETA</t>
        </is>
      </c>
      <c r="K261" s="8" t="inlineStr">
        <is>
          <t>ADRIANO</t>
        </is>
      </c>
      <c r="L261" s="9" t="n">
        <v>45393</v>
      </c>
      <c r="M261" s="9" t="n">
        <v>45450</v>
      </c>
      <c r="N261" s="9" t="n">
        <v>45460</v>
      </c>
      <c r="O261" s="9" t="n">
        <v>45460</v>
      </c>
      <c r="P261" s="7" t="inlineStr">
        <is>
          <t>NÃO PRECISA</t>
        </is>
      </c>
      <c r="Q261" s="9" t="n">
        <v>45469</v>
      </c>
      <c r="R261" s="7" t="inlineStr">
        <is>
          <t>Concluído Campo</t>
        </is>
      </c>
      <c r="S261" s="9" t="n">
        <v>45404</v>
      </c>
      <c r="T261" s="10" t="inlineStr"/>
      <c r="U261" s="7" t="inlineStr">
        <is>
          <t>3976068</t>
        </is>
      </c>
      <c r="V261" s="7" t="inlineStr">
        <is>
          <t>FINALIZADO</t>
        </is>
      </c>
      <c r="W261" s="7" t="inlineStr"/>
      <c r="X261" s="7" t="inlineStr">
        <is>
          <t>MEDIÇÃO CONCLUÍDA</t>
        </is>
      </c>
      <c r="Y261" s="11">
        <f>IF(AND(L261&lt;&gt;"", S261&lt;&gt;""), S261-L261, IF(L261&lt;&gt;"", TODAY()-L261, ""))</f>
        <v/>
      </c>
      <c r="Z261" s="7">
        <f>IF(Y261="", "", IF(Y261&lt;=3, "NO PRAZO", "ATRASADO"))</f>
        <v/>
      </c>
      <c r="AA261" s="8" t="inlineStr">
        <is>
          <t>100% - OK</t>
        </is>
      </c>
    </row>
    <row r="262" ht="20" customHeight="1">
      <c r="A262" s="7" t="inlineStr">
        <is>
          <t>RSCLER0260</t>
        </is>
      </c>
      <c r="B262" s="8" t="inlineStr">
        <is>
          <t>PORTO ALEGRE</t>
        </is>
      </c>
      <c r="C262" s="7" t="inlineStr">
        <is>
          <t>BVSAB</t>
        </is>
      </c>
      <c r="D262" s="7" t="inlineStr"/>
      <c r="E262" s="7" t="inlineStr"/>
      <c r="F262" s="8" t="inlineStr">
        <is>
          <t>Life.Co - Infinita</t>
        </is>
      </c>
      <c r="G262" s="8" t="inlineStr">
        <is>
          <t>R São Mateus 611</t>
        </is>
      </c>
      <c r="H262" s="7" t="inlineStr"/>
      <c r="I262" s="8" t="inlineStr">
        <is>
          <t>FOI LANÇADO 19 METROS DE CABO, 4 ABERTURA E FECHAMENTO, 1 DERIVAÇÃO, 4 FUSÃO, 1 CX NOVA, 2 TESTE</t>
        </is>
      </c>
      <c r="J262" s="8" t="inlineStr">
        <is>
          <t>RICARDO</t>
        </is>
      </c>
      <c r="K262" s="8" t="inlineStr">
        <is>
          <t>RICARDO</t>
        </is>
      </c>
      <c r="L262" s="9" t="n">
        <v>45393</v>
      </c>
      <c r="M262" s="9" t="n">
        <v>45399</v>
      </c>
      <c r="N262" s="9" t="n">
        <v>45432</v>
      </c>
      <c r="O262" s="9" t="n">
        <v>45432</v>
      </c>
      <c r="P262" s="7" t="inlineStr">
        <is>
          <t>NÃO PRECISA</t>
        </is>
      </c>
      <c r="Q262" s="9" t="n">
        <v>45439</v>
      </c>
      <c r="R262" s="7" t="inlineStr">
        <is>
          <t>Concluído Campo</t>
        </is>
      </c>
      <c r="S262" s="9" t="n">
        <v>45402</v>
      </c>
      <c r="T262" s="10" t="inlineStr"/>
      <c r="U262" s="7" t="inlineStr">
        <is>
          <t>3976068</t>
        </is>
      </c>
      <c r="V262" s="7" t="inlineStr">
        <is>
          <t>FINALIZADO</t>
        </is>
      </c>
      <c r="W262" s="7" t="inlineStr"/>
      <c r="X262" s="7" t="inlineStr">
        <is>
          <t>MEDIÇÃO CONCLUÍDA</t>
        </is>
      </c>
      <c r="Y262" s="11">
        <f>IF(AND(L262&lt;&gt;"", S262&lt;&gt;""), S262-L262, IF(L262&lt;&gt;"", TODAY()-L262, ""))</f>
        <v/>
      </c>
      <c r="Z262" s="7">
        <f>IF(Y262="", "", IF(Y262&lt;=3, "NO PRAZO", "ATRASADO"))</f>
        <v/>
      </c>
      <c r="AA262" s="8" t="inlineStr">
        <is>
          <t>100% - OK</t>
        </is>
      </c>
    </row>
    <row r="263" ht="20" customHeight="1">
      <c r="A263" s="7" t="inlineStr">
        <is>
          <t>RSCLER0261</t>
        </is>
      </c>
      <c r="B263" s="8" t="inlineStr">
        <is>
          <t>CANOAS</t>
        </is>
      </c>
      <c r="C263" s="7" t="inlineStr">
        <is>
          <t>CNTAA</t>
        </is>
      </c>
      <c r="D263" s="7" t="inlineStr"/>
      <c r="E263" s="7" t="inlineStr"/>
      <c r="F263" s="8" t="inlineStr">
        <is>
          <t>PARQUE VENTURA I</t>
        </is>
      </c>
      <c r="G263" s="8" t="inlineStr">
        <is>
          <t>R AFONSO PENA 340</t>
        </is>
      </c>
      <c r="H263" s="7" t="inlineStr"/>
      <c r="I263" s="8" t="inlineStr">
        <is>
          <t>FOI LANÇADO 770 METROS DE CABO DE 12FO, 1 ABERTURA E FECHAMENTO, 1 CX NOVA, 1 DERIVAÇÃO, 8 FUSÃO, 4 TESTE</t>
        </is>
      </c>
      <c r="J263" s="8" t="inlineStr">
        <is>
          <t>UBIRATAN</t>
        </is>
      </c>
      <c r="K263" s="8" t="inlineStr">
        <is>
          <t>MARCOS EMILIANO</t>
        </is>
      </c>
      <c r="L263" s="9" t="n">
        <v>45393</v>
      </c>
      <c r="M263" s="9" t="n">
        <v>45399</v>
      </c>
      <c r="N263" s="7" t="inlineStr"/>
      <c r="O263" s="9" t="n">
        <v>45402</v>
      </c>
      <c r="P263" s="7" t="inlineStr">
        <is>
          <t>NÃO PRECISA</t>
        </is>
      </c>
      <c r="Q263" s="9" t="n">
        <v>45405</v>
      </c>
      <c r="R263" s="7" t="inlineStr">
        <is>
          <t>Concluído Campo</t>
        </is>
      </c>
      <c r="S263" s="9" t="n">
        <v>45418</v>
      </c>
      <c r="T263" s="10" t="inlineStr"/>
      <c r="U263" s="7" t="inlineStr">
        <is>
          <t>4039380</t>
        </is>
      </c>
      <c r="V263" s="7" t="inlineStr">
        <is>
          <t>FINALIZADO</t>
        </is>
      </c>
      <c r="W263" s="7" t="inlineStr"/>
      <c r="X263" s="7" t="inlineStr">
        <is>
          <t>MEDIÇÃO CONCLUÍDA</t>
        </is>
      </c>
      <c r="Y263" s="11">
        <f>IF(AND(L263&lt;&gt;"", S263&lt;&gt;""), S263-L263, IF(L263&lt;&gt;"", TODAY()-L263, ""))</f>
        <v/>
      </c>
      <c r="Z263" s="7">
        <f>IF(Y263="", "", IF(Y263&lt;=3, "NO PRAZO", "ATRASADO"))</f>
        <v/>
      </c>
      <c r="AA263" s="8" t="inlineStr">
        <is>
          <t>100% - OK</t>
        </is>
      </c>
    </row>
    <row r="264" ht="20" customHeight="1">
      <c r="A264" s="7" t="inlineStr">
        <is>
          <t>RSCLER0262</t>
        </is>
      </c>
      <c r="B264" s="8" t="inlineStr">
        <is>
          <t>CANOAS</t>
        </is>
      </c>
      <c r="C264" s="7" t="inlineStr">
        <is>
          <t>CNTAA</t>
        </is>
      </c>
      <c r="D264" s="7" t="inlineStr"/>
      <c r="E264" s="7" t="inlineStr"/>
      <c r="F264" s="8" t="inlineStr">
        <is>
          <t>PARQUE VENTURA II</t>
        </is>
      </c>
      <c r="G264" s="8" t="inlineStr">
        <is>
          <t>RUA AFONSO PENA 380</t>
        </is>
      </c>
      <c r="H264" s="7" t="inlineStr"/>
      <c r="I264" s="8" t="inlineStr">
        <is>
          <t>2 ABERTURA E FECHAMENTO, 8 FUSÃO, 4 TESTE</t>
        </is>
      </c>
      <c r="J264" s="8" t="inlineStr"/>
      <c r="K264" s="8" t="inlineStr">
        <is>
          <t>MARCOS EMILIANO</t>
        </is>
      </c>
      <c r="L264" s="9" t="n">
        <v>45393</v>
      </c>
      <c r="M264" s="7" t="inlineStr"/>
      <c r="N264" s="7" t="inlineStr"/>
      <c r="O264" s="9" t="n">
        <v>45402</v>
      </c>
      <c r="P264" s="7" t="inlineStr">
        <is>
          <t>NÃO PRECISA</t>
        </is>
      </c>
      <c r="Q264" s="9" t="n">
        <v>45405</v>
      </c>
      <c r="R264" s="7" t="inlineStr">
        <is>
          <t>Concluído Campo</t>
        </is>
      </c>
      <c r="S264" s="9" t="n">
        <v>45411</v>
      </c>
      <c r="T264" s="10" t="inlineStr"/>
      <c r="U264" s="7" t="inlineStr">
        <is>
          <t>4040705</t>
        </is>
      </c>
      <c r="V264" s="7" t="inlineStr">
        <is>
          <t>FINALIZADO</t>
        </is>
      </c>
      <c r="W264" s="7" t="inlineStr"/>
      <c r="X264" s="7" t="inlineStr">
        <is>
          <t>MEDIÇÃO CONCLUÍDA</t>
        </is>
      </c>
      <c r="Y264" s="11">
        <f>IF(AND(L264&lt;&gt;"", S264&lt;&gt;""), S264-L264, IF(L264&lt;&gt;"", TODAY()-L264, ""))</f>
        <v/>
      </c>
      <c r="Z264" s="7">
        <f>IF(Y264="", "", IF(Y264&lt;=3, "NO PRAZO", "ATRASADO"))</f>
        <v/>
      </c>
      <c r="AA264" s="8" t="inlineStr">
        <is>
          <t>100% - OK</t>
        </is>
      </c>
    </row>
    <row r="265" ht="20" customHeight="1">
      <c r="A265" s="7" t="inlineStr">
        <is>
          <t>RSCLER0263</t>
        </is>
      </c>
      <c r="B265" s="8" t="inlineStr">
        <is>
          <t>PORTO ALEGRE</t>
        </is>
      </c>
      <c r="C265" s="7" t="inlineStr">
        <is>
          <t>CNTAA</t>
        </is>
      </c>
      <c r="D265" s="7" t="inlineStr"/>
      <c r="E265" s="7" t="inlineStr"/>
      <c r="F265" s="8" t="inlineStr">
        <is>
          <t>Condomínio Edifício Braz de Faria</t>
        </is>
      </c>
      <c r="G265" s="8" t="inlineStr">
        <is>
          <t>Rua Gal. Lima e Silva, 117</t>
        </is>
      </c>
      <c r="H265" s="7" t="inlineStr"/>
      <c r="I265" s="8" t="inlineStr">
        <is>
          <t>4 ABERTURA E FECHAMENTO, 3 FUSÃO, 1 SPLITTER, 1 TESTE</t>
        </is>
      </c>
      <c r="J265" s="8" t="inlineStr"/>
      <c r="K265" s="8" t="inlineStr">
        <is>
          <t>MARCIO</t>
        </is>
      </c>
      <c r="L265" s="9" t="n">
        <v>45398</v>
      </c>
      <c r="M265" s="7" t="inlineStr"/>
      <c r="N265" s="9" t="n">
        <v>45401</v>
      </c>
      <c r="O265" s="9" t="n">
        <v>45401</v>
      </c>
      <c r="P265" s="7" t="inlineStr">
        <is>
          <t>NÃO PRECISA</t>
        </is>
      </c>
      <c r="Q265" s="9" t="n">
        <v>45405</v>
      </c>
      <c r="R265" s="7" t="inlineStr">
        <is>
          <t>Concluído Campo</t>
        </is>
      </c>
      <c r="S265" s="9" t="n">
        <v>45400</v>
      </c>
      <c r="T265" s="10" t="inlineStr"/>
      <c r="U265" s="7" t="inlineStr">
        <is>
          <t>3976068</t>
        </is>
      </c>
      <c r="V265" s="7" t="inlineStr">
        <is>
          <t>FINALIZADO</t>
        </is>
      </c>
      <c r="W265" s="7" t="inlineStr"/>
      <c r="X265" s="7" t="inlineStr">
        <is>
          <t>MEDIÇÃO CONCLUÍDA</t>
        </is>
      </c>
      <c r="Y265" s="11">
        <f>IF(AND(L265&lt;&gt;"", S265&lt;&gt;""), S265-L265, IF(L265&lt;&gt;"", TODAY()-L265, ""))</f>
        <v/>
      </c>
      <c r="Z265" s="7">
        <f>IF(Y265="", "", IF(Y265&lt;=3, "NO PRAZO", "ATRASADO"))</f>
        <v/>
      </c>
      <c r="AA265" s="8" t="inlineStr">
        <is>
          <t>100% - OK</t>
        </is>
      </c>
    </row>
    <row r="266" ht="20" customHeight="1">
      <c r="A266" s="7" t="inlineStr">
        <is>
          <t>RSCLER0264</t>
        </is>
      </c>
      <c r="B266" s="8" t="inlineStr">
        <is>
          <t>PORTO ALEGRE</t>
        </is>
      </c>
      <c r="C266" s="7" t="inlineStr">
        <is>
          <t>CNTAA</t>
        </is>
      </c>
      <c r="D266" s="7" t="inlineStr"/>
      <c r="E266" s="7" t="inlineStr"/>
      <c r="F266" s="8" t="inlineStr">
        <is>
          <t>Edifício Carlos Carone</t>
        </is>
      </c>
      <c r="G266" s="8" t="inlineStr">
        <is>
          <t>Rua José do Patrocínio, 693</t>
        </is>
      </c>
      <c r="H266" s="7" t="inlineStr"/>
      <c r="I266" s="8" t="inlineStr">
        <is>
          <t>3 ABERTURA E FECHAMENTO, 4 FUSÃO, 2 TESTE</t>
        </is>
      </c>
      <c r="J266" s="8" t="inlineStr"/>
      <c r="K266" s="8" t="inlineStr">
        <is>
          <t>ANDERSON</t>
        </is>
      </c>
      <c r="L266" s="9" t="n">
        <v>45398</v>
      </c>
      <c r="M266" s="7" t="inlineStr"/>
      <c r="N266" s="9" t="n">
        <v>45407</v>
      </c>
      <c r="O266" s="9" t="n">
        <v>45418</v>
      </c>
      <c r="P266" s="7" t="inlineStr">
        <is>
          <t>NÃO PRECISA</t>
        </is>
      </c>
      <c r="Q266" s="9" t="n">
        <v>45439</v>
      </c>
      <c r="R266" s="7" t="inlineStr">
        <is>
          <t>Concluído Campo</t>
        </is>
      </c>
      <c r="S266" s="9" t="n">
        <v>45419</v>
      </c>
      <c r="T266" s="10" t="inlineStr"/>
      <c r="U266" s="7" t="inlineStr">
        <is>
          <t>4040705</t>
        </is>
      </c>
      <c r="V266" s="7" t="inlineStr">
        <is>
          <t>FINALIZADO</t>
        </is>
      </c>
      <c r="W266" s="7" t="inlineStr"/>
      <c r="X266" s="7" t="inlineStr">
        <is>
          <t>MEDIÇÃO CONCLUÍDA</t>
        </is>
      </c>
      <c r="Y266" s="11">
        <f>IF(AND(L266&lt;&gt;"", S266&lt;&gt;""), S266-L266, IF(L266&lt;&gt;"", TODAY()-L266, ""))</f>
        <v/>
      </c>
      <c r="Z266" s="7">
        <f>IF(Y266="", "", IF(Y266&lt;=3, "NO PRAZO", "ATRASADO"))</f>
        <v/>
      </c>
      <c r="AA266" s="8" t="inlineStr">
        <is>
          <t>100% - OK</t>
        </is>
      </c>
    </row>
    <row r="267" ht="20" customHeight="1">
      <c r="A267" s="7" t="inlineStr">
        <is>
          <t>RSCLER0265</t>
        </is>
      </c>
      <c r="B267" s="8" t="inlineStr">
        <is>
          <t>PORTO ALEGRE</t>
        </is>
      </c>
      <c r="C267" s="7" t="inlineStr">
        <is>
          <t>MNDAC</t>
        </is>
      </c>
      <c r="D267" s="7" t="inlineStr"/>
      <c r="E267" s="7" t="inlineStr"/>
      <c r="F267" s="8" t="inlineStr">
        <is>
          <t>DIRETORIA</t>
        </is>
      </c>
      <c r="G267" s="8" t="inlineStr">
        <is>
          <t>Miguel Couto, 714</t>
        </is>
      </c>
      <c r="H267" s="7" t="inlineStr"/>
      <c r="I267" s="8" t="inlineStr">
        <is>
          <t>FOI LANÇADO 105 METROS DE CABO DE 12FO, 7 ABERTURA E FECHAMENTO, 1 CX NOVA, 1 DERIVAÇÃO, 7 FUSÃO, 1 TESTE</t>
        </is>
      </c>
      <c r="J267" s="8" t="inlineStr">
        <is>
          <t>MALCOLN</t>
        </is>
      </c>
      <c r="K267" s="8" t="inlineStr">
        <is>
          <t>ANDERSON</t>
        </is>
      </c>
      <c r="L267" s="9" t="n">
        <v>45399</v>
      </c>
      <c r="M267" s="9" t="n">
        <v>45399</v>
      </c>
      <c r="N267" s="9" t="n">
        <v>45405</v>
      </c>
      <c r="O267" s="9" t="n">
        <v>45411</v>
      </c>
      <c r="P267" s="7" t="inlineStr">
        <is>
          <t>NÃO PRECISA</t>
        </is>
      </c>
      <c r="Q267" s="9" t="n">
        <v>45439</v>
      </c>
      <c r="R267" s="7" t="inlineStr">
        <is>
          <t>Concluído Campo</t>
        </is>
      </c>
      <c r="S267" s="9" t="n">
        <v>45400</v>
      </c>
      <c r="T267" s="10" t="inlineStr"/>
      <c r="U267" s="7" t="inlineStr">
        <is>
          <t>3976068</t>
        </is>
      </c>
      <c r="V267" s="7" t="inlineStr">
        <is>
          <t>FINALIZADO</t>
        </is>
      </c>
      <c r="W267" s="7" t="inlineStr"/>
      <c r="X267" s="7" t="inlineStr">
        <is>
          <t>MEDIÇÃO CONCLUÍDA</t>
        </is>
      </c>
      <c r="Y267" s="11">
        <f>IF(AND(L267&lt;&gt;"", S267&lt;&gt;""), S267-L267, IF(L267&lt;&gt;"", TODAY()-L267, ""))</f>
        <v/>
      </c>
      <c r="Z267" s="7">
        <f>IF(Y267="", "", IF(Y267&lt;=3, "NO PRAZO", "ATRASADO"))</f>
        <v/>
      </c>
      <c r="AA267" s="8" t="inlineStr">
        <is>
          <t>100% - OK</t>
        </is>
      </c>
    </row>
    <row r="268" ht="20" customHeight="1">
      <c r="A268" s="7" t="inlineStr">
        <is>
          <t>RSCLER0266</t>
        </is>
      </c>
      <c r="B268" s="8" t="inlineStr">
        <is>
          <t>PORTO ALEGRE</t>
        </is>
      </c>
      <c r="C268" s="7" t="inlineStr">
        <is>
          <t>NAVAA</t>
        </is>
      </c>
      <c r="D268" s="7" t="inlineStr"/>
      <c r="E268" s="7" t="inlineStr"/>
      <c r="F268" s="8" t="inlineStr">
        <is>
          <t>DIRETORIA</t>
        </is>
      </c>
      <c r="G268" s="8" t="inlineStr">
        <is>
          <t>Rua Dr Eduardo Chartier, 190</t>
        </is>
      </c>
      <c r="H268" s="7" t="inlineStr"/>
      <c r="I268" s="8" t="inlineStr">
        <is>
          <t>FOI LANÇADO 583 METROS DE CABO DE 12FO, 1 ABERTURA E FECHAMENTO, 5 FUSÃO, 5 TESTE 1 CX NOVA, 1 DERIVAÇÃO</t>
        </is>
      </c>
      <c r="J268" s="8" t="inlineStr">
        <is>
          <t>POMPEU</t>
        </is>
      </c>
      <c r="K268" s="8" t="inlineStr">
        <is>
          <t>RODRIGO</t>
        </is>
      </c>
      <c r="L268" s="9" t="n">
        <v>45399</v>
      </c>
      <c r="M268" s="9" t="n">
        <v>45399</v>
      </c>
      <c r="N268" s="9" t="n">
        <v>45400</v>
      </c>
      <c r="O268" s="9" t="n">
        <v>45400</v>
      </c>
      <c r="P268" s="7" t="inlineStr">
        <is>
          <t>NÃO PRECISA</t>
        </is>
      </c>
      <c r="Q268" s="9" t="n">
        <v>45405</v>
      </c>
      <c r="R268" s="7" t="inlineStr">
        <is>
          <t>Concluído Campo</t>
        </is>
      </c>
      <c r="S268" s="9" t="n">
        <v>45400</v>
      </c>
      <c r="T268" s="10" t="inlineStr"/>
      <c r="U268" s="7" t="inlineStr">
        <is>
          <t>3976068</t>
        </is>
      </c>
      <c r="V268" s="7" t="inlineStr">
        <is>
          <t>FINALIZADO</t>
        </is>
      </c>
      <c r="W268" s="7" t="inlineStr"/>
      <c r="X268" s="7" t="inlineStr">
        <is>
          <t>MEDIÇÃO CONCLUÍDA</t>
        </is>
      </c>
      <c r="Y268" s="11">
        <f>IF(AND(L268&lt;&gt;"", S268&lt;&gt;""), S268-L268, IF(L268&lt;&gt;"", TODAY()-L268, ""))</f>
        <v/>
      </c>
      <c r="Z268" s="7">
        <f>IF(Y268="", "", IF(Y268&lt;=3, "NO PRAZO", "ATRASADO"))</f>
        <v/>
      </c>
      <c r="AA268" s="8" t="inlineStr">
        <is>
          <t>100% - OK</t>
        </is>
      </c>
    </row>
    <row r="269" ht="20" customHeight="1">
      <c r="A269" s="7" t="inlineStr">
        <is>
          <t>RSCLER0267</t>
        </is>
      </c>
      <c r="B269" s="8" t="inlineStr">
        <is>
          <t>PORTO ALEGRE</t>
        </is>
      </c>
      <c r="C269" s="7" t="inlineStr">
        <is>
          <t>MTSAA</t>
        </is>
      </c>
      <c r="D269" s="7" t="inlineStr"/>
      <c r="E269" s="7" t="inlineStr"/>
      <c r="F269" s="8" t="inlineStr">
        <is>
          <t>DIRETORIA</t>
        </is>
      </c>
      <c r="G269" s="8" t="inlineStr">
        <is>
          <t>Rua Quintino Bocaiuva, 159</t>
        </is>
      </c>
      <c r="H269" s="7" t="inlineStr"/>
      <c r="I269" s="8" t="inlineStr">
        <is>
          <t>FOI LANÇADO 498 METROS DE CABO DE 12FO, 4 ABERTURA E FECHAMENTO, 8 FUSÃO, 1 DERIVAÇÃO, 2 TESTE, 1 CX NOVA</t>
        </is>
      </c>
      <c r="J269" s="8" t="inlineStr">
        <is>
          <t>POMPEU</t>
        </is>
      </c>
      <c r="K269" s="8" t="inlineStr">
        <is>
          <t>ANDERSON</t>
        </is>
      </c>
      <c r="L269" s="9" t="n">
        <v>45399</v>
      </c>
      <c r="M269" s="9" t="n">
        <v>45401</v>
      </c>
      <c r="N269" s="9" t="n">
        <v>45405</v>
      </c>
      <c r="O269" s="9" t="n">
        <v>45419</v>
      </c>
      <c r="P269" s="7" t="inlineStr">
        <is>
          <t>NÃO PRECISA</t>
        </is>
      </c>
      <c r="Q269" s="9" t="n">
        <v>45439</v>
      </c>
      <c r="R269" s="7" t="inlineStr">
        <is>
          <t>Concluído Campo</t>
        </is>
      </c>
      <c r="S269" s="9" t="n">
        <v>45401</v>
      </c>
      <c r="T269" s="10" t="inlineStr"/>
      <c r="U269" s="7" t="inlineStr">
        <is>
          <t>3976068</t>
        </is>
      </c>
      <c r="V269" s="7" t="inlineStr">
        <is>
          <t>FINALIZADO</t>
        </is>
      </c>
      <c r="W269" s="7" t="inlineStr"/>
      <c r="X269" s="7" t="inlineStr">
        <is>
          <t>MEDIÇÃO CONCLUÍDA</t>
        </is>
      </c>
      <c r="Y269" s="11">
        <f>IF(AND(L269&lt;&gt;"", S269&lt;&gt;""), S269-L269, IF(L269&lt;&gt;"", TODAY()-L269, ""))</f>
        <v/>
      </c>
      <c r="Z269" s="7">
        <f>IF(Y269="", "", IF(Y269&lt;=3, "NO PRAZO", "ATRASADO"))</f>
        <v/>
      </c>
      <c r="AA269" s="8" t="inlineStr">
        <is>
          <t>100% - OK</t>
        </is>
      </c>
    </row>
    <row r="270" ht="20" customHeight="1">
      <c r="A270" s="7" t="inlineStr">
        <is>
          <t>RSCLER0268</t>
        </is>
      </c>
      <c r="B270" s="8" t="inlineStr">
        <is>
          <t>PORTO ALEGRE</t>
        </is>
      </c>
      <c r="C270" s="7" t="inlineStr">
        <is>
          <t>MTSAA</t>
        </is>
      </c>
      <c r="D270" s="7" t="inlineStr"/>
      <c r="E270" s="7" t="inlineStr"/>
      <c r="F270" s="8" t="inlineStr">
        <is>
          <t>DIRETORIA</t>
        </is>
      </c>
      <c r="G270" s="8" t="inlineStr">
        <is>
          <t>Rua Tito Lívio Zambecari, 332</t>
        </is>
      </c>
      <c r="H270" s="7" t="inlineStr"/>
      <c r="I270" s="8" t="inlineStr">
        <is>
          <t>FOI LANÇADO 119 METROS DE CABO DE 12FO, 1 ABERTURA E FECHAMENTO, 7 FUSÃO, 1 DERIVAÇÃO, 1 CX NOVA, 7 TESTE</t>
        </is>
      </c>
      <c r="J270" s="8" t="inlineStr">
        <is>
          <t>MALCOLN</t>
        </is>
      </c>
      <c r="K270" s="8" t="inlineStr">
        <is>
          <t>VINICIUS</t>
        </is>
      </c>
      <c r="L270" s="9" t="n">
        <v>45399</v>
      </c>
      <c r="M270" s="9" t="n">
        <v>45399</v>
      </c>
      <c r="N270" s="9" t="n">
        <v>45400</v>
      </c>
      <c r="O270" s="9" t="n">
        <v>45400</v>
      </c>
      <c r="P270" s="7" t="inlineStr">
        <is>
          <t>NÃO PRECISA</t>
        </is>
      </c>
      <c r="Q270" s="9" t="n">
        <v>45405</v>
      </c>
      <c r="R270" s="7" t="inlineStr">
        <is>
          <t>Concluído Campo</t>
        </is>
      </c>
      <c r="S270" s="9" t="n">
        <v>45400</v>
      </c>
      <c r="T270" s="10" t="inlineStr"/>
      <c r="U270" s="7" t="inlineStr">
        <is>
          <t>3976068</t>
        </is>
      </c>
      <c r="V270" s="7" t="inlineStr">
        <is>
          <t>FINALIZADO</t>
        </is>
      </c>
      <c r="W270" s="7" t="inlineStr"/>
      <c r="X270" s="7" t="inlineStr">
        <is>
          <t>MEDIÇÃO CONCLUÍDA</t>
        </is>
      </c>
      <c r="Y270" s="11">
        <f>IF(AND(L270&lt;&gt;"", S270&lt;&gt;""), S270-L270, IF(L270&lt;&gt;"", TODAY()-L270, ""))</f>
        <v/>
      </c>
      <c r="Z270" s="7">
        <f>IF(Y270="", "", IF(Y270&lt;=3, "NO PRAZO", "ATRASADO"))</f>
        <v/>
      </c>
      <c r="AA270" s="8" t="inlineStr">
        <is>
          <t>100% - OK</t>
        </is>
      </c>
    </row>
    <row r="271" ht="20" customHeight="1">
      <c r="A271" s="7" t="inlineStr">
        <is>
          <t>RSCLER0269</t>
        </is>
      </c>
      <c r="B271" s="8" t="inlineStr">
        <is>
          <t>PORTO ALEGRE</t>
        </is>
      </c>
      <c r="C271" s="7" t="inlineStr">
        <is>
          <t>MNDAA</t>
        </is>
      </c>
      <c r="D271" s="7" t="inlineStr"/>
      <c r="E271" s="7" t="inlineStr"/>
      <c r="F271" s="8" t="inlineStr">
        <is>
          <t>DIRETORIA</t>
        </is>
      </c>
      <c r="G271" s="8" t="inlineStr">
        <is>
          <t>Rua Visconde Do Herval, 900</t>
        </is>
      </c>
      <c r="H271" s="7" t="inlineStr"/>
      <c r="I271" s="8" t="inlineStr">
        <is>
          <t>FOI LANÇADO 197 METROS DE CABO DE 12FO, 1 ABERTURA E FECHAMENTO, 1 DERIVAÇÃO, 8 FUSÃO, 4 TESTE , 1 CX NOVA</t>
        </is>
      </c>
      <c r="J271" s="8" t="inlineStr">
        <is>
          <t>POMPEU</t>
        </is>
      </c>
      <c r="K271" s="8" t="inlineStr">
        <is>
          <t>WESLEY/ VINICIUS</t>
        </is>
      </c>
      <c r="L271" s="9" t="n">
        <v>45399</v>
      </c>
      <c r="M271" s="9" t="n">
        <v>45399</v>
      </c>
      <c r="N271" s="9" t="n">
        <v>45400</v>
      </c>
      <c r="O271" s="9" t="n">
        <v>45400</v>
      </c>
      <c r="P271" s="7" t="inlineStr">
        <is>
          <t>NÃO PRECISA</t>
        </is>
      </c>
      <c r="Q271" s="9" t="n">
        <v>45405</v>
      </c>
      <c r="R271" s="7" t="inlineStr">
        <is>
          <t>Concluído Campo</t>
        </is>
      </c>
      <c r="S271" s="9" t="n">
        <v>45405</v>
      </c>
      <c r="T271" s="10" t="inlineStr"/>
      <c r="U271" s="7" t="inlineStr">
        <is>
          <t>4040705</t>
        </is>
      </c>
      <c r="V271" s="7" t="inlineStr">
        <is>
          <t>FINALIZADO</t>
        </is>
      </c>
      <c r="W271" s="7" t="inlineStr"/>
      <c r="X271" s="7" t="inlineStr">
        <is>
          <t>MEDIÇÃO CONCLUÍDA</t>
        </is>
      </c>
      <c r="Y271" s="11">
        <f>IF(AND(L271&lt;&gt;"", S271&lt;&gt;""), S271-L271, IF(L271&lt;&gt;"", TODAY()-L271, ""))</f>
        <v/>
      </c>
      <c r="Z271" s="7">
        <f>IF(Y271="", "", IF(Y271&lt;=3, "NO PRAZO", "ATRASADO"))</f>
        <v/>
      </c>
      <c r="AA271" s="8" t="inlineStr">
        <is>
          <t>100% - OK</t>
        </is>
      </c>
    </row>
    <row r="272" ht="20" customHeight="1">
      <c r="A272" s="7" t="inlineStr">
        <is>
          <t>RSCLER0270</t>
        </is>
      </c>
      <c r="B272" s="8" t="inlineStr">
        <is>
          <t>PORTO ALEGRE</t>
        </is>
      </c>
      <c r="C272" s="7" t="inlineStr">
        <is>
          <t>BFMAA</t>
        </is>
      </c>
      <c r="D272" s="7" t="inlineStr"/>
      <c r="E272" s="7" t="inlineStr"/>
      <c r="F272" s="8" t="inlineStr">
        <is>
          <t>DIRETORIA</t>
        </is>
      </c>
      <c r="G272" s="8" t="inlineStr">
        <is>
          <t>Rua André Puente, 344</t>
        </is>
      </c>
      <c r="H272" s="7" t="inlineStr">
        <is>
          <t>BFMAA.023.M060</t>
        </is>
      </c>
      <c r="I272" s="8" t="inlineStr">
        <is>
          <t>FOI LANÇADO 170 METROS DE CABO DE 12FO, 4 ABERTURA E FECHAMENTO, 12 FUSÃO, 2 CX NOVA, 2 DERIVAÇÃO, 2 TESTE</t>
        </is>
      </c>
      <c r="J272" s="8" t="inlineStr">
        <is>
          <t>UBIRATAN</t>
        </is>
      </c>
      <c r="K272" s="8" t="inlineStr">
        <is>
          <t>FABIO AMARILIO</t>
        </is>
      </c>
      <c r="L272" s="9" t="n">
        <v>45399</v>
      </c>
      <c r="M272" s="9" t="n">
        <v>45400</v>
      </c>
      <c r="N272" s="7" t="inlineStr"/>
      <c r="O272" s="9" t="n">
        <v>45400</v>
      </c>
      <c r="P272" s="7" t="inlineStr">
        <is>
          <t>NÃO PRECISA</t>
        </is>
      </c>
      <c r="Q272" s="9" t="n">
        <v>45405</v>
      </c>
      <c r="R272" s="7" t="inlineStr">
        <is>
          <t>Concluído Campo</t>
        </is>
      </c>
      <c r="S272" s="9" t="n">
        <v>45420</v>
      </c>
      <c r="T272" s="10" t="inlineStr"/>
      <c r="U272" s="7" t="inlineStr">
        <is>
          <t>4040705</t>
        </is>
      </c>
      <c r="V272" s="7" t="inlineStr">
        <is>
          <t>FINALIZADO</t>
        </is>
      </c>
      <c r="W272" s="7" t="inlineStr"/>
      <c r="X272" s="7" t="inlineStr">
        <is>
          <t>MEDIÇÃO CONCLUÍDA</t>
        </is>
      </c>
      <c r="Y272" s="11">
        <f>IF(AND(L272&lt;&gt;"", S272&lt;&gt;""), S272-L272, IF(L272&lt;&gt;"", TODAY()-L272, ""))</f>
        <v/>
      </c>
      <c r="Z272" s="7">
        <f>IF(Y272="", "", IF(Y272&lt;=3, "NO PRAZO", "ATRASADO"))</f>
        <v/>
      </c>
      <c r="AA272" s="8" t="inlineStr">
        <is>
          <t>100% - OK</t>
        </is>
      </c>
    </row>
    <row r="273" ht="20" customHeight="1">
      <c r="A273" s="7" t="inlineStr">
        <is>
          <t>RSCLER0271</t>
        </is>
      </c>
      <c r="B273" s="8" t="inlineStr">
        <is>
          <t>PORTO ALEGRE</t>
        </is>
      </c>
      <c r="C273" s="7" t="inlineStr">
        <is>
          <t>NAVAA</t>
        </is>
      </c>
      <c r="D273" s="7" t="inlineStr"/>
      <c r="E273" s="7" t="inlineStr"/>
      <c r="F273" s="8" t="inlineStr">
        <is>
          <t>DIRETORIA</t>
        </is>
      </c>
      <c r="G273" s="8" t="inlineStr">
        <is>
          <t>Rua Dr Eduardo Chartier,195</t>
        </is>
      </c>
      <c r="H273" s="7" t="inlineStr"/>
      <c r="I273" s="8" t="inlineStr">
        <is>
          <t>2 ABERTURA E FECHAMENTO, 1 FUSÃO, 1 TESTE</t>
        </is>
      </c>
      <c r="J273" s="8" t="inlineStr"/>
      <c r="K273" s="8" t="inlineStr">
        <is>
          <t>RODRIGO</t>
        </is>
      </c>
      <c r="L273" s="9" t="n">
        <v>45399</v>
      </c>
      <c r="M273" s="7" t="inlineStr"/>
      <c r="N273" s="9" t="n">
        <v>45400</v>
      </c>
      <c r="O273" s="9" t="n">
        <v>45400</v>
      </c>
      <c r="P273" s="7" t="inlineStr">
        <is>
          <t>NÃO PRECISA</t>
        </is>
      </c>
      <c r="Q273" s="9" t="n">
        <v>45405</v>
      </c>
      <c r="R273" s="7" t="inlineStr">
        <is>
          <t>Concluído Campo</t>
        </is>
      </c>
      <c r="S273" s="9" t="n">
        <v>45441</v>
      </c>
      <c r="T273" s="10" t="inlineStr"/>
      <c r="U273" s="7" t="inlineStr">
        <is>
          <t>4096750</t>
        </is>
      </c>
      <c r="V273" s="7" t="inlineStr">
        <is>
          <t>FINALIZADO</t>
        </is>
      </c>
      <c r="W273" s="7" t="inlineStr"/>
      <c r="X273" s="7" t="inlineStr">
        <is>
          <t>MEDIÇÃO CONCLUÍDA</t>
        </is>
      </c>
      <c r="Y273" s="11">
        <f>IF(AND(L273&lt;&gt;"", S273&lt;&gt;""), S273-L273, IF(L273&lt;&gt;"", TODAY()-L273, ""))</f>
        <v/>
      </c>
      <c r="Z273" s="7">
        <f>IF(Y273="", "", IF(Y273&lt;=3, "NO PRAZO", "ATRASADO"))</f>
        <v/>
      </c>
      <c r="AA273" s="8" t="inlineStr">
        <is>
          <t>100% - OK</t>
        </is>
      </c>
    </row>
    <row r="274" ht="20" customHeight="1">
      <c r="A274" s="7" t="inlineStr">
        <is>
          <t>RSCLER0272</t>
        </is>
      </c>
      <c r="B274" s="8" t="inlineStr">
        <is>
          <t>PORTO ALEGRE</t>
        </is>
      </c>
      <c r="C274" s="7" t="inlineStr">
        <is>
          <t>NAVAA</t>
        </is>
      </c>
      <c r="D274" s="7" t="inlineStr"/>
      <c r="E274" s="7" t="inlineStr"/>
      <c r="F274" s="8" t="inlineStr">
        <is>
          <t>DIRETORIA</t>
        </is>
      </c>
      <c r="G274" s="8" t="inlineStr">
        <is>
          <t>Rua Dr Eduardo Chartier, 585</t>
        </is>
      </c>
      <c r="H274" s="7" t="inlineStr"/>
      <c r="I274" s="8" t="inlineStr">
        <is>
          <t>FOI LANÇADO 195 METROS DE CABO DE 12FO, 12 ABERTURA E FECHAMENTO, 1 CX NOVA, 21 FUSÃO, 2 DERIVAÇÃO</t>
        </is>
      </c>
      <c r="J274" s="8" t="inlineStr">
        <is>
          <t>UBIRATAN</t>
        </is>
      </c>
      <c r="K274" s="8" t="inlineStr">
        <is>
          <t>MARCIO</t>
        </is>
      </c>
      <c r="L274" s="9" t="n">
        <v>45399</v>
      </c>
      <c r="M274" s="7" t="inlineStr"/>
      <c r="N274" s="9" t="n">
        <v>45404</v>
      </c>
      <c r="O274" s="9" t="n">
        <v>45405</v>
      </c>
      <c r="P274" s="7" t="inlineStr">
        <is>
          <t>NÃO PRECISA</t>
        </is>
      </c>
      <c r="Q274" s="9" t="n">
        <v>45439</v>
      </c>
      <c r="R274" s="7" t="inlineStr">
        <is>
          <t>Concluído Campo</t>
        </is>
      </c>
      <c r="S274" s="9" t="n">
        <v>45407</v>
      </c>
      <c r="T274" s="10" t="inlineStr"/>
      <c r="U274" s="7" t="inlineStr">
        <is>
          <t>4040705</t>
        </is>
      </c>
      <c r="V274" s="7" t="inlineStr">
        <is>
          <t>FINALIZADO</t>
        </is>
      </c>
      <c r="W274" s="7" t="inlineStr"/>
      <c r="X274" s="7" t="inlineStr">
        <is>
          <t>MEDIÇÃO CONCLUÍDA</t>
        </is>
      </c>
      <c r="Y274" s="11">
        <f>IF(AND(L274&lt;&gt;"", S274&lt;&gt;""), S274-L274, IF(L274&lt;&gt;"", TODAY()-L274, ""))</f>
        <v/>
      </c>
      <c r="Z274" s="7">
        <f>IF(Y274="", "", IF(Y274&lt;=3, "NO PRAZO", "ATRASADO"))</f>
        <v/>
      </c>
      <c r="AA274" s="8" t="inlineStr">
        <is>
          <t>100% - OK</t>
        </is>
      </c>
    </row>
    <row r="275" ht="20" customHeight="1">
      <c r="A275" s="7" t="inlineStr">
        <is>
          <t>RSCLER0273</t>
        </is>
      </c>
      <c r="B275" s="8" t="inlineStr">
        <is>
          <t>PORTO ALEGRE</t>
        </is>
      </c>
      <c r="C275" s="7" t="inlineStr">
        <is>
          <t>BVSAA</t>
        </is>
      </c>
      <c r="D275" s="7" t="inlineStr"/>
      <c r="E275" s="7" t="inlineStr"/>
      <c r="F275" s="8" t="inlineStr">
        <is>
          <t>DIRETORIA</t>
        </is>
      </c>
      <c r="G275" s="8" t="inlineStr">
        <is>
          <t>Rua Afonso Taunay, 180</t>
        </is>
      </c>
      <c r="H275" s="7" t="inlineStr"/>
      <c r="I275" s="8" t="inlineStr">
        <is>
          <t>FOI LANÇADO 211 METROS DE CABO DE 12 FO,  3 ABERTURA E FECHAMENTO, 9 FUSÃO, 1 DERIVAÇÃO, 1 CX NOVA, 3 TESTE</t>
        </is>
      </c>
      <c r="J275" s="8" t="inlineStr">
        <is>
          <t>UBIRATAN</t>
        </is>
      </c>
      <c r="K275" s="8" t="inlineStr">
        <is>
          <t>ANDERSON</t>
        </is>
      </c>
      <c r="L275" s="9" t="n">
        <v>45400</v>
      </c>
      <c r="M275" s="7" t="inlineStr"/>
      <c r="N275" s="9" t="n">
        <v>45406</v>
      </c>
      <c r="O275" s="9" t="n">
        <v>45420</v>
      </c>
      <c r="P275" s="7" t="inlineStr">
        <is>
          <t>NÃO PRECISA</t>
        </is>
      </c>
      <c r="Q275" s="9" t="n">
        <v>45439</v>
      </c>
      <c r="R275" s="7" t="inlineStr">
        <is>
          <t>Concluído Campo</t>
        </is>
      </c>
      <c r="S275" s="9" t="n">
        <v>45407</v>
      </c>
      <c r="T275" s="10" t="inlineStr"/>
      <c r="U275" s="7" t="inlineStr">
        <is>
          <t>4040705</t>
        </is>
      </c>
      <c r="V275" s="7" t="inlineStr">
        <is>
          <t>FINALIZADO</t>
        </is>
      </c>
      <c r="W275" s="7" t="inlineStr"/>
      <c r="X275" s="7" t="inlineStr">
        <is>
          <t>MEDIÇÃO CONCLUÍDA</t>
        </is>
      </c>
      <c r="Y275" s="11">
        <f>IF(AND(L275&lt;&gt;"", S275&lt;&gt;""), S275-L275, IF(L275&lt;&gt;"", TODAY()-L275, ""))</f>
        <v/>
      </c>
      <c r="Z275" s="7">
        <f>IF(Y275="", "", IF(Y275&lt;=3, "NO PRAZO", "ATRASADO"))</f>
        <v/>
      </c>
      <c r="AA275" s="8" t="inlineStr">
        <is>
          <t>100% - OK</t>
        </is>
      </c>
    </row>
    <row r="276" ht="20" customHeight="1">
      <c r="A276" s="7" t="inlineStr">
        <is>
          <t>RSCLER0274</t>
        </is>
      </c>
      <c r="B276" s="8" t="inlineStr">
        <is>
          <t>PORTO ALEGRE</t>
        </is>
      </c>
      <c r="C276" s="7" t="inlineStr">
        <is>
          <t>MNDAC</t>
        </is>
      </c>
      <c r="D276" s="7" t="inlineStr">
        <is>
          <t>MNDAO</t>
        </is>
      </c>
      <c r="E276" s="7" t="inlineStr">
        <is>
          <t>PAE CL</t>
        </is>
      </c>
      <c r="F276" s="8" t="inlineStr">
        <is>
          <t>DIRETORIA</t>
        </is>
      </c>
      <c r="G276" s="8" t="inlineStr">
        <is>
          <t>Avenida Padre Cacique, 266</t>
        </is>
      </c>
      <c r="H276" s="7" t="inlineStr">
        <is>
          <t>MNDAC.071.M020</t>
        </is>
      </c>
      <c r="I276" s="8" t="inlineStr">
        <is>
          <t>FOI LANÇADO 424 METROS DE CABO DE 12FO - 8 ABERTURA E FECHAMENTO, 1 DERIVAÇÃO, 1 CX NOVA , 8 FUSÃO, 3 TESTE</t>
        </is>
      </c>
      <c r="J276" s="8" t="inlineStr">
        <is>
          <t>POMPEU</t>
        </is>
      </c>
      <c r="K276" s="8" t="inlineStr">
        <is>
          <t>ANDERSON</t>
        </is>
      </c>
      <c r="L276" s="9" t="n">
        <v>45400</v>
      </c>
      <c r="M276" s="9" t="n">
        <v>45407</v>
      </c>
      <c r="N276" s="9" t="n">
        <v>45407</v>
      </c>
      <c r="O276" s="9" t="n">
        <v>45441</v>
      </c>
      <c r="P276" s="7" t="inlineStr">
        <is>
          <t>NÃO PRECISA</t>
        </is>
      </c>
      <c r="Q276" s="9" t="n">
        <v>45469</v>
      </c>
      <c r="R276" s="7" t="inlineStr">
        <is>
          <t>Concluído Campo</t>
        </is>
      </c>
      <c r="S276" s="9" t="n">
        <v>45449</v>
      </c>
      <c r="T276" s="10" t="inlineStr"/>
      <c r="U276" s="7" t="inlineStr">
        <is>
          <t>4096750</t>
        </is>
      </c>
      <c r="V276" s="7" t="inlineStr">
        <is>
          <t>FINALIZADO</t>
        </is>
      </c>
      <c r="W276" s="7" t="inlineStr"/>
      <c r="X276" s="7" t="inlineStr">
        <is>
          <t>MEDIÇÃO CONCLUÍDA</t>
        </is>
      </c>
      <c r="Y276" s="11">
        <f>IF(AND(L276&lt;&gt;"", S276&lt;&gt;""), S276-L276, IF(L276&lt;&gt;"", TODAY()-L276, ""))</f>
        <v/>
      </c>
      <c r="Z276" s="7">
        <f>IF(Y276="", "", IF(Y276&lt;=3, "NO PRAZO", "ATRASADO"))</f>
        <v/>
      </c>
      <c r="AA276" s="8" t="inlineStr">
        <is>
          <t>100% - OK</t>
        </is>
      </c>
    </row>
    <row r="277" ht="20" customHeight="1">
      <c r="A277" s="7" t="inlineStr">
        <is>
          <t>RSCLER0275</t>
        </is>
      </c>
      <c r="B277" s="8" t="inlineStr">
        <is>
          <t>PORTO ALEGRE</t>
        </is>
      </c>
      <c r="C277" s="7" t="inlineStr">
        <is>
          <t>MNDAA</t>
        </is>
      </c>
      <c r="D277" s="7" t="inlineStr">
        <is>
          <t>MNDAF</t>
        </is>
      </c>
      <c r="E277" s="7" t="inlineStr">
        <is>
          <t>PAE MAD</t>
        </is>
      </c>
      <c r="F277" s="8" t="inlineStr">
        <is>
          <t>DIRETORIA</t>
        </is>
      </c>
      <c r="G277" s="8" t="inlineStr">
        <is>
          <t>Avenida Borges de Medeiros, 3200</t>
        </is>
      </c>
      <c r="H277" s="7" t="inlineStr">
        <is>
          <t>MNDAA.115.M050</t>
        </is>
      </c>
      <c r="I277" s="8" t="inlineStr">
        <is>
          <t>2 FUSÃO, 1 TESTE</t>
        </is>
      </c>
      <c r="J277" s="8" t="inlineStr"/>
      <c r="K277" s="8" t="inlineStr">
        <is>
          <t>VINICIUS</t>
        </is>
      </c>
      <c r="L277" s="9" t="n">
        <v>45400</v>
      </c>
      <c r="M277" s="7" t="inlineStr"/>
      <c r="N277" s="9" t="n">
        <v>45406</v>
      </c>
      <c r="O277" s="9" t="n">
        <v>45407</v>
      </c>
      <c r="P277" s="7" t="inlineStr">
        <is>
          <t>NÃO PRECISA</t>
        </is>
      </c>
      <c r="Q277" s="9" t="n">
        <v>45439</v>
      </c>
      <c r="R277" s="7" t="inlineStr">
        <is>
          <t>Concluído Campo</t>
        </is>
      </c>
      <c r="S277" s="9" t="n">
        <v>45437</v>
      </c>
      <c r="T277" s="10" t="inlineStr"/>
      <c r="U277" s="7" t="inlineStr">
        <is>
          <t>4096750</t>
        </is>
      </c>
      <c r="V277" s="7" t="inlineStr">
        <is>
          <t>FINALIZADO</t>
        </is>
      </c>
      <c r="W277" s="7" t="inlineStr"/>
      <c r="X277" s="7" t="inlineStr">
        <is>
          <t>MEDIÇÃO CONCLUÍDA</t>
        </is>
      </c>
      <c r="Y277" s="11">
        <f>IF(AND(L277&lt;&gt;"", S277&lt;&gt;""), S277-L277, IF(L277&lt;&gt;"", TODAY()-L277, ""))</f>
        <v/>
      </c>
      <c r="Z277" s="7">
        <f>IF(Y277="", "", IF(Y277&lt;=3, "NO PRAZO", "ATRASADO"))</f>
        <v/>
      </c>
      <c r="AA277" s="8" t="inlineStr">
        <is>
          <t>100% - OK</t>
        </is>
      </c>
    </row>
    <row r="278" ht="20" customHeight="1">
      <c r="A278" s="7" t="inlineStr">
        <is>
          <t>RSCLER0276</t>
        </is>
      </c>
      <c r="B278" s="8" t="inlineStr">
        <is>
          <t>PORTO ALEGRE</t>
        </is>
      </c>
      <c r="C278" s="7" t="inlineStr">
        <is>
          <t>MNDAA</t>
        </is>
      </c>
      <c r="D278" s="7" t="inlineStr">
        <is>
          <t>MNDAF</t>
        </is>
      </c>
      <c r="E278" s="7" t="inlineStr">
        <is>
          <t>PAE MAD</t>
        </is>
      </c>
      <c r="F278" s="8" t="inlineStr">
        <is>
          <t>DIRETORIA</t>
        </is>
      </c>
      <c r="G278" s="8" t="inlineStr">
        <is>
          <t>Avenida Borges de Medeiros, 3160</t>
        </is>
      </c>
      <c r="H278" s="7" t="inlineStr">
        <is>
          <t>MNDAA.115.M050.</t>
        </is>
      </c>
      <c r="I278" s="8" t="inlineStr">
        <is>
          <t>FOI LANÇADO 252 METROS DE CABO DE 12FO, 2 ABERTURA E FECHAMENTO, 2 FUSÃO, 1 DERIVAÇÃO, 1 CX NOVA, 1 TESTE, COBRAR CORDOALHA</t>
        </is>
      </c>
      <c r="J278" s="8" t="inlineStr">
        <is>
          <t>UBIRATAN</t>
        </is>
      </c>
      <c r="K278" s="8" t="inlineStr">
        <is>
          <t>VINICIUS</t>
        </is>
      </c>
      <c r="L278" s="9" t="n">
        <v>45400</v>
      </c>
      <c r="M278" s="7" t="inlineStr"/>
      <c r="N278" s="9" t="n">
        <v>45407</v>
      </c>
      <c r="O278" s="9" t="n">
        <v>45407</v>
      </c>
      <c r="P278" s="7" t="inlineStr">
        <is>
          <t>NÃO PRECISA</t>
        </is>
      </c>
      <c r="Q278" s="9" t="n">
        <v>45439</v>
      </c>
      <c r="R278" s="7" t="inlineStr">
        <is>
          <t>Concluído Campo</t>
        </is>
      </c>
      <c r="S278" s="9" t="n">
        <v>45450</v>
      </c>
      <c r="T278" s="10" t="inlineStr"/>
      <c r="U278" s="7" t="inlineStr">
        <is>
          <t>4096750</t>
        </is>
      </c>
      <c r="V278" s="7" t="inlineStr">
        <is>
          <t>FINALIZADO</t>
        </is>
      </c>
      <c r="W278" s="7" t="inlineStr"/>
      <c r="X278" s="7" t="inlineStr">
        <is>
          <t>MEDIÇÃO CONCLUÍDA</t>
        </is>
      </c>
      <c r="Y278" s="11">
        <f>IF(AND(L278&lt;&gt;"", S278&lt;&gt;""), S278-L278, IF(L278&lt;&gt;"", TODAY()-L278, ""))</f>
        <v/>
      </c>
      <c r="Z278" s="7">
        <f>IF(Y278="", "", IF(Y278&lt;=3, "NO PRAZO", "ATRASADO"))</f>
        <v/>
      </c>
      <c r="AA278" s="8" t="inlineStr">
        <is>
          <t>100% - OK</t>
        </is>
      </c>
    </row>
    <row r="279" ht="20" customHeight="1">
      <c r="A279" s="7" t="inlineStr">
        <is>
          <t>RSCLER0277</t>
        </is>
      </c>
      <c r="B279" s="8" t="inlineStr">
        <is>
          <t>PORTO ALEGRE</t>
        </is>
      </c>
      <c r="C279" s="7" t="inlineStr">
        <is>
          <t>NAVAA</t>
        </is>
      </c>
      <c r="D279" s="7" t="inlineStr">
        <is>
          <t>BVSAB</t>
        </is>
      </c>
      <c r="E279" s="7" t="inlineStr"/>
      <c r="F279" s="8" t="inlineStr">
        <is>
          <t>DIRETORIA</t>
        </is>
      </c>
      <c r="G279" s="8" t="inlineStr">
        <is>
          <t>Rua Américo Vespúcio, 1099</t>
        </is>
      </c>
      <c r="H279" s="7" t="inlineStr">
        <is>
          <t>NAVAA.145.M050</t>
        </is>
      </c>
      <c r="I279" s="8" t="inlineStr">
        <is>
          <t>FOI LANÇADO 240 METROS DE CABO DE 12FO, 2 ABERTURA E FECHAMENTO, 2 FUSÃO, 1 DERIVAÇÃO, 1 CX NOVA , 1 TESTE</t>
        </is>
      </c>
      <c r="J279" s="8" t="inlineStr">
        <is>
          <t>THIAGO</t>
        </is>
      </c>
      <c r="K279" s="8" t="inlineStr">
        <is>
          <t>ADRIANO</t>
        </is>
      </c>
      <c r="L279" s="9" t="n">
        <v>45400</v>
      </c>
      <c r="M279" s="9" t="n">
        <v>45447</v>
      </c>
      <c r="N279" s="9" t="n">
        <v>45449</v>
      </c>
      <c r="O279" s="9" t="n">
        <v>45449</v>
      </c>
      <c r="P279" s="7" t="inlineStr">
        <is>
          <t>NÃO PRECISA</t>
        </is>
      </c>
      <c r="Q279" s="9" t="n">
        <v>45469</v>
      </c>
      <c r="R279" s="7" t="inlineStr">
        <is>
          <t>Concluído Campo</t>
        </is>
      </c>
      <c r="S279" s="9" t="n">
        <v>45434</v>
      </c>
      <c r="T279" s="10" t="inlineStr"/>
      <c r="U279" s="7" t="inlineStr">
        <is>
          <t>4039380</t>
        </is>
      </c>
      <c r="V279" s="7" t="inlineStr">
        <is>
          <t>FINALIZADO</t>
        </is>
      </c>
      <c r="W279" s="7" t="inlineStr"/>
      <c r="X279" s="7" t="inlineStr">
        <is>
          <t>MEDIÇÃO CONCLUÍDA</t>
        </is>
      </c>
      <c r="Y279" s="11">
        <f>IF(AND(L279&lt;&gt;"", S279&lt;&gt;""), S279-L279, IF(L279&lt;&gt;"", TODAY()-L279, ""))</f>
        <v/>
      </c>
      <c r="Z279" s="7">
        <f>IF(Y279="", "", IF(Y279&lt;=3, "NO PRAZO", "ATRASADO"))</f>
        <v/>
      </c>
      <c r="AA279" s="8" t="inlineStr">
        <is>
          <t>100% - OK</t>
        </is>
      </c>
    </row>
    <row r="280" ht="20" customHeight="1">
      <c r="A280" s="7" t="inlineStr">
        <is>
          <t>RSCLER0278</t>
        </is>
      </c>
      <c r="B280" s="8" t="inlineStr">
        <is>
          <t>PORTO ALEGRE</t>
        </is>
      </c>
      <c r="C280" s="7" t="inlineStr">
        <is>
          <t>NAVAA</t>
        </is>
      </c>
      <c r="D280" s="7" t="inlineStr"/>
      <c r="E280" s="7" t="inlineStr"/>
      <c r="F280" s="8" t="inlineStr">
        <is>
          <t>DIRETORIA</t>
        </is>
      </c>
      <c r="G280" s="8" t="inlineStr">
        <is>
          <t>Rua Ary Marinho, 11</t>
        </is>
      </c>
      <c r="H280" s="7" t="inlineStr"/>
      <c r="I280" s="8" t="inlineStr">
        <is>
          <t>FOI LANÇADO 382 METROS DE CABO DE 12FO, 1 CX NOVA, 1 TESTE, 1 DERIVAÇÃO,13 ABERTURA E FECHAMENTO, 20 FUSÃO</t>
        </is>
      </c>
      <c r="J280" s="8" t="inlineStr">
        <is>
          <t>THIAGO</t>
        </is>
      </c>
      <c r="K280" s="8" t="inlineStr">
        <is>
          <t>MARCIO</t>
        </is>
      </c>
      <c r="L280" s="9" t="n">
        <v>45400</v>
      </c>
      <c r="M280" s="9" t="n">
        <v>45427</v>
      </c>
      <c r="N280" s="9" t="n">
        <v>45428</v>
      </c>
      <c r="O280" s="9" t="n">
        <v>45437</v>
      </c>
      <c r="P280" s="7" t="inlineStr">
        <is>
          <t>NÃO PRECISA</t>
        </is>
      </c>
      <c r="Q280" s="9" t="n">
        <v>45469</v>
      </c>
      <c r="R280" s="7" t="inlineStr">
        <is>
          <t>Concluído Campo</t>
        </is>
      </c>
      <c r="S280" s="7" t="inlineStr"/>
      <c r="T280" s="10" t="inlineStr"/>
      <c r="U280" s="7" t="inlineStr"/>
      <c r="V280" s="7" t="inlineStr"/>
      <c r="W280" s="7" t="inlineStr"/>
      <c r="X280" s="7" t="inlineStr">
        <is>
          <t>AG. MEDIÇÃO</t>
        </is>
      </c>
      <c r="Y280" s="11">
        <f>IF(AND(L280&lt;&gt;"", S280&lt;&gt;""), S280-L280, IF(L280&lt;&gt;"", TODAY()-L280, ""))</f>
        <v/>
      </c>
      <c r="Z280" s="7">
        <f>IF(Y280="", "", IF(Y280&lt;=3, "NO PRAZO", "ATRASADO"))</f>
        <v/>
      </c>
      <c r="AA280" s="8" t="inlineStr">
        <is>
          <t>100% - OK</t>
        </is>
      </c>
    </row>
    <row r="281" ht="20" customHeight="1">
      <c r="A281" s="7" t="inlineStr">
        <is>
          <t>RSCLER0279</t>
        </is>
      </c>
      <c r="B281" s="8" t="inlineStr">
        <is>
          <t>PORTO ALEGRE</t>
        </is>
      </c>
      <c r="C281" s="7" t="inlineStr">
        <is>
          <t>MTSAA</t>
        </is>
      </c>
      <c r="D281" s="7" t="inlineStr">
        <is>
          <t>MTSAK</t>
        </is>
      </c>
      <c r="E281" s="7" t="inlineStr">
        <is>
          <t>RSPNO24</t>
        </is>
      </c>
      <c r="F281" s="8" t="inlineStr">
        <is>
          <t>DIRETORIA</t>
        </is>
      </c>
      <c r="G281" s="8" t="inlineStr">
        <is>
          <t>Rua Cel Bordini, 1800</t>
        </is>
      </c>
      <c r="H281" s="7" t="inlineStr">
        <is>
          <t>MTSAA.304.M050</t>
        </is>
      </c>
      <c r="I281" s="8" t="inlineStr">
        <is>
          <t>FOI LANÇADO 353 CABO DE 12FO, 3 ABERTURA E FECHAMENTO,4 FUSÃO, 2 DERIVAÇÃO, 1 CX NOVA, 1 TESTE</t>
        </is>
      </c>
      <c r="J281" s="8" t="inlineStr">
        <is>
          <t>TIAGO LAMBRETA</t>
        </is>
      </c>
      <c r="K281" s="8" t="inlineStr">
        <is>
          <t>FABIO AMARILIO</t>
        </is>
      </c>
      <c r="L281" s="9" t="n">
        <v>45400</v>
      </c>
      <c r="M281" s="9" t="n">
        <v>45448</v>
      </c>
      <c r="N281" s="9" t="n">
        <v>45450</v>
      </c>
      <c r="O281" s="9" t="n">
        <v>45450</v>
      </c>
      <c r="P281" s="7" t="inlineStr">
        <is>
          <t>NÃO PRECISA</t>
        </is>
      </c>
      <c r="Q281" s="9" t="n">
        <v>45469</v>
      </c>
      <c r="R281" s="7" t="inlineStr">
        <is>
          <t>Concluído Campo</t>
        </is>
      </c>
      <c r="S281" s="9" t="n">
        <v>45466</v>
      </c>
      <c r="T281" s="10" t="inlineStr"/>
      <c r="U281" s="7" t="inlineStr">
        <is>
          <t>4096750</t>
        </is>
      </c>
      <c r="V281" s="7" t="inlineStr">
        <is>
          <t>FINALIZADO</t>
        </is>
      </c>
      <c r="W281" s="7" t="inlineStr"/>
      <c r="X281" s="7" t="inlineStr">
        <is>
          <t>MEDIÇÃO CONCLUÍDA</t>
        </is>
      </c>
      <c r="Y281" s="11">
        <f>IF(AND(L281&lt;&gt;"", S281&lt;&gt;""), S281-L281, IF(L281&lt;&gt;"", TODAY()-L281, ""))</f>
        <v/>
      </c>
      <c r="Z281" s="7">
        <f>IF(Y281="", "", IF(Y281&lt;=3, "NO PRAZO", "ATRASADO"))</f>
        <v/>
      </c>
      <c r="AA281" s="8" t="inlineStr">
        <is>
          <t>100% - OK</t>
        </is>
      </c>
    </row>
    <row r="282" ht="20" customHeight="1">
      <c r="A282" s="7" t="inlineStr">
        <is>
          <t>RSCLER0280</t>
        </is>
      </c>
      <c r="B282" s="8" t="inlineStr">
        <is>
          <t>PORTO ALEGRE</t>
        </is>
      </c>
      <c r="C282" s="7" t="inlineStr">
        <is>
          <t>RBRAA</t>
        </is>
      </c>
      <c r="D282" s="7" t="inlineStr">
        <is>
          <t>RBRAB</t>
        </is>
      </c>
      <c r="E282" s="7" t="inlineStr">
        <is>
          <t>RSPLE08</t>
        </is>
      </c>
      <c r="F282" s="8" t="inlineStr">
        <is>
          <t>Cond Ed Jardim Guaira</t>
        </is>
      </c>
      <c r="G282" s="8" t="inlineStr">
        <is>
          <t>Rua Santa Cecília, 1373</t>
        </is>
      </c>
      <c r="H282" s="7" t="inlineStr">
        <is>
          <t>RBRAA.075.M050</t>
        </is>
      </c>
      <c r="I282" s="8" t="inlineStr">
        <is>
          <t>FOI LANÇADO 170 METROS DE CABO DE 12 FO, 3 ABERTURA E FECHAMENTO, 8 FUSÃO, 1 DERIVAÇÃO, 1 CX NOVA, 2 TESTE</t>
        </is>
      </c>
      <c r="J282" s="8" t="inlineStr">
        <is>
          <t>THIAGO</t>
        </is>
      </c>
      <c r="K282" s="8" t="inlineStr">
        <is>
          <t>ANDERSON</t>
        </is>
      </c>
      <c r="L282" s="9" t="n">
        <v>45404</v>
      </c>
      <c r="M282" s="9" t="n">
        <v>45428</v>
      </c>
      <c r="N282" s="9" t="n">
        <v>45434</v>
      </c>
      <c r="O282" s="9" t="n">
        <v>45434</v>
      </c>
      <c r="P282" s="7" t="inlineStr">
        <is>
          <t>NÃO PRECISA</t>
        </is>
      </c>
      <c r="Q282" s="9" t="n">
        <v>45439</v>
      </c>
      <c r="R282" s="7" t="inlineStr">
        <is>
          <t>Concluído Campo</t>
        </is>
      </c>
      <c r="S282" s="9" t="n">
        <v>45448</v>
      </c>
      <c r="T282" s="10" t="inlineStr"/>
      <c r="U282" s="7" t="inlineStr">
        <is>
          <t>4096750</t>
        </is>
      </c>
      <c r="V282" s="7" t="inlineStr">
        <is>
          <t>FINALIZADO</t>
        </is>
      </c>
      <c r="W282" s="7" t="inlineStr"/>
      <c r="X282" s="7" t="inlineStr">
        <is>
          <t>MEDIÇÃO CONCLUÍDA</t>
        </is>
      </c>
      <c r="Y282" s="11">
        <f>IF(AND(L282&lt;&gt;"", S282&lt;&gt;""), S282-L282, IF(L282&lt;&gt;"", TODAY()-L282, ""))</f>
        <v/>
      </c>
      <c r="Z282" s="7">
        <f>IF(Y282="", "", IF(Y282&lt;=3, "NO PRAZO", "ATRASADO"))</f>
        <v/>
      </c>
      <c r="AA282" s="8" t="inlineStr">
        <is>
          <t>100% - OK</t>
        </is>
      </c>
    </row>
    <row r="283" ht="20" customHeight="1">
      <c r="A283" s="7" t="inlineStr">
        <is>
          <t>RSCLER0281</t>
        </is>
      </c>
      <c r="B283" s="8" t="inlineStr">
        <is>
          <t>PORTO ALEGRE</t>
        </is>
      </c>
      <c r="C283" s="7" t="inlineStr">
        <is>
          <t>NAVAA</t>
        </is>
      </c>
      <c r="D283" s="7" t="inlineStr"/>
      <c r="E283" s="7" t="inlineStr"/>
      <c r="F283" s="8" t="inlineStr">
        <is>
          <t>DIRETORIA</t>
        </is>
      </c>
      <c r="G283" s="8" t="inlineStr">
        <is>
          <t>Rua Ary Marinho, 14</t>
        </is>
      </c>
      <c r="H283" s="7" t="inlineStr"/>
      <c r="I283" s="8" t="inlineStr">
        <is>
          <t>ESSA OS É JUNTO COM A RSCLER0278</t>
        </is>
      </c>
      <c r="J283" s="8" t="inlineStr"/>
      <c r="K283" s="8" t="inlineStr">
        <is>
          <t>MARCIO</t>
        </is>
      </c>
      <c r="L283" s="9" t="n">
        <v>45404</v>
      </c>
      <c r="M283" s="7" t="inlineStr"/>
      <c r="N283" s="7" t="inlineStr">
        <is>
          <t>16/05/024</t>
        </is>
      </c>
      <c r="O283" s="9" t="n">
        <v>45437</v>
      </c>
      <c r="P283" s="7" t="inlineStr">
        <is>
          <t>NÃO PRECISA</t>
        </is>
      </c>
      <c r="Q283" s="9" t="n">
        <v>45497</v>
      </c>
      <c r="R283" s="7" t="inlineStr">
        <is>
          <t>Concluído Campo</t>
        </is>
      </c>
      <c r="S283" s="9" t="n">
        <v>45453</v>
      </c>
      <c r="T283" s="10" t="inlineStr"/>
      <c r="U283" s="7" t="inlineStr">
        <is>
          <t>4096750</t>
        </is>
      </c>
      <c r="V283" s="7" t="inlineStr">
        <is>
          <t>FINALIZADO</t>
        </is>
      </c>
      <c r="W283" s="7" t="inlineStr"/>
      <c r="X283" s="7" t="inlineStr">
        <is>
          <t>MEDIÇÃO CONCLUÍDA</t>
        </is>
      </c>
      <c r="Y283" s="11">
        <f>IF(AND(L283&lt;&gt;"", S283&lt;&gt;""), S283-L283, IF(L283&lt;&gt;"", TODAY()-L283, ""))</f>
        <v/>
      </c>
      <c r="Z283" s="7">
        <f>IF(Y283="", "", IF(Y283&lt;=3, "NO PRAZO", "ATRASADO"))</f>
        <v/>
      </c>
      <c r="AA283" s="8" t="inlineStr">
        <is>
          <t>100% - OK</t>
        </is>
      </c>
    </row>
    <row r="284" ht="20" customHeight="1">
      <c r="A284" s="7" t="inlineStr">
        <is>
          <t>RSCLER0282</t>
        </is>
      </c>
      <c r="B284" s="8" t="inlineStr">
        <is>
          <t>PORTO ALEGRE</t>
        </is>
      </c>
      <c r="C284" s="7" t="inlineStr">
        <is>
          <t>NAVAA</t>
        </is>
      </c>
      <c r="D284" s="7" t="inlineStr">
        <is>
          <t>BVSAB</t>
        </is>
      </c>
      <c r="E284" s="7" t="inlineStr"/>
      <c r="F284" s="8" t="inlineStr">
        <is>
          <t>DIRETORIA</t>
        </is>
      </c>
      <c r="G284" s="8" t="inlineStr">
        <is>
          <t>Travessa Jaguarão, 45</t>
        </is>
      </c>
      <c r="H284" s="7" t="inlineStr">
        <is>
          <t>NAVAA.145.M060</t>
        </is>
      </c>
      <c r="I284" s="8" t="inlineStr">
        <is>
          <t>FOI LANÇADO 350 METROS DE CABO DE 12FO, 2 ABERTURA E FECHAMENTO, 3 FUSÃO, 1 DERIVAÇÃO, 1 CX NOVA, 1 TESTE</t>
        </is>
      </c>
      <c r="J284" s="8" t="inlineStr">
        <is>
          <t>TIAGO</t>
        </is>
      </c>
      <c r="K284" s="8" t="inlineStr">
        <is>
          <t>ANDERSON</t>
        </is>
      </c>
      <c r="L284" s="9" t="n">
        <v>45404</v>
      </c>
      <c r="M284" s="9" t="n">
        <v>45446</v>
      </c>
      <c r="N284" s="9" t="n">
        <v>45466</v>
      </c>
      <c r="O284" s="9" t="n">
        <v>45466</v>
      </c>
      <c r="P284" s="7" t="inlineStr">
        <is>
          <t>NÃO PRECISA</t>
        </is>
      </c>
      <c r="Q284" s="9" t="n">
        <v>45469</v>
      </c>
      <c r="R284" s="7" t="inlineStr">
        <is>
          <t>Concluído Campo</t>
        </is>
      </c>
      <c r="S284" s="9" t="n">
        <v>45444</v>
      </c>
      <c r="T284" s="10" t="inlineStr"/>
      <c r="U284" s="7" t="inlineStr">
        <is>
          <t>4096750</t>
        </is>
      </c>
      <c r="V284" s="7" t="inlineStr">
        <is>
          <t>FINALIZADO</t>
        </is>
      </c>
      <c r="W284" s="7" t="inlineStr"/>
      <c r="X284" s="7" t="inlineStr">
        <is>
          <t>MEDIÇÃO CONCLUÍDA</t>
        </is>
      </c>
      <c r="Y284" s="11">
        <f>IF(AND(L284&lt;&gt;"", S284&lt;&gt;""), S284-L284, IF(L284&lt;&gt;"", TODAY()-L284, ""))</f>
        <v/>
      </c>
      <c r="Z284" s="7">
        <f>IF(Y284="", "", IF(Y284&lt;=3, "NO PRAZO", "ATRASADO"))</f>
        <v/>
      </c>
      <c r="AA284" s="8" t="inlineStr">
        <is>
          <t>100% - OK</t>
        </is>
      </c>
    </row>
    <row r="285" ht="20" customHeight="1">
      <c r="A285" s="7" t="inlineStr">
        <is>
          <t>RSCLER0283</t>
        </is>
      </c>
      <c r="B285" s="8" t="inlineStr">
        <is>
          <t>PORTO ALEGRE</t>
        </is>
      </c>
      <c r="C285" s="7" t="inlineStr">
        <is>
          <t>BVSAA</t>
        </is>
      </c>
      <c r="D285" s="7" t="inlineStr">
        <is>
          <t>BVSAIA</t>
        </is>
      </c>
      <c r="E285" s="7" t="inlineStr"/>
      <c r="F285" s="8" t="inlineStr">
        <is>
          <t>DIRETORIA</t>
        </is>
      </c>
      <c r="G285" s="8" t="inlineStr">
        <is>
          <t>Anita Gardibaldi, 1418</t>
        </is>
      </c>
      <c r="H285" s="7" t="inlineStr">
        <is>
          <t>BVSAA.081.M030</t>
        </is>
      </c>
      <c r="I285" s="8" t="inlineStr">
        <is>
          <t>FOI LANÇADO 163 METROS DE CABO DE 12 FO, FOI LANÇADO 174 METROS DE CABO DE 12FO , 2 LANÇAMENTOS POIS HAVIA ERRO NO PROJETO,.4 ABERTURA E FECHAMENTO, 18 FUSÃO, 2 DERIVAÇÃO, 5 TESTE</t>
        </is>
      </c>
      <c r="J285" s="8" t="inlineStr">
        <is>
          <t>POMPEU / MALCOLN</t>
        </is>
      </c>
      <c r="K285" s="8" t="inlineStr">
        <is>
          <t>ANDERSON</t>
        </is>
      </c>
      <c r="L285" s="9" t="n">
        <v>45405</v>
      </c>
      <c r="M285" s="7" t="inlineStr"/>
      <c r="N285" s="9" t="n">
        <v>45448</v>
      </c>
      <c r="O285" s="9" t="n">
        <v>45448</v>
      </c>
      <c r="P285" s="7" t="inlineStr">
        <is>
          <t>NÃO PRECISA</t>
        </is>
      </c>
      <c r="Q285" s="9" t="n">
        <v>45469</v>
      </c>
      <c r="R285" s="7" t="inlineStr">
        <is>
          <t>Concluído Campo</t>
        </is>
      </c>
      <c r="S285" s="9" t="n">
        <v>45460</v>
      </c>
      <c r="T285" s="10" t="inlineStr"/>
      <c r="U285" s="7" t="inlineStr">
        <is>
          <t>4096750</t>
        </is>
      </c>
      <c r="V285" s="7" t="inlineStr">
        <is>
          <t>FINALIZADO</t>
        </is>
      </c>
      <c r="W285" s="7" t="inlineStr"/>
      <c r="X285" s="7" t="inlineStr">
        <is>
          <t>MEDIÇÃO CONCLUÍDA</t>
        </is>
      </c>
      <c r="Y285" s="11">
        <f>IF(AND(L285&lt;&gt;"", S285&lt;&gt;""), S285-L285, IF(L285&lt;&gt;"", TODAY()-L285, ""))</f>
        <v/>
      </c>
      <c r="Z285" s="7">
        <f>IF(Y285="", "", IF(Y285&lt;=3, "NO PRAZO", "ATRASADO"))</f>
        <v/>
      </c>
      <c r="AA285" s="8" t="inlineStr">
        <is>
          <t>100% - OK</t>
        </is>
      </c>
    </row>
    <row r="286" ht="20" customHeight="1">
      <c r="A286" s="7" t="inlineStr">
        <is>
          <t>RSCLER0284</t>
        </is>
      </c>
      <c r="B286" s="8" t="inlineStr">
        <is>
          <t>PORTO ALEGRE</t>
        </is>
      </c>
      <c r="C286" s="7" t="inlineStr">
        <is>
          <t>TRZAB</t>
        </is>
      </c>
      <c r="D286" s="7" t="inlineStr">
        <is>
          <t>TRZANB</t>
        </is>
      </c>
      <c r="E286" s="7" t="inlineStr">
        <is>
          <t>RSPSU22</t>
        </is>
      </c>
      <c r="F286" s="8" t="inlineStr">
        <is>
          <t>DIRETORIA</t>
        </is>
      </c>
      <c r="G286" s="8" t="inlineStr">
        <is>
          <t>Cel Marcos 2447</t>
        </is>
      </c>
      <c r="H286" s="7" t="inlineStr">
        <is>
          <t>TRZAB.109.M020</t>
        </is>
      </c>
      <c r="I286" s="8" t="inlineStr">
        <is>
          <t>FOI LANÇADO 300 METROS DE CABO DE 12FO, 2 ABERTURA E FECHAMENTO, 1 DERIVAÇÃO, 1 CX NOVA , 2 TESTE, 4 FUSÃO</t>
        </is>
      </c>
      <c r="J286" s="8" t="inlineStr">
        <is>
          <t>THIAGO</t>
        </is>
      </c>
      <c r="K286" s="8" t="inlineStr">
        <is>
          <t>ANDERSON</t>
        </is>
      </c>
      <c r="L286" s="9" t="n">
        <v>45405</v>
      </c>
      <c r="M286" s="9" t="n">
        <v>45432</v>
      </c>
      <c r="N286" s="9" t="n">
        <v>45453</v>
      </c>
      <c r="O286" s="9" t="n">
        <v>45453</v>
      </c>
      <c r="P286" s="7" t="inlineStr">
        <is>
          <t>NÃO PRECISA</t>
        </is>
      </c>
      <c r="Q286" s="9" t="n">
        <v>45469</v>
      </c>
      <c r="R286" s="7" t="inlineStr">
        <is>
          <t>Concluído Campo</t>
        </is>
      </c>
      <c r="S286" s="7" t="inlineStr"/>
      <c r="T286" s="10" t="inlineStr"/>
      <c r="U286" s="7" t="inlineStr"/>
      <c r="V286" s="7" t="inlineStr"/>
      <c r="W286" s="7" t="inlineStr"/>
      <c r="X286" s="7" t="inlineStr">
        <is>
          <t>AG. MEDIÇÃO</t>
        </is>
      </c>
      <c r="Y286" s="11">
        <f>IF(AND(L286&lt;&gt;"", S286&lt;&gt;""), S286-L286, IF(L286&lt;&gt;"", TODAY()-L286, ""))</f>
        <v/>
      </c>
      <c r="Z286" s="7">
        <f>IF(Y286="", "", IF(Y286&lt;=3, "NO PRAZO", "ATRASADO"))</f>
        <v/>
      </c>
      <c r="AA286" s="8" t="inlineStr">
        <is>
          <t>100% - OK</t>
        </is>
      </c>
    </row>
    <row r="287" ht="20" customHeight="1">
      <c r="A287" s="7" t="inlineStr">
        <is>
          <t>RSCLER0285</t>
        </is>
      </c>
      <c r="B287" s="8" t="inlineStr">
        <is>
          <t>PORTO ALEGRE</t>
        </is>
      </c>
      <c r="C287" s="7" t="inlineStr">
        <is>
          <t>BVSAB</t>
        </is>
      </c>
      <c r="D287" s="7" t="inlineStr">
        <is>
          <t>BVSAHA</t>
        </is>
      </c>
      <c r="E287" s="7" t="inlineStr"/>
      <c r="F287" s="8" t="inlineStr">
        <is>
          <t>DIRETORIA</t>
        </is>
      </c>
      <c r="G287" s="8" t="inlineStr">
        <is>
          <t>Alameda Eduardo Guimarães, 135</t>
        </is>
      </c>
      <c r="H287" s="7" t="inlineStr">
        <is>
          <t>BVSAB.033.M050</t>
        </is>
      </c>
      <c r="I287" s="8" t="inlineStr">
        <is>
          <t>FOI LANÇADO 150 METROS DE CABO DE 12FO, 3 ABERTURA E FECHAMENTO, 6 FUSÃO, 1 DERIVAÇÃO, 1 CX NOVA, 2 TESTE,</t>
        </is>
      </c>
      <c r="J287" s="8" t="inlineStr">
        <is>
          <t>THIAGO</t>
        </is>
      </c>
      <c r="K287" s="8" t="inlineStr">
        <is>
          <t>FABIO AMARILIO</t>
        </is>
      </c>
      <c r="L287" s="9" t="n">
        <v>45405</v>
      </c>
      <c r="M287" s="9" t="n">
        <v>45442</v>
      </c>
      <c r="N287" s="9" t="n">
        <v>45444</v>
      </c>
      <c r="O287" s="9" t="n">
        <v>45444</v>
      </c>
      <c r="P287" s="7" t="inlineStr">
        <is>
          <t>NÃO PRECISA</t>
        </is>
      </c>
      <c r="Q287" s="9" t="n">
        <v>45469</v>
      </c>
      <c r="R287" s="7" t="inlineStr">
        <is>
          <t>Concluído Campo</t>
        </is>
      </c>
      <c r="S287" s="9" t="n">
        <v>45457</v>
      </c>
      <c r="T287" s="10" t="inlineStr"/>
      <c r="U287" s="7" t="inlineStr">
        <is>
          <t>4096750</t>
        </is>
      </c>
      <c r="V287" s="7" t="inlineStr">
        <is>
          <t>FINALIZADO</t>
        </is>
      </c>
      <c r="W287" s="7" t="inlineStr"/>
      <c r="X287" s="7" t="inlineStr">
        <is>
          <t>MEDIÇÃO CONCLUÍDA</t>
        </is>
      </c>
      <c r="Y287" s="11">
        <f>IF(AND(L287&lt;&gt;"", S287&lt;&gt;""), S287-L287, IF(L287&lt;&gt;"", TODAY()-L287, ""))</f>
        <v/>
      </c>
      <c r="Z287" s="7">
        <f>IF(Y287="", "", IF(Y287&lt;=3, "NO PRAZO", "ATRASADO"))</f>
        <v/>
      </c>
      <c r="AA287" s="8" t="inlineStr">
        <is>
          <t>100% - OK</t>
        </is>
      </c>
    </row>
    <row r="288" ht="20" customHeight="1">
      <c r="A288" s="7" t="inlineStr">
        <is>
          <t>RSCLER0286</t>
        </is>
      </c>
      <c r="B288" s="8" t="inlineStr">
        <is>
          <t>PORTO ALEGRE</t>
        </is>
      </c>
      <c r="C288" s="7" t="inlineStr">
        <is>
          <t>VIPAA</t>
        </is>
      </c>
      <c r="D288" s="7" t="inlineStr">
        <is>
          <t>SPEAH</t>
        </is>
      </c>
      <c r="E288" s="7" t="inlineStr"/>
      <c r="F288" s="8" t="inlineStr">
        <is>
          <t>DIRETORIA</t>
        </is>
      </c>
      <c r="G288" s="8" t="inlineStr">
        <is>
          <t>Adão Baino, 261</t>
        </is>
      </c>
      <c r="H288" s="7" t="inlineStr">
        <is>
          <t>VIPAA.021.M060</t>
        </is>
      </c>
      <c r="I288" s="8" t="inlineStr">
        <is>
          <t>FOI LANÇADO 323 METROS DE CABO DE 12FO, LANÇADO 209 METROS DE CABO DE 12FO-FOI LANÇADO 405 METROS DE CABO DE 12FO,  FOI FEITO 3 LANÇAMENTOS POR ERRO DE PROJETO, 3 ABERTURA E FECHAMENTO, 6 DERIVAÇÃO, 12 FUSÃO , 1 CX NOVA , 3 TESTE</t>
        </is>
      </c>
      <c r="J288" s="8" t="inlineStr">
        <is>
          <t>ALAN / LAMBRETA / THIAGO</t>
        </is>
      </c>
      <c r="K288" s="8" t="inlineStr">
        <is>
          <t>FABIO AMARILIO</t>
        </is>
      </c>
      <c r="L288" s="9" t="n">
        <v>45405</v>
      </c>
      <c r="M288" s="9" t="n">
        <v>45447</v>
      </c>
      <c r="N288" s="7" t="inlineStr">
        <is>
          <t>17/0/2024</t>
        </is>
      </c>
      <c r="O288" s="9" t="n">
        <v>45460</v>
      </c>
      <c r="P288" s="7" t="inlineStr">
        <is>
          <t>NÃO PRECISA</t>
        </is>
      </c>
      <c r="Q288" s="9" t="n">
        <v>45469</v>
      </c>
      <c r="R288" s="7" t="inlineStr">
        <is>
          <t>Concluído Campo</t>
        </is>
      </c>
      <c r="S288" s="9" t="n">
        <v>45406</v>
      </c>
      <c r="T288" s="10" t="inlineStr"/>
      <c r="U288" s="7" t="inlineStr">
        <is>
          <t>4039380</t>
        </is>
      </c>
      <c r="V288" s="7" t="inlineStr">
        <is>
          <t>FINALIZADO</t>
        </is>
      </c>
      <c r="W288" s="7" t="inlineStr"/>
      <c r="X288" s="7" t="inlineStr">
        <is>
          <t>MEDIÇÃO CONCLUÍDA</t>
        </is>
      </c>
      <c r="Y288" s="11">
        <f>IF(AND(L288&lt;&gt;"", S288&lt;&gt;""), S288-L288, IF(L288&lt;&gt;"", TODAY()-L288, ""))</f>
        <v/>
      </c>
      <c r="Z288" s="7">
        <f>IF(Y288="", "", IF(Y288&lt;=3, "NO PRAZO", "ATRASADO"))</f>
        <v/>
      </c>
      <c r="AA288" s="8" t="inlineStr">
        <is>
          <t>100% - OK</t>
        </is>
      </c>
    </row>
    <row r="289" ht="20" customHeight="1">
      <c r="A289" s="7" t="inlineStr">
        <is>
          <t>RSCLER0287</t>
        </is>
      </c>
      <c r="B289" s="8" t="inlineStr">
        <is>
          <t>PORTO ALEGRE</t>
        </is>
      </c>
      <c r="C289" s="7" t="inlineStr">
        <is>
          <t>VIPAA</t>
        </is>
      </c>
      <c r="D289" s="7" t="inlineStr">
        <is>
          <t>SPEAH</t>
        </is>
      </c>
      <c r="E289" s="7" t="inlineStr"/>
      <c r="F289" s="8" t="inlineStr">
        <is>
          <t>DIRETORIA</t>
        </is>
      </c>
      <c r="G289" s="8" t="inlineStr">
        <is>
          <t>Adão Baino, 274</t>
        </is>
      </c>
      <c r="H289" s="7" t="inlineStr">
        <is>
          <t>VIPAA.021.M060.</t>
        </is>
      </c>
      <c r="I289" s="8" t="inlineStr">
        <is>
          <t>OS COBRADA JUNTAMENTO COM A OS RSCLER0283</t>
        </is>
      </c>
      <c r="J289" s="8" t="inlineStr"/>
      <c r="K289" s="8" t="inlineStr">
        <is>
          <t>FABIO AMARILIO</t>
        </is>
      </c>
      <c r="L289" s="9" t="n">
        <v>45405</v>
      </c>
      <c r="M289" s="7" t="inlineStr"/>
      <c r="N289" s="7" t="inlineStr">
        <is>
          <t>17/0/2025</t>
        </is>
      </c>
      <c r="O289" s="9" t="n">
        <v>45461</v>
      </c>
      <c r="P289" s="7" t="inlineStr">
        <is>
          <t>NÃO PRECISA</t>
        </is>
      </c>
      <c r="Q289" s="9" t="n">
        <v>45497</v>
      </c>
      <c r="R289" s="7" t="inlineStr">
        <is>
          <t>Concluído Campo</t>
        </is>
      </c>
      <c r="S289" s="9" t="n">
        <v>45434</v>
      </c>
      <c r="T289" s="10" t="inlineStr"/>
      <c r="U289" s="7" t="inlineStr">
        <is>
          <t>4040705</t>
        </is>
      </c>
      <c r="V289" s="7" t="inlineStr">
        <is>
          <t>FINALIZADO</t>
        </is>
      </c>
      <c r="W289" s="7" t="inlineStr"/>
      <c r="X289" s="7" t="inlineStr">
        <is>
          <t>MEDIÇÃO CONCLUÍDA</t>
        </is>
      </c>
      <c r="Y289" s="11">
        <f>IF(AND(L289&lt;&gt;"", S289&lt;&gt;""), S289-L289, IF(L289&lt;&gt;"", TODAY()-L289, ""))</f>
        <v/>
      </c>
      <c r="Z289" s="7">
        <f>IF(Y289="", "", IF(Y289&lt;=3, "NO PRAZO", "ATRASADO"))</f>
        <v/>
      </c>
      <c r="AA289" s="8" t="inlineStr">
        <is>
          <t>100% - OK</t>
        </is>
      </c>
    </row>
    <row r="290" ht="20" customHeight="1">
      <c r="A290" s="7" t="inlineStr">
        <is>
          <t>RSCLER0288</t>
        </is>
      </c>
      <c r="B290" s="8" t="inlineStr">
        <is>
          <t>PORTO ALEGRE</t>
        </is>
      </c>
      <c r="C290" s="7" t="inlineStr">
        <is>
          <t>JITAB</t>
        </is>
      </c>
      <c r="D290" s="7" t="inlineStr">
        <is>
          <t>VIPAIA</t>
        </is>
      </c>
      <c r="E290" s="7" t="inlineStr"/>
      <c r="F290" s="8" t="inlineStr">
        <is>
          <t>DIRETORIA</t>
        </is>
      </c>
      <c r="G290" s="8" t="inlineStr">
        <is>
          <t>Gomes de Freitas, 524</t>
        </is>
      </c>
      <c r="H290" s="7" t="inlineStr">
        <is>
          <t>JITAB.094.M040</t>
        </is>
      </c>
      <c r="I290" s="8" t="inlineStr">
        <is>
          <t>FOI LANÇADO 83 METROS DE CABO DE 12FO, 2 ABERTURA E FECHAMENTO,1 DERIVAÇÃO, 1 CX NOVA, 1 TESTE, 2 FUSÃO</t>
        </is>
      </c>
      <c r="J290" s="8" t="inlineStr">
        <is>
          <t>TIAGO LAMBRETA</t>
        </is>
      </c>
      <c r="K290" s="8" t="inlineStr">
        <is>
          <t>ANDERSON</t>
        </is>
      </c>
      <c r="L290" s="9" t="n">
        <v>45405</v>
      </c>
      <c r="M290" s="9" t="n">
        <v>45450</v>
      </c>
      <c r="N290" s="9" t="n">
        <v>45457</v>
      </c>
      <c r="O290" s="9" t="n">
        <v>45457</v>
      </c>
      <c r="P290" s="7" t="inlineStr">
        <is>
          <t>NÃO PRECISA</t>
        </is>
      </c>
      <c r="Q290" s="9" t="n">
        <v>45469</v>
      </c>
      <c r="R290" s="7" t="inlineStr">
        <is>
          <t>Concluído Campo</t>
        </is>
      </c>
      <c r="S290" s="9" t="n">
        <v>45434</v>
      </c>
      <c r="T290" s="10" t="inlineStr"/>
      <c r="U290" s="7" t="inlineStr">
        <is>
          <t>4040705</t>
        </is>
      </c>
      <c r="V290" s="7" t="inlineStr">
        <is>
          <t>FINALIZADO</t>
        </is>
      </c>
      <c r="W290" s="7" t="inlineStr"/>
      <c r="X290" s="7" t="inlineStr">
        <is>
          <t>MEDIÇÃO CONCLUÍDA</t>
        </is>
      </c>
      <c r="Y290" s="11">
        <f>IF(AND(L290&lt;&gt;"", S290&lt;&gt;""), S290-L290, IF(L290&lt;&gt;"", TODAY()-L290, ""))</f>
        <v/>
      </c>
      <c r="Z290" s="7">
        <f>IF(Y290="", "", IF(Y290&lt;=3, "NO PRAZO", "ATRASADO"))</f>
        <v/>
      </c>
      <c r="AA290" s="8" t="inlineStr">
        <is>
          <t>100% - OK</t>
        </is>
      </c>
    </row>
    <row r="291" ht="20" customHeight="1">
      <c r="A291" s="7" t="inlineStr">
        <is>
          <t>RSCLER0289</t>
        </is>
      </c>
      <c r="B291" s="8" t="inlineStr">
        <is>
          <t>PORTO ALEGRE</t>
        </is>
      </c>
      <c r="C291" s="7" t="inlineStr">
        <is>
          <t>MTSAA</t>
        </is>
      </c>
      <c r="D291" s="7" t="inlineStr">
        <is>
          <t>MTSAOB</t>
        </is>
      </c>
      <c r="E291" s="7" t="inlineStr">
        <is>
          <t>PAE BV</t>
        </is>
      </c>
      <c r="F291" s="8" t="inlineStr">
        <is>
          <t>DIRETORIA</t>
        </is>
      </c>
      <c r="G291" s="8" t="inlineStr">
        <is>
          <t>R Carvalho Monteiro</t>
        </is>
      </c>
      <c r="H291" s="7" t="inlineStr">
        <is>
          <t>MTSAA.151.M050</t>
        </is>
      </c>
      <c r="I291" s="8" t="inlineStr">
        <is>
          <t>FOI LANÇADO 347 METROS DE CABO DE 12FO, 3 ABERTURA E FECHAMENTO, 16 FUSÃO, 1 CX NOVA, 1 DERIVAÇÃO, 7 TESTE</t>
        </is>
      </c>
      <c r="J291" s="8" t="inlineStr">
        <is>
          <t>TIAGO LAMBRETA</t>
        </is>
      </c>
      <c r="K291" s="8" t="inlineStr">
        <is>
          <t>FABIO AMARILIO</t>
        </is>
      </c>
      <c r="L291" s="9" t="n">
        <v>45408</v>
      </c>
      <c r="M291" s="9" t="n">
        <v>45449</v>
      </c>
      <c r="N291" s="9" t="n">
        <v>45454</v>
      </c>
      <c r="O291" s="9" t="n">
        <v>45454</v>
      </c>
      <c r="P291" s="7" t="inlineStr">
        <is>
          <t>NÃO PRECISA</t>
        </is>
      </c>
      <c r="Q291" s="9" t="n">
        <v>45469</v>
      </c>
      <c r="R291" s="7" t="inlineStr">
        <is>
          <t>Concluído Campo</t>
        </is>
      </c>
      <c r="S291" s="9" t="n">
        <v>45419</v>
      </c>
      <c r="T291" s="10" t="inlineStr"/>
      <c r="U291" s="7" t="inlineStr">
        <is>
          <t>4040705</t>
        </is>
      </c>
      <c r="V291" s="7" t="inlineStr">
        <is>
          <t>FINALIZADO</t>
        </is>
      </c>
      <c r="W291" s="7" t="inlineStr"/>
      <c r="X291" s="7" t="inlineStr">
        <is>
          <t>MEDIÇÃO CONCLUÍDA</t>
        </is>
      </c>
      <c r="Y291" s="11">
        <f>IF(AND(L291&lt;&gt;"", S291&lt;&gt;""), S291-L291, IF(L291&lt;&gt;"", TODAY()-L291, ""))</f>
        <v/>
      </c>
      <c r="Z291" s="7">
        <f>IF(Y291="", "", IF(Y291&lt;=3, "NO PRAZO", "ATRASADO"))</f>
        <v/>
      </c>
      <c r="AA291" s="8" t="inlineStr">
        <is>
          <t>100% - OK</t>
        </is>
      </c>
    </row>
    <row r="292" ht="20" customHeight="1">
      <c r="A292" s="7" t="inlineStr">
        <is>
          <t>RSCLER0290</t>
        </is>
      </c>
      <c r="B292" s="8" t="inlineStr">
        <is>
          <t>PORTO ALEGRE</t>
        </is>
      </c>
      <c r="C292" s="7" t="inlineStr">
        <is>
          <t>BVSAB</t>
        </is>
      </c>
      <c r="D292" s="7" t="inlineStr"/>
      <c r="E292" s="7" t="inlineStr"/>
      <c r="F292" s="8" t="inlineStr">
        <is>
          <t>ED FERRAZES</t>
        </is>
      </c>
      <c r="G292" s="8" t="inlineStr">
        <is>
          <t>ACIONAMENTO PILOTTI</t>
        </is>
      </c>
      <c r="H292" s="7" t="inlineStr"/>
      <c r="I292" s="8" t="inlineStr">
        <is>
          <t>2 ABERTURA E FECHAMENTO, 2 FUSÃO, 1 TESTE</t>
        </is>
      </c>
      <c r="J292" s="8" t="inlineStr"/>
      <c r="K292" s="8" t="inlineStr">
        <is>
          <t>MARCIO</t>
        </is>
      </c>
      <c r="L292" s="9" t="n">
        <v>45406</v>
      </c>
      <c r="M292" s="7" t="inlineStr"/>
      <c r="N292" s="9" t="n">
        <v>45406</v>
      </c>
      <c r="O292" s="9" t="n">
        <v>45406</v>
      </c>
      <c r="P292" s="7" t="inlineStr">
        <is>
          <t>NÃO PRECISA</t>
        </is>
      </c>
      <c r="Q292" s="9" t="n">
        <v>45439</v>
      </c>
      <c r="R292" s="7" t="inlineStr">
        <is>
          <t>Concluído Campo</t>
        </is>
      </c>
      <c r="S292" s="9" t="n">
        <v>45433</v>
      </c>
      <c r="T292" s="10" t="inlineStr"/>
      <c r="U292" s="7" t="inlineStr">
        <is>
          <t>4040705</t>
        </is>
      </c>
      <c r="V292" s="7" t="inlineStr">
        <is>
          <t>FINALIZADO</t>
        </is>
      </c>
      <c r="W292" s="7" t="inlineStr"/>
      <c r="X292" s="7" t="inlineStr">
        <is>
          <t>MEDIÇÃO CONCLUÍDA</t>
        </is>
      </c>
      <c r="Y292" s="11">
        <f>IF(AND(L292&lt;&gt;"", S292&lt;&gt;""), S292-L292, IF(L292&lt;&gt;"", TODAY()-L292, ""))</f>
        <v/>
      </c>
      <c r="Z292" s="7">
        <f>IF(Y292="", "", IF(Y292&lt;=3, "NO PRAZO", "ATRASADO"))</f>
        <v/>
      </c>
      <c r="AA292" s="8" t="inlineStr">
        <is>
          <t>100% - OK</t>
        </is>
      </c>
    </row>
    <row r="293" ht="20" customHeight="1">
      <c r="A293" s="7" t="inlineStr">
        <is>
          <t>RSCLER0291</t>
        </is>
      </c>
      <c r="B293" s="8" t="inlineStr">
        <is>
          <t>PORTO ALEGRE</t>
        </is>
      </c>
      <c r="C293" s="7" t="inlineStr">
        <is>
          <t>RBRAA</t>
        </is>
      </c>
      <c r="D293" s="7" t="inlineStr">
        <is>
          <t>RBRAA</t>
        </is>
      </c>
      <c r="E293" s="7" t="inlineStr"/>
      <c r="F293" s="8" t="inlineStr">
        <is>
          <t>DIRETORIA</t>
        </is>
      </c>
      <c r="G293" s="8" t="inlineStr">
        <is>
          <t>Eça de Queiroz, 867</t>
        </is>
      </c>
      <c r="H293" s="7" t="inlineStr">
        <is>
          <t>RBRAA.093.M102</t>
        </is>
      </c>
      <c r="I293" s="8" t="inlineStr">
        <is>
          <t>6 FUSÕES, 1 CX NOVA, 2 TESTE</t>
        </is>
      </c>
      <c r="J293" s="8" t="inlineStr"/>
      <c r="K293" s="8" t="inlineStr">
        <is>
          <t>ANDERSON</t>
        </is>
      </c>
      <c r="L293" s="9" t="n">
        <v>45408</v>
      </c>
      <c r="M293" s="9" t="n">
        <v>45426</v>
      </c>
      <c r="N293" s="9" t="n">
        <v>45434</v>
      </c>
      <c r="O293" s="9" t="n">
        <v>45434</v>
      </c>
      <c r="P293" s="7" t="inlineStr">
        <is>
          <t>NÃO PRECISA</t>
        </is>
      </c>
      <c r="Q293" s="9" t="n">
        <v>45439</v>
      </c>
      <c r="R293" s="7" t="inlineStr">
        <is>
          <t>Concluído Campo</t>
        </is>
      </c>
      <c r="S293" s="9" t="n">
        <v>45482</v>
      </c>
      <c r="T293" s="10" t="inlineStr"/>
      <c r="U293" s="7" t="inlineStr">
        <is>
          <t>4150752</t>
        </is>
      </c>
      <c r="V293" s="7" t="inlineStr">
        <is>
          <t>FINALIZADO</t>
        </is>
      </c>
      <c r="W293" s="7" t="inlineStr"/>
      <c r="X293" s="7" t="inlineStr">
        <is>
          <t>MEDIÇÃO CONCLUÍDA</t>
        </is>
      </c>
      <c r="Y293" s="11">
        <f>IF(AND(L293&lt;&gt;"", S293&lt;&gt;""), S293-L293, IF(L293&lt;&gt;"", TODAY()-L293, ""))</f>
        <v/>
      </c>
      <c r="Z293" s="7">
        <f>IF(Y293="", "", IF(Y293&lt;=3, "NO PRAZO", "ATRASADO"))</f>
        <v/>
      </c>
      <c r="AA293" s="8" t="inlineStr">
        <is>
          <t>100% - OK</t>
        </is>
      </c>
    </row>
    <row r="294" ht="20" customHeight="1">
      <c r="A294" s="7" t="inlineStr">
        <is>
          <t>RSCLER0292</t>
        </is>
      </c>
      <c r="B294" s="8" t="inlineStr">
        <is>
          <t>PORTO ALEGRE</t>
        </is>
      </c>
      <c r="C294" s="7" t="inlineStr">
        <is>
          <t>RBRAA</t>
        </is>
      </c>
      <c r="D294" s="7" t="inlineStr">
        <is>
          <t>RBRAA</t>
        </is>
      </c>
      <c r="E294" s="7" t="inlineStr"/>
      <c r="F294" s="8" t="inlineStr">
        <is>
          <t>DIRETORIA</t>
        </is>
      </c>
      <c r="G294" s="8" t="inlineStr">
        <is>
          <t>Reis Louzada, 189</t>
        </is>
      </c>
      <c r="H294" s="7" t="inlineStr">
        <is>
          <t>RBRAA.093.M101</t>
        </is>
      </c>
      <c r="I294" s="8" t="inlineStr">
        <is>
          <t>FOI LANÇADO 771 METROS DE CABO DE 12 FO, 5 ABERTURA E FECHAMENTO, 1 DERIVAÇÃO, 1 CX NOVA, 2 TESTE, 12 FUSÃO</t>
        </is>
      </c>
      <c r="J294" s="8" t="inlineStr">
        <is>
          <t>POMPEU</t>
        </is>
      </c>
      <c r="K294" s="8" t="inlineStr">
        <is>
          <t>ANDERSON</t>
        </is>
      </c>
      <c r="L294" s="9" t="n">
        <v>45408</v>
      </c>
      <c r="M294" s="9" t="n">
        <v>45408</v>
      </c>
      <c r="N294" s="9" t="n">
        <v>45434</v>
      </c>
      <c r="O294" s="9" t="n">
        <v>45434</v>
      </c>
      <c r="P294" s="7" t="inlineStr">
        <is>
          <t>NÃO PRECISA</t>
        </is>
      </c>
      <c r="Q294" s="9" t="n">
        <v>45439</v>
      </c>
      <c r="R294" s="7" t="inlineStr">
        <is>
          <t>Concluído Campo</t>
        </is>
      </c>
      <c r="S294" s="9" t="n">
        <v>45464</v>
      </c>
      <c r="T294" s="10" t="inlineStr"/>
      <c r="U294" s="7" t="inlineStr">
        <is>
          <t>4096750</t>
        </is>
      </c>
      <c r="V294" s="7" t="inlineStr">
        <is>
          <t>FINALIZADO</t>
        </is>
      </c>
      <c r="W294" s="7" t="inlineStr"/>
      <c r="X294" s="7" t="inlineStr">
        <is>
          <t>MEDIÇÃO CONCLUÍDA</t>
        </is>
      </c>
      <c r="Y294" s="11">
        <f>IF(AND(L294&lt;&gt;"", S294&lt;&gt;""), S294-L294, IF(L294&lt;&gt;"", TODAY()-L294, ""))</f>
        <v/>
      </c>
      <c r="Z294" s="7">
        <f>IF(Y294="", "", IF(Y294&lt;=3, "NO PRAZO", "ATRASADO"))</f>
        <v/>
      </c>
      <c r="AA294" s="8" t="inlineStr">
        <is>
          <t>100% - OK</t>
        </is>
      </c>
    </row>
    <row r="295" ht="20" customHeight="1">
      <c r="A295" s="7" t="inlineStr">
        <is>
          <t>RSCLER0293</t>
        </is>
      </c>
      <c r="B295" s="8" t="inlineStr">
        <is>
          <t>VIAMÃO</t>
        </is>
      </c>
      <c r="C295" s="7" t="inlineStr">
        <is>
          <t>SLSAA</t>
        </is>
      </c>
      <c r="D295" s="7" t="inlineStr">
        <is>
          <t>SLSAA</t>
        </is>
      </c>
      <c r="E295" s="7" t="inlineStr"/>
      <c r="F295" s="8" t="inlineStr">
        <is>
          <t>DIRETORIA</t>
        </is>
      </c>
      <c r="G295" s="8" t="inlineStr">
        <is>
          <t>TV Silveira 82</t>
        </is>
      </c>
      <c r="H295" s="7" t="inlineStr">
        <is>
          <t>SLSAA.004.03.07</t>
        </is>
      </c>
      <c r="I295" s="8" t="inlineStr">
        <is>
          <t>FOI LANÇADO 800 METROS DE CABO DE 12FO,  3 ABERTURA E FECHAMENTO, 6 FUSÃO, 1 DERIVAÇÃO, 1 NAP NOVA, 3 TESTE</t>
        </is>
      </c>
      <c r="J295" s="8" t="inlineStr">
        <is>
          <t>UBIRATAN</t>
        </is>
      </c>
      <c r="K295" s="8" t="inlineStr">
        <is>
          <t>EMILIANO</t>
        </is>
      </c>
      <c r="L295" s="9" t="n">
        <v>45408</v>
      </c>
      <c r="M295" s="9" t="n">
        <v>45409</v>
      </c>
      <c r="N295" s="9" t="n">
        <v>45419</v>
      </c>
      <c r="O295" s="9" t="n">
        <v>45419</v>
      </c>
      <c r="P295" s="7" t="inlineStr">
        <is>
          <t>NÃO PRECISA</t>
        </is>
      </c>
      <c r="Q295" s="9" t="n">
        <v>45439</v>
      </c>
      <c r="R295" s="7" t="inlineStr">
        <is>
          <t>Concluído Campo</t>
        </is>
      </c>
      <c r="S295" s="9" t="n">
        <v>45455</v>
      </c>
      <c r="T295" s="10" t="inlineStr"/>
      <c r="U295" s="7" t="inlineStr">
        <is>
          <t>4096750</t>
        </is>
      </c>
      <c r="V295" s="7" t="inlineStr">
        <is>
          <t>FINALIZADO</t>
        </is>
      </c>
      <c r="W295" s="7" t="inlineStr"/>
      <c r="X295" s="7" t="inlineStr">
        <is>
          <t>MEDIÇÃO CONCLUÍDA</t>
        </is>
      </c>
      <c r="Y295" s="11">
        <f>IF(AND(L295&lt;&gt;"", S295&lt;&gt;""), S295-L295, IF(L295&lt;&gt;"", TODAY()-L295, ""))</f>
        <v/>
      </c>
      <c r="Z295" s="7">
        <f>IF(Y295="", "", IF(Y295&lt;=3, "NO PRAZO", "ATRASADO"))</f>
        <v/>
      </c>
      <c r="AA295" s="8" t="inlineStr">
        <is>
          <t>100% - OK</t>
        </is>
      </c>
    </row>
    <row r="296" ht="20" customHeight="1">
      <c r="A296" s="7" t="inlineStr">
        <is>
          <t>RSCLER0294</t>
        </is>
      </c>
      <c r="B296" s="8" t="inlineStr">
        <is>
          <t>PORTO ALEGRE</t>
        </is>
      </c>
      <c r="C296" s="7" t="inlineStr">
        <is>
          <t>CMQAA</t>
        </is>
      </c>
      <c r="D296" s="7" t="inlineStr"/>
      <c r="E296" s="7" t="inlineStr"/>
      <c r="F296" s="8" t="inlineStr">
        <is>
          <t>DIRETORIA</t>
        </is>
      </c>
      <c r="G296" s="8" t="inlineStr">
        <is>
          <t>Otto Niemeyer, 1702</t>
        </is>
      </c>
      <c r="H296" s="7" t="inlineStr"/>
      <c r="I296" s="8" t="inlineStr">
        <is>
          <t>5 ABERTURA E FECHAMENTO, 20 FUSÃO, 5 TESTE</t>
        </is>
      </c>
      <c r="J296" s="8" t="inlineStr"/>
      <c r="K296" s="8" t="inlineStr">
        <is>
          <t>ANDERSON</t>
        </is>
      </c>
      <c r="L296" s="9" t="n">
        <v>45412</v>
      </c>
      <c r="M296" s="7" t="inlineStr"/>
      <c r="N296" s="9" t="n">
        <v>45433</v>
      </c>
      <c r="O296" s="9" t="n">
        <v>45433</v>
      </c>
      <c r="P296" s="7" t="inlineStr">
        <is>
          <t>NÃO PRECISA</t>
        </is>
      </c>
      <c r="Q296" s="9" t="n">
        <v>45439</v>
      </c>
      <c r="R296" s="7" t="inlineStr">
        <is>
          <t>Concluído Campo</t>
        </is>
      </c>
      <c r="S296" s="9" t="n">
        <v>45456</v>
      </c>
      <c r="T296" s="10" t="inlineStr"/>
      <c r="U296" s="7" t="inlineStr">
        <is>
          <t>4096750</t>
        </is>
      </c>
      <c r="V296" s="7" t="inlineStr">
        <is>
          <t>FINALIZADO</t>
        </is>
      </c>
      <c r="W296" s="7" t="inlineStr"/>
      <c r="X296" s="7" t="inlineStr">
        <is>
          <t>MEDIÇÃO CONCLUÍDA</t>
        </is>
      </c>
      <c r="Y296" s="11">
        <f>IF(AND(L296&lt;&gt;"", S296&lt;&gt;""), S296-L296, IF(L296&lt;&gt;"", TODAY()-L296, ""))</f>
        <v/>
      </c>
      <c r="Z296" s="7">
        <f>IF(Y296="", "", IF(Y296&lt;=3, "NO PRAZO", "ATRASADO"))</f>
        <v/>
      </c>
      <c r="AA296" s="8" t="inlineStr">
        <is>
          <t>100% - OK</t>
        </is>
      </c>
    </row>
    <row r="297" ht="20" customHeight="1">
      <c r="A297" s="7" t="inlineStr">
        <is>
          <t>RSCLER0295</t>
        </is>
      </c>
      <c r="B297" s="8" t="inlineStr">
        <is>
          <t>PORTO ALEGRE</t>
        </is>
      </c>
      <c r="C297" s="7" t="inlineStr">
        <is>
          <t>TRLAA</t>
        </is>
      </c>
      <c r="D297" s="7" t="inlineStr">
        <is>
          <t>TRLAG</t>
        </is>
      </c>
      <c r="E297" s="7" t="inlineStr">
        <is>
          <t>HUB ZONA SUL</t>
        </is>
      </c>
      <c r="F297" s="8" t="inlineStr">
        <is>
          <t>DIRETORIA</t>
        </is>
      </c>
      <c r="G297" s="8" t="inlineStr">
        <is>
          <t>Costa Lima, 790</t>
        </is>
      </c>
      <c r="H297" s="7" t="inlineStr">
        <is>
          <t>TRLAA.221.M010</t>
        </is>
      </c>
      <c r="I297" s="8" t="inlineStr">
        <is>
          <t>FOI LANÇADO 994 METROS DE CABO DE 12FO TERÁ DOIS LANÇAMENTOS, POR MUDANÇA DE PROJETO, FOI LANÇADO 437 METROS DE CABO DE 12FO, 6 ABERTURA E FECHAMENTO, 24 FUSÃO, 2 DERIVAÇÃO, 1 CX NOVA, 4 TESTE</t>
        </is>
      </c>
      <c r="J297" s="8" t="inlineStr">
        <is>
          <t>UBIRATAN / VICTOR</t>
        </is>
      </c>
      <c r="K297" s="8" t="inlineStr">
        <is>
          <t>MARCOS EMILIANO</t>
        </is>
      </c>
      <c r="L297" s="9" t="n">
        <v>45412</v>
      </c>
      <c r="M297" s="9" t="n">
        <v>45454</v>
      </c>
      <c r="N297" s="9" t="n">
        <v>45482</v>
      </c>
      <c r="O297" s="9" t="n">
        <v>45482</v>
      </c>
      <c r="P297" s="7" t="inlineStr">
        <is>
          <t>NÃO PRECISA</t>
        </is>
      </c>
      <c r="Q297" s="9" t="n">
        <v>45497</v>
      </c>
      <c r="R297" s="7" t="inlineStr">
        <is>
          <t>Concluído Campo</t>
        </is>
      </c>
      <c r="S297" s="9" t="n">
        <v>45433</v>
      </c>
      <c r="T297" s="10" t="inlineStr"/>
      <c r="U297" s="7" t="inlineStr">
        <is>
          <t>4096750</t>
        </is>
      </c>
      <c r="V297" s="7" t="inlineStr">
        <is>
          <t>FINALIZADO</t>
        </is>
      </c>
      <c r="W297" s="7" t="inlineStr"/>
      <c r="X297" s="7" t="inlineStr">
        <is>
          <t>MEDIÇÃO CONCLUÍDA</t>
        </is>
      </c>
      <c r="Y297" s="11">
        <f>IF(AND(L297&lt;&gt;"", S297&lt;&gt;""), S297-L297, IF(L297&lt;&gt;"", TODAY()-L297, ""))</f>
        <v/>
      </c>
      <c r="Z297" s="7">
        <f>IF(Y297="", "", IF(Y297&lt;=3, "NO PRAZO", "ATRASADO"))</f>
        <v/>
      </c>
      <c r="AA297" s="8" t="inlineStr">
        <is>
          <t>100% - OK</t>
        </is>
      </c>
    </row>
    <row r="298" ht="20" customHeight="1">
      <c r="A298" s="7" t="inlineStr">
        <is>
          <t>RSCLER0296</t>
        </is>
      </c>
      <c r="B298" s="8" t="inlineStr">
        <is>
          <t>PORTO ALEGRE</t>
        </is>
      </c>
      <c r="C298" s="7" t="inlineStr">
        <is>
          <t>TRZAA</t>
        </is>
      </c>
      <c r="D298" s="7" t="inlineStr">
        <is>
          <t>TRZAF</t>
        </is>
      </c>
      <c r="E298" s="7" t="inlineStr">
        <is>
          <t>RSPSU11</t>
        </is>
      </c>
      <c r="F298" s="8" t="inlineStr">
        <is>
          <t>DIRETORIA</t>
        </is>
      </c>
      <c r="G298" s="8" t="inlineStr">
        <is>
          <t>Dr Pereira Neto, 620 600 640</t>
        </is>
      </c>
      <c r="H298" s="7" t="inlineStr">
        <is>
          <t>TRZAA.052.M080</t>
        </is>
      </c>
      <c r="I298" s="8" t="inlineStr">
        <is>
          <t>FOI LANÇADO 186 METROS DE CABO DE 12FO, FOI LANÇADO 159 METROS DE CABO DE 12FO, TEVE 2 LANÇAMENTOS POR INSUFICIENCIA DE FIBRA, 4 ABERTURA E FECHAMENTO, 4 DERIVAÇÃO,11 FUSÃO, 1 CX NOVA, 3 TESTE</t>
        </is>
      </c>
      <c r="J298" s="8" t="inlineStr">
        <is>
          <t>UBIRATAN</t>
        </is>
      </c>
      <c r="K298" s="8" t="inlineStr">
        <is>
          <t>FABIO AMARILIO</t>
        </is>
      </c>
      <c r="L298" s="9" t="n">
        <v>45412</v>
      </c>
      <c r="M298" s="9" t="n">
        <v>45449</v>
      </c>
      <c r="N298" s="9" t="n">
        <v>45464</v>
      </c>
      <c r="O298" s="9" t="n">
        <v>45464</v>
      </c>
      <c r="P298" s="7" t="inlineStr">
        <is>
          <t>NÃO PRECISA</t>
        </is>
      </c>
      <c r="Q298" s="9" t="n">
        <v>45469</v>
      </c>
      <c r="R298" s="7" t="inlineStr">
        <is>
          <t>Concluído Campo</t>
        </is>
      </c>
      <c r="S298" s="9" t="n">
        <v>45449</v>
      </c>
      <c r="T298" s="10" t="inlineStr"/>
      <c r="U298" s="7" t="inlineStr">
        <is>
          <t>4096750</t>
        </is>
      </c>
      <c r="V298" s="7" t="inlineStr">
        <is>
          <t>FINALIZADO</t>
        </is>
      </c>
      <c r="W298" s="7" t="inlineStr"/>
      <c r="X298" s="7" t="inlineStr">
        <is>
          <t>MEDIÇÃO CONCLUÍDA</t>
        </is>
      </c>
      <c r="Y298" s="11">
        <f>IF(AND(L298&lt;&gt;"", S298&lt;&gt;""), S298-L298, IF(L298&lt;&gt;"", TODAY()-L298, ""))</f>
        <v/>
      </c>
      <c r="Z298" s="7">
        <f>IF(Y298="", "", IF(Y298&lt;=3, "NO PRAZO", "ATRASADO"))</f>
        <v/>
      </c>
      <c r="AA298" s="8" t="inlineStr">
        <is>
          <t>100% - OK</t>
        </is>
      </c>
    </row>
    <row r="299" ht="20" customHeight="1">
      <c r="A299" s="7" t="inlineStr">
        <is>
          <t>RSCLER0297</t>
        </is>
      </c>
      <c r="B299" s="8" t="inlineStr">
        <is>
          <t>PORTO ALEGRE</t>
        </is>
      </c>
      <c r="C299" s="7" t="inlineStr">
        <is>
          <t>MNDAC</t>
        </is>
      </c>
      <c r="D299" s="7" t="inlineStr">
        <is>
          <t>MNDAM</t>
        </is>
      </c>
      <c r="E299" s="7" t="inlineStr"/>
      <c r="F299" s="8" t="inlineStr">
        <is>
          <t>DIRETORIA</t>
        </is>
      </c>
      <c r="G299" s="8" t="inlineStr">
        <is>
          <t>Otávio Dutra, 164 174</t>
        </is>
      </c>
      <c r="H299" s="7" t="inlineStr">
        <is>
          <t>MNDAC.081.M030</t>
        </is>
      </c>
      <c r="I299" s="8" t="inlineStr">
        <is>
          <t>FOI LANÇADO 149 METROS DE CABO DE 24FO, 8 ABERTURA E FECHAMENTO, 25 FUSÃO, 1 DERIVAÇÃO, 1 SPLITTER NOVO, 1 CX NOVA, 4 TESTE</t>
        </is>
      </c>
      <c r="J299" s="8" t="inlineStr">
        <is>
          <t>THIAGO LAMBRETA</t>
        </is>
      </c>
      <c r="K299" s="8" t="inlineStr">
        <is>
          <t>ANDERSON</t>
        </is>
      </c>
      <c r="L299" s="9" t="n">
        <v>45412</v>
      </c>
      <c r="M299" s="9" t="n">
        <v>45427</v>
      </c>
      <c r="N299" s="9" t="n">
        <v>45426</v>
      </c>
      <c r="O299" s="9" t="n">
        <v>45455</v>
      </c>
      <c r="P299" s="7" t="inlineStr">
        <is>
          <t>NÃO PRECISA</t>
        </is>
      </c>
      <c r="Q299" s="9" t="n">
        <v>45469</v>
      </c>
      <c r="R299" s="7" t="inlineStr">
        <is>
          <t>Concluído Campo</t>
        </is>
      </c>
      <c r="S299" s="9" t="n">
        <v>45463</v>
      </c>
      <c r="T299" s="10" t="inlineStr"/>
      <c r="U299" s="7" t="inlineStr">
        <is>
          <t>4096750</t>
        </is>
      </c>
      <c r="V299" s="7" t="inlineStr">
        <is>
          <t>FINALIZADO</t>
        </is>
      </c>
      <c r="W299" s="7" t="inlineStr"/>
      <c r="X299" s="7" t="inlineStr">
        <is>
          <t>MEDIÇÃO CONCLUÍDA</t>
        </is>
      </c>
      <c r="Y299" s="11">
        <f>IF(AND(L299&lt;&gt;"", S299&lt;&gt;""), S299-L299, IF(L299&lt;&gt;"", TODAY()-L299, ""))</f>
        <v/>
      </c>
      <c r="Z299" s="7">
        <f>IF(Y299="", "", IF(Y299&lt;=3, "NO PRAZO", "ATRASADO"))</f>
        <v/>
      </c>
      <c r="AA299" s="8" t="inlineStr">
        <is>
          <t>100% - OK</t>
        </is>
      </c>
    </row>
    <row r="300" ht="20" customHeight="1">
      <c r="A300" s="7" t="inlineStr">
        <is>
          <t>RSCLER0298</t>
        </is>
      </c>
      <c r="B300" s="8" t="inlineStr">
        <is>
          <t>PORTO ALEGRE</t>
        </is>
      </c>
      <c r="C300" s="7" t="inlineStr">
        <is>
          <t>SSOAA</t>
        </is>
      </c>
      <c r="D300" s="7" t="inlineStr">
        <is>
          <t>SSOAFA</t>
        </is>
      </c>
      <c r="E300" s="7" t="inlineStr"/>
      <c r="F300" s="8" t="inlineStr">
        <is>
          <t>DIRETORIA</t>
        </is>
      </c>
      <c r="G300" s="8" t="inlineStr">
        <is>
          <t>Panamericana, 101</t>
        </is>
      </c>
      <c r="H300" s="7" t="inlineStr">
        <is>
          <t>SSOAA.091.M090</t>
        </is>
      </c>
      <c r="I300" s="8" t="inlineStr">
        <is>
          <t>FOI LANÇADO 471 METROS DE CABO DE 12FO,8 ABERTURA E FECHAMENTO,1 DERIVAÇÃO, 1 CX NOVA 3 TESTE, 16 FUSÃO</t>
        </is>
      </c>
      <c r="J300" s="8" t="inlineStr">
        <is>
          <t>RICARDO</t>
        </is>
      </c>
      <c r="K300" s="8" t="inlineStr">
        <is>
          <t>ANDERSON</t>
        </is>
      </c>
      <c r="L300" s="9" t="n">
        <v>45412</v>
      </c>
      <c r="M300" s="9" t="n">
        <v>45427</v>
      </c>
      <c r="N300" s="9" t="n">
        <v>45456</v>
      </c>
      <c r="O300" s="9" t="n">
        <v>45456</v>
      </c>
      <c r="P300" s="7" t="inlineStr">
        <is>
          <t>NÃO PRECISA</t>
        </is>
      </c>
      <c r="Q300" s="9" t="n">
        <v>45469</v>
      </c>
      <c r="R300" s="7" t="inlineStr">
        <is>
          <t>Concluído Campo</t>
        </is>
      </c>
      <c r="S300" s="9" t="n">
        <v>45448</v>
      </c>
      <c r="T300" s="10" t="inlineStr"/>
      <c r="U300" s="7" t="inlineStr">
        <is>
          <t>4096750</t>
        </is>
      </c>
      <c r="V300" s="7" t="inlineStr">
        <is>
          <t>FINALIZADO</t>
        </is>
      </c>
      <c r="W300" s="7" t="inlineStr"/>
      <c r="X300" s="7" t="inlineStr">
        <is>
          <t>MEDIÇÃO CONCLUÍDA</t>
        </is>
      </c>
      <c r="Y300" s="11">
        <f>IF(AND(L300&lt;&gt;"", S300&lt;&gt;""), S300-L300, IF(L300&lt;&gt;"", TODAY()-L300, ""))</f>
        <v/>
      </c>
      <c r="Z300" s="7">
        <f>IF(Y300="", "", IF(Y300&lt;=3, "NO PRAZO", "ATRASADO"))</f>
        <v/>
      </c>
      <c r="AA300" s="8" t="inlineStr">
        <is>
          <t>100% - OK</t>
        </is>
      </c>
    </row>
    <row r="301" ht="20" customHeight="1">
      <c r="A301" s="7" t="inlineStr">
        <is>
          <t>RSCLER0299</t>
        </is>
      </c>
      <c r="B301" s="8" t="inlineStr">
        <is>
          <t>PORTO ALEGRE</t>
        </is>
      </c>
      <c r="C301" s="7" t="inlineStr">
        <is>
          <t>RBTAA</t>
        </is>
      </c>
      <c r="D301" s="7" t="inlineStr">
        <is>
          <t>SRDAL</t>
        </is>
      </c>
      <c r="E301" s="7" t="inlineStr"/>
      <c r="F301" s="8" t="inlineStr">
        <is>
          <t>DIRETORIA</t>
        </is>
      </c>
      <c r="G301" s="8" t="inlineStr">
        <is>
          <t>Sertório, 9200</t>
        </is>
      </c>
      <c r="H301" s="7" t="inlineStr">
        <is>
          <t>RBTAA.102.M040</t>
        </is>
      </c>
      <c r="I301" s="8" t="inlineStr">
        <is>
          <t>4 ABERTURA E FECHAMENTO, 6 FUSÕES, 2 TESTE</t>
        </is>
      </c>
      <c r="J301" s="8" t="inlineStr"/>
      <c r="K301" s="8" t="inlineStr">
        <is>
          <t>MARCOS EMILIANO</t>
        </is>
      </c>
      <c r="L301" s="9" t="n">
        <v>45412</v>
      </c>
      <c r="M301" s="9" t="n">
        <v>45433</v>
      </c>
      <c r="N301" s="9" t="n">
        <v>45433</v>
      </c>
      <c r="O301" s="9" t="n">
        <v>45433</v>
      </c>
      <c r="P301" s="7" t="inlineStr">
        <is>
          <t>NÃO PRECISA</t>
        </is>
      </c>
      <c r="Q301" s="9" t="n">
        <v>45469</v>
      </c>
      <c r="R301" s="7" t="inlineStr">
        <is>
          <t>Concluído Campo</t>
        </is>
      </c>
      <c r="S301" s="9" t="n">
        <v>45457</v>
      </c>
      <c r="T301" s="10" t="inlineStr"/>
      <c r="U301" s="7" t="inlineStr">
        <is>
          <t>4096750</t>
        </is>
      </c>
      <c r="V301" s="7" t="inlineStr">
        <is>
          <t>FINALIZADO</t>
        </is>
      </c>
      <c r="W301" s="7" t="inlineStr"/>
      <c r="X301" s="7" t="inlineStr">
        <is>
          <t>MEDIÇÃO CONCLUÍDA</t>
        </is>
      </c>
      <c r="Y301" s="11">
        <f>IF(AND(L301&lt;&gt;"", S301&lt;&gt;""), S301-L301, IF(L301&lt;&gt;"", TODAY()-L301, ""))</f>
        <v/>
      </c>
      <c r="Z301" s="7">
        <f>IF(Y301="", "", IF(Y301&lt;=3, "NO PRAZO", "ATRASADO"))</f>
        <v/>
      </c>
      <c r="AA301" s="8" t="inlineStr">
        <is>
          <t>100% - OK</t>
        </is>
      </c>
    </row>
    <row r="302" ht="20" customHeight="1">
      <c r="A302" s="7" t="inlineStr">
        <is>
          <t>RSCLER0300</t>
        </is>
      </c>
      <c r="B302" s="8" t="inlineStr">
        <is>
          <t>PORTO ALEGRE</t>
        </is>
      </c>
      <c r="C302" s="7" t="inlineStr">
        <is>
          <t>CTLAA</t>
        </is>
      </c>
      <c r="D302" s="7" t="inlineStr">
        <is>
          <t>CMQAN</t>
        </is>
      </c>
      <c r="E302" s="7" t="inlineStr">
        <is>
          <t>RSPSU07</t>
        </is>
      </c>
      <c r="F302" s="8" t="inlineStr">
        <is>
          <t>DIRETORIA</t>
        </is>
      </c>
      <c r="G302" s="8" t="inlineStr">
        <is>
          <t>Wensceslau Escobar, 1086</t>
        </is>
      </c>
      <c r="H302" s="7" t="inlineStr">
        <is>
          <t>CTLAA.107.M070</t>
        </is>
      </c>
      <c r="I302" s="8" t="inlineStr">
        <is>
          <t>FOI LANÇADO 320 METROS DE CABO DE 12FO, 8 ABERTURA E FECHAMENTO, 18 FUSÃO, 1 DERIVAÇÃO, 1 CX NOVA, 4 TESTE</t>
        </is>
      </c>
      <c r="J302" s="8" t="inlineStr">
        <is>
          <t>ALAN</t>
        </is>
      </c>
      <c r="K302" s="8" t="inlineStr">
        <is>
          <t>ADRIANO</t>
        </is>
      </c>
      <c r="L302" s="9" t="n">
        <v>45412</v>
      </c>
      <c r="M302" s="9" t="n">
        <v>45448</v>
      </c>
      <c r="N302" s="9" t="n">
        <v>45449</v>
      </c>
      <c r="O302" s="9" t="n">
        <v>45449</v>
      </c>
      <c r="P302" s="7" t="inlineStr">
        <is>
          <t>NÃO PRECISA</t>
        </is>
      </c>
      <c r="Q302" s="9" t="n">
        <v>45469</v>
      </c>
      <c r="R302" s="7" t="inlineStr">
        <is>
          <t>Concluído Campo</t>
        </is>
      </c>
      <c r="S302" s="9" t="n">
        <v>45426</v>
      </c>
      <c r="T302" s="10" t="inlineStr"/>
      <c r="U302" s="7" t="inlineStr">
        <is>
          <t>4040705</t>
        </is>
      </c>
      <c r="V302" s="7" t="inlineStr">
        <is>
          <t>FINALIZADO</t>
        </is>
      </c>
      <c r="W302" s="7" t="inlineStr"/>
      <c r="X302" s="7" t="inlineStr">
        <is>
          <t>MEDIÇÃO CONCLUÍDA</t>
        </is>
      </c>
      <c r="Y302" s="11">
        <f>IF(AND(L302&lt;&gt;"", S302&lt;&gt;""), S302-L302, IF(L302&lt;&gt;"", TODAY()-L302, ""))</f>
        <v/>
      </c>
      <c r="Z302" s="7">
        <f>IF(Y302="", "", IF(Y302&lt;=3, "NO PRAZO", "ATRASADO"))</f>
        <v/>
      </c>
      <c r="AA302" s="8" t="inlineStr">
        <is>
          <t>100% - OK</t>
        </is>
      </c>
    </row>
    <row r="303" ht="20" customHeight="1">
      <c r="A303" s="7" t="inlineStr">
        <is>
          <t>RSCLER0301</t>
        </is>
      </c>
      <c r="B303" s="8" t="inlineStr">
        <is>
          <t>PORTO ALEGRE</t>
        </is>
      </c>
      <c r="C303" s="7" t="inlineStr">
        <is>
          <t>NAVAA</t>
        </is>
      </c>
      <c r="D303" s="7" t="inlineStr">
        <is>
          <t>NAVAB</t>
        </is>
      </c>
      <c r="E303" s="7" t="inlineStr"/>
      <c r="F303" s="8" t="inlineStr">
        <is>
          <t>DIRETORIA</t>
        </is>
      </c>
      <c r="G303" s="8" t="inlineStr">
        <is>
          <t>Augusto Severo, 125</t>
        </is>
      </c>
      <c r="H303" s="7" t="inlineStr">
        <is>
          <t>NAVAA.017.M080</t>
        </is>
      </c>
      <c r="I303" s="8" t="inlineStr">
        <is>
          <t>FOI LANÇADO 530 METROS DE CABO DE 12FO, e ABERTURA E FECHAMENTO, 1 DERIVAÇÃO, 6 FUSÃO, 1 CX NOVA, 3 TESTE</t>
        </is>
      </c>
      <c r="J303" s="8" t="inlineStr">
        <is>
          <t>THIAGO LAMBRETA</t>
        </is>
      </c>
      <c r="K303" s="8" t="inlineStr">
        <is>
          <t>ADRIANO</t>
        </is>
      </c>
      <c r="L303" s="9" t="n">
        <v>45412</v>
      </c>
      <c r="M303" s="9" t="n">
        <v>45455</v>
      </c>
      <c r="N303" s="9" t="n">
        <v>45463</v>
      </c>
      <c r="O303" s="9" t="n">
        <v>45463</v>
      </c>
      <c r="P303" s="7" t="inlineStr">
        <is>
          <t>NÃO PRECISA</t>
        </is>
      </c>
      <c r="Q303" s="9" t="n">
        <v>45469</v>
      </c>
      <c r="R303" s="7" t="inlineStr">
        <is>
          <t>Concluído Campo</t>
        </is>
      </c>
      <c r="S303" s="9" t="n">
        <v>45448</v>
      </c>
      <c r="T303" s="10" t="inlineStr"/>
      <c r="U303" s="7" t="inlineStr">
        <is>
          <t>4096750</t>
        </is>
      </c>
      <c r="V303" s="7" t="inlineStr">
        <is>
          <t>FINALIZADO</t>
        </is>
      </c>
      <c r="W303" s="7" t="inlineStr"/>
      <c r="X303" s="7" t="inlineStr">
        <is>
          <t>MEDIÇÃO CONCLUÍDA</t>
        </is>
      </c>
      <c r="Y303" s="11">
        <f>IF(AND(L303&lt;&gt;"", S303&lt;&gt;""), S303-L303, IF(L303&lt;&gt;"", TODAY()-L303, ""))</f>
        <v/>
      </c>
      <c r="Z303" s="7">
        <f>IF(Y303="", "", IF(Y303&lt;=3, "NO PRAZO", "ATRASADO"))</f>
        <v/>
      </c>
      <c r="AA303" s="8" t="inlineStr">
        <is>
          <t>100% - OK</t>
        </is>
      </c>
    </row>
    <row r="304" ht="20" customHeight="1">
      <c r="A304" s="7" t="inlineStr">
        <is>
          <t>RSCLER0302</t>
        </is>
      </c>
      <c r="B304" s="8" t="inlineStr">
        <is>
          <t>PORTO ALEGRE</t>
        </is>
      </c>
      <c r="C304" s="7" t="inlineStr">
        <is>
          <t>BVSAB</t>
        </is>
      </c>
      <c r="D304" s="7" t="inlineStr">
        <is>
          <t>PETAAA</t>
        </is>
      </c>
      <c r="E304" s="7" t="inlineStr">
        <is>
          <t>PAE NR</t>
        </is>
      </c>
      <c r="F304" s="8" t="inlineStr">
        <is>
          <t>DIRETORIA</t>
        </is>
      </c>
      <c r="G304" s="8" t="inlineStr">
        <is>
          <t>Buenos Aires, 520</t>
        </is>
      </c>
      <c r="H304" s="7" t="inlineStr">
        <is>
          <t>BVSAB.111.M070</t>
        </is>
      </c>
      <c r="I304" s="8" t="inlineStr">
        <is>
          <t>FOI LANÇADO 550 METROS DE CABO DE 12 FO,  4 ABERTURA E FECHAMENTO, 20 FUSÃO, 4 DERIVAÇÃO, 1 CX NOVA, 4 TESTE</t>
        </is>
      </c>
      <c r="J304" s="8" t="inlineStr">
        <is>
          <t>THIAGO</t>
        </is>
      </c>
      <c r="K304" s="8" t="inlineStr">
        <is>
          <t>FABIO AMARILIO</t>
        </is>
      </c>
      <c r="L304" s="9" t="n">
        <v>45412</v>
      </c>
      <c r="M304" s="9" t="n">
        <v>45442</v>
      </c>
      <c r="N304" s="9" t="n">
        <v>45448</v>
      </c>
      <c r="O304" s="9" t="n">
        <v>45448</v>
      </c>
      <c r="P304" s="7" t="inlineStr">
        <is>
          <t>NÃO PRECISA</t>
        </is>
      </c>
      <c r="Q304" s="9" t="n">
        <v>45469</v>
      </c>
      <c r="R304" s="7" t="inlineStr">
        <is>
          <t>Concluído Campo</t>
        </is>
      </c>
      <c r="S304" s="9" t="n">
        <v>45461</v>
      </c>
      <c r="T304" s="10" t="inlineStr"/>
      <c r="U304" s="7" t="inlineStr">
        <is>
          <t>4096750</t>
        </is>
      </c>
      <c r="V304" s="7" t="inlineStr">
        <is>
          <t>FINALIZADO</t>
        </is>
      </c>
      <c r="W304" s="7" t="inlineStr"/>
      <c r="X304" s="7" t="inlineStr">
        <is>
          <t>MEDIÇÃO CONCLUÍDA</t>
        </is>
      </c>
      <c r="Y304" s="11">
        <f>IF(AND(L304&lt;&gt;"", S304&lt;&gt;""), S304-L304, IF(L304&lt;&gt;"", TODAY()-L304, ""))</f>
        <v/>
      </c>
      <c r="Z304" s="7">
        <f>IF(Y304="", "", IF(Y304&lt;=3, "NO PRAZO", "ATRASADO"))</f>
        <v/>
      </c>
      <c r="AA304" s="8" t="inlineStr">
        <is>
          <t>100% - OK</t>
        </is>
      </c>
    </row>
    <row r="305" ht="20" customHeight="1">
      <c r="A305" s="7" t="inlineStr">
        <is>
          <t>RSCLER0303</t>
        </is>
      </c>
      <c r="B305" s="8" t="inlineStr">
        <is>
          <t>PORTO ALEGRE</t>
        </is>
      </c>
      <c r="C305" s="7" t="inlineStr">
        <is>
          <t>JITAB</t>
        </is>
      </c>
      <c r="D305" s="7" t="inlineStr">
        <is>
          <t>JITAIA</t>
        </is>
      </c>
      <c r="E305" s="7" t="inlineStr"/>
      <c r="F305" s="8" t="inlineStr">
        <is>
          <t>DIRETORIA</t>
        </is>
      </c>
      <c r="G305" s="8" t="inlineStr">
        <is>
          <t>Copérnico, 50_55</t>
        </is>
      </c>
      <c r="H305" s="7" t="inlineStr">
        <is>
          <t>JITAB.153.M060</t>
        </is>
      </c>
      <c r="I305" s="8" t="inlineStr">
        <is>
          <t>FOI LANÇADO 278 METROS DE CABO DE 24FO, 2 ABERTURA E FECHAMENTO, 1 DERIVAÇÃO, 14 FUSÃO, 1 CX NOVA, 6 TESTE</t>
        </is>
      </c>
      <c r="J305" s="8" t="inlineStr">
        <is>
          <t>THIAGO LAMBRETA</t>
        </is>
      </c>
      <c r="K305" s="8" t="inlineStr">
        <is>
          <t>ANDERSON</t>
        </is>
      </c>
      <c r="L305" s="9" t="n">
        <v>45412</v>
      </c>
      <c r="M305" s="9" t="n">
        <v>45450</v>
      </c>
      <c r="N305" s="9" t="n">
        <v>45457</v>
      </c>
      <c r="O305" s="9" t="n">
        <v>45457</v>
      </c>
      <c r="P305" s="7" t="inlineStr">
        <is>
          <t>NÃO PRECISA</t>
        </is>
      </c>
      <c r="Q305" s="9" t="n">
        <v>45469</v>
      </c>
      <c r="R305" s="7" t="inlineStr">
        <is>
          <t>Concluído Campo</t>
        </is>
      </c>
      <c r="S305" s="9" t="n">
        <v>45433</v>
      </c>
      <c r="T305" s="10" t="inlineStr"/>
      <c r="U305" s="7" t="inlineStr">
        <is>
          <t>4040705</t>
        </is>
      </c>
      <c r="V305" s="7" t="inlineStr">
        <is>
          <t>FINALIZADO</t>
        </is>
      </c>
      <c r="W305" s="7" t="inlineStr"/>
      <c r="X305" s="7" t="inlineStr">
        <is>
          <t>MEDIÇÃO CONCLUÍDA</t>
        </is>
      </c>
      <c r="Y305" s="11">
        <f>IF(AND(L305&lt;&gt;"", S305&lt;&gt;""), S305-L305, IF(L305&lt;&gt;"", TODAY()-L305, ""))</f>
        <v/>
      </c>
      <c r="Z305" s="7">
        <f>IF(Y305="", "", IF(Y305&lt;=3, "NO PRAZO", "ATRASADO"))</f>
        <v/>
      </c>
      <c r="AA305" s="8" t="inlineStr">
        <is>
          <t>100% - OK</t>
        </is>
      </c>
    </row>
    <row r="306" ht="20" customHeight="1">
      <c r="A306" s="7" t="inlineStr">
        <is>
          <t>RSCLER0304</t>
        </is>
      </c>
      <c r="B306" s="8" t="inlineStr">
        <is>
          <t>PORTO ALEGRE</t>
        </is>
      </c>
      <c r="C306" s="7" t="inlineStr">
        <is>
          <t>NAVAA</t>
        </is>
      </c>
      <c r="D306" s="7" t="inlineStr">
        <is>
          <t>BVSAD</t>
        </is>
      </c>
      <c r="E306" s="7" t="inlineStr"/>
      <c r="F306" s="8" t="inlineStr">
        <is>
          <t>DIRETORIA</t>
        </is>
      </c>
      <c r="G306" s="8" t="inlineStr">
        <is>
          <t>Gen. Couto de Magalhães, 1876</t>
        </is>
      </c>
      <c r="H306" s="7" t="inlineStr">
        <is>
          <t>NAVAA.121.M010</t>
        </is>
      </c>
      <c r="I306" s="8" t="inlineStr">
        <is>
          <t>3 ABERTURA E FECHAMENTO, 10 FUSÃO, 5 TESTE</t>
        </is>
      </c>
      <c r="J306" s="8" t="inlineStr"/>
      <c r="K306" s="8" t="inlineStr">
        <is>
          <t>ANDERSON</t>
        </is>
      </c>
      <c r="L306" s="9" t="n">
        <v>45412</v>
      </c>
      <c r="M306" s="9" t="n">
        <v>45426</v>
      </c>
      <c r="N306" s="9" t="n">
        <v>45426</v>
      </c>
      <c r="O306" s="9" t="n">
        <v>45426</v>
      </c>
      <c r="P306" s="7" t="inlineStr">
        <is>
          <t>NÃO PRECISA</t>
        </is>
      </c>
      <c r="Q306" s="9" t="n">
        <v>45439</v>
      </c>
      <c r="R306" s="7" t="inlineStr">
        <is>
          <t>Concluído Campo</t>
        </is>
      </c>
      <c r="S306" s="9" t="n">
        <v>45434</v>
      </c>
      <c r="T306" s="10" t="inlineStr"/>
      <c r="U306" s="7" t="inlineStr">
        <is>
          <t>4040705</t>
        </is>
      </c>
      <c r="V306" s="7" t="inlineStr">
        <is>
          <t>FINALIZADO</t>
        </is>
      </c>
      <c r="W306" s="7" t="inlineStr"/>
      <c r="X306" s="7" t="inlineStr">
        <is>
          <t>MEDIÇÃO CONCLUÍDA</t>
        </is>
      </c>
      <c r="Y306" s="11">
        <f>IF(AND(L306&lt;&gt;"", S306&lt;&gt;""), S306-L306, IF(L306&lt;&gt;"", TODAY()-L306, ""))</f>
        <v/>
      </c>
      <c r="Z306" s="7">
        <f>IF(Y306="", "", IF(Y306&lt;=3, "NO PRAZO", "ATRASADO"))</f>
        <v/>
      </c>
      <c r="AA306" s="8" t="inlineStr">
        <is>
          <t>100% - OK</t>
        </is>
      </c>
    </row>
    <row r="307" ht="20" customHeight="1">
      <c r="A307" s="7" t="inlineStr">
        <is>
          <t>RSCLER0305</t>
        </is>
      </c>
      <c r="B307" s="8" t="inlineStr">
        <is>
          <t>PORTO ALEGRE</t>
        </is>
      </c>
      <c r="C307" s="7" t="inlineStr">
        <is>
          <t>PDRAA</t>
        </is>
      </c>
      <c r="D307" s="7" t="inlineStr">
        <is>
          <t>PDRAHA</t>
        </is>
      </c>
      <c r="E307" s="7" t="inlineStr"/>
      <c r="F307" s="8" t="inlineStr">
        <is>
          <t>DIRETORIA</t>
        </is>
      </c>
      <c r="G307" s="8" t="inlineStr">
        <is>
          <t>Jarii, 359</t>
        </is>
      </c>
      <c r="H307" s="7" t="inlineStr">
        <is>
          <t>PDRAA.062.M080</t>
        </is>
      </c>
      <c r="I307" s="8" t="inlineStr">
        <is>
          <t>FOI LANÇADO 300 METROS DE CABO DE 12 FO, FOI LANÇADO MAIS 361 METROS DE CABO DE 12FO, POR INSUFICIENCIA DE FIBRA TEVE 2 LANÇAMENTOS, 6 ABERTURA E FECHAMENTO, 1 CX NOVA, 20 FUSÃO, 3 DERIVAÇÃO,  2 TESTE</t>
        </is>
      </c>
      <c r="J307" s="8" t="inlineStr">
        <is>
          <t>THIAGO</t>
        </is>
      </c>
      <c r="K307" s="8" t="inlineStr">
        <is>
          <t>ANDERSON</t>
        </is>
      </c>
      <c r="L307" s="9" t="n">
        <v>45412</v>
      </c>
      <c r="M307" s="9" t="n">
        <v>45426</v>
      </c>
      <c r="N307" s="9" t="n">
        <v>45427</v>
      </c>
      <c r="O307" s="9" t="n">
        <v>45448</v>
      </c>
      <c r="P307" s="7" t="inlineStr">
        <is>
          <t>NÃO PRECISA</t>
        </is>
      </c>
      <c r="Q307" s="9" t="n">
        <v>45469</v>
      </c>
      <c r="R307" s="7" t="inlineStr">
        <is>
          <t>Concluído Campo</t>
        </is>
      </c>
      <c r="S307" s="9" t="n">
        <v>45426</v>
      </c>
      <c r="T307" s="10" t="inlineStr"/>
      <c r="U307" s="7" t="inlineStr">
        <is>
          <t>4040705</t>
        </is>
      </c>
      <c r="V307" s="7" t="inlineStr">
        <is>
          <t>FINALIZADO</t>
        </is>
      </c>
      <c r="W307" s="7" t="inlineStr"/>
      <c r="X307" s="7" t="inlineStr">
        <is>
          <t>MEDIÇÃO CONCLUÍDA</t>
        </is>
      </c>
      <c r="Y307" s="11">
        <f>IF(AND(L307&lt;&gt;"", S307&lt;&gt;""), S307-L307, IF(L307&lt;&gt;"", TODAY()-L307, ""))</f>
        <v/>
      </c>
      <c r="Z307" s="7">
        <f>IF(Y307="", "", IF(Y307&lt;=3, "NO PRAZO", "ATRASADO"))</f>
        <v/>
      </c>
      <c r="AA307" s="8" t="inlineStr">
        <is>
          <t>100% - OK</t>
        </is>
      </c>
    </row>
    <row r="308" ht="20" customHeight="1">
      <c r="A308" s="7" t="inlineStr">
        <is>
          <t>RSCLER0306</t>
        </is>
      </c>
      <c r="B308" s="8" t="inlineStr">
        <is>
          <t>PORTO ALEGRE</t>
        </is>
      </c>
      <c r="C308" s="7" t="inlineStr">
        <is>
          <t>MTSAA</t>
        </is>
      </c>
      <c r="D308" s="7" t="inlineStr">
        <is>
          <t>PETALB</t>
        </is>
      </c>
      <c r="E308" s="7" t="inlineStr">
        <is>
          <t>PAE BV</t>
        </is>
      </c>
      <c r="F308" s="8" t="inlineStr">
        <is>
          <t>DIRETORIA</t>
        </is>
      </c>
      <c r="G308" s="8" t="inlineStr">
        <is>
          <t>Prof. Fitzgerald, 101</t>
        </is>
      </c>
      <c r="H308" s="7" t="inlineStr">
        <is>
          <t>MTSAA.331.M050</t>
        </is>
      </c>
      <c r="I308" s="8" t="inlineStr">
        <is>
          <t>FOI LANÇADO 909 METROS DE CABO DE 12FO, 2 ABERTURA E FECHAMENTO, 1 DERIVAÇÃO, 1 CX NOVA, 6 FUSÃO, 3 TESTE</t>
        </is>
      </c>
      <c r="J308" s="8" t="inlineStr">
        <is>
          <t>THIAGO LAMBRETA</t>
        </is>
      </c>
      <c r="K308" s="8" t="inlineStr">
        <is>
          <t>ADRIANO</t>
        </is>
      </c>
      <c r="L308" s="9" t="n">
        <v>45412</v>
      </c>
      <c r="M308" s="9" t="n">
        <v>45454</v>
      </c>
      <c r="N308" s="9" t="n">
        <v>45461</v>
      </c>
      <c r="O308" s="9" t="n">
        <v>45461</v>
      </c>
      <c r="P308" s="7" t="inlineStr">
        <is>
          <t>NÃO PRECISA</t>
        </is>
      </c>
      <c r="Q308" s="9" t="n">
        <v>45469</v>
      </c>
      <c r="R308" s="7" t="inlineStr">
        <is>
          <t>Concluído Campo</t>
        </is>
      </c>
      <c r="S308" s="9" t="n">
        <v>45427</v>
      </c>
      <c r="T308" s="10" t="inlineStr"/>
      <c r="U308" s="7" t="inlineStr">
        <is>
          <t>4040705</t>
        </is>
      </c>
      <c r="V308" s="7" t="inlineStr">
        <is>
          <t>FINALIZADO</t>
        </is>
      </c>
      <c r="W308" s="7" t="inlineStr"/>
      <c r="X308" s="7" t="inlineStr">
        <is>
          <t>MEDIÇÃO CONCLUÍDA</t>
        </is>
      </c>
      <c r="Y308" s="11">
        <f>IF(AND(L308&lt;&gt;"", S308&lt;&gt;""), S308-L308, IF(L308&lt;&gt;"", TODAY()-L308, ""))</f>
        <v/>
      </c>
      <c r="Z308" s="7">
        <f>IF(Y308="", "", IF(Y308&lt;=3, "NO PRAZO", "ATRASADO"))</f>
        <v/>
      </c>
      <c r="AA308" s="8" t="inlineStr">
        <is>
          <t>100% - OK</t>
        </is>
      </c>
    </row>
    <row r="309" ht="20" customHeight="1">
      <c r="A309" s="7" t="inlineStr">
        <is>
          <t>RSCLER0307</t>
        </is>
      </c>
      <c r="B309" s="8" t="inlineStr">
        <is>
          <t>PORTO ALEGRE</t>
        </is>
      </c>
      <c r="C309" s="7" t="inlineStr">
        <is>
          <t>MTSAA</t>
        </is>
      </c>
      <c r="D309" s="7" t="inlineStr"/>
      <c r="E309" s="7" t="inlineStr"/>
      <c r="F309" s="8" t="inlineStr">
        <is>
          <t>DIRETORIA</t>
        </is>
      </c>
      <c r="G309" s="8" t="inlineStr">
        <is>
          <t>Silva Jardim, 768</t>
        </is>
      </c>
      <c r="H309" s="7" t="inlineStr"/>
      <c r="I309" s="8" t="inlineStr">
        <is>
          <t>6 ABERTURA E FECHAMENTO, 8 FUSÃO, 2 TESTE</t>
        </is>
      </c>
      <c r="J309" s="8" t="inlineStr"/>
      <c r="K309" s="8" t="inlineStr">
        <is>
          <t>MARCOS EMILIANO</t>
        </is>
      </c>
      <c r="L309" s="9" t="n">
        <v>45412</v>
      </c>
      <c r="M309" s="9" t="n">
        <v>45433</v>
      </c>
      <c r="N309" s="9" t="n">
        <v>45433</v>
      </c>
      <c r="O309" s="9" t="n">
        <v>45433</v>
      </c>
      <c r="P309" s="7" t="inlineStr">
        <is>
          <t>NÃO PRECISA</t>
        </is>
      </c>
      <c r="Q309" s="9" t="n">
        <v>45439</v>
      </c>
      <c r="R309" s="7" t="inlineStr">
        <is>
          <t>Concluído Campo</t>
        </is>
      </c>
      <c r="S309" s="9" t="n">
        <v>45426</v>
      </c>
      <c r="T309" s="10" t="inlineStr"/>
      <c r="U309" s="7" t="inlineStr">
        <is>
          <t>4040705</t>
        </is>
      </c>
      <c r="V309" s="7" t="inlineStr">
        <is>
          <t>FINALIZADO</t>
        </is>
      </c>
      <c r="W309" s="7" t="inlineStr"/>
      <c r="X309" s="7" t="inlineStr">
        <is>
          <t>MEDIÇÃO CONCLUÍDA</t>
        </is>
      </c>
      <c r="Y309" s="11">
        <f>IF(AND(L309&lt;&gt;"", S309&lt;&gt;""), S309-L309, IF(L309&lt;&gt;"", TODAY()-L309, ""))</f>
        <v/>
      </c>
      <c r="Z309" s="7">
        <f>IF(Y309="", "", IF(Y309&lt;=3, "NO PRAZO", "ATRASADO"))</f>
        <v/>
      </c>
      <c r="AA309" s="8" t="inlineStr">
        <is>
          <t>100% - OK</t>
        </is>
      </c>
    </row>
    <row r="310" ht="20" customHeight="1">
      <c r="A310" s="7" t="inlineStr">
        <is>
          <t>RSCLER0308</t>
        </is>
      </c>
      <c r="B310" s="8" t="inlineStr">
        <is>
          <t>PORTO ALEGRE</t>
        </is>
      </c>
      <c r="C310" s="7" t="inlineStr">
        <is>
          <t>VIPAA</t>
        </is>
      </c>
      <c r="D310" s="7" t="inlineStr">
        <is>
          <t>VIPAOA</t>
        </is>
      </c>
      <c r="E310" s="7" t="inlineStr"/>
      <c r="F310" s="8" t="inlineStr">
        <is>
          <t>DIRETORIA</t>
        </is>
      </c>
      <c r="G310" s="8" t="inlineStr">
        <is>
          <t>Dário de Bittencourt, 300</t>
        </is>
      </c>
      <c r="H310" s="7" t="inlineStr">
        <is>
          <t>VIPAA.041.M020</t>
        </is>
      </c>
      <c r="I310" s="8" t="inlineStr">
        <is>
          <t>4 ABERTURA E FECHAMENTO, 6 FUSÃO, 2 TESTE</t>
        </is>
      </c>
      <c r="J310" s="8" t="inlineStr"/>
      <c r="K310" s="8" t="inlineStr">
        <is>
          <t>MARCOS EMILIANO</t>
        </is>
      </c>
      <c r="L310" s="9" t="n">
        <v>45412</v>
      </c>
      <c r="M310" s="9" t="n">
        <v>45434</v>
      </c>
      <c r="N310" s="9" t="n">
        <v>45434</v>
      </c>
      <c r="O310" s="9" t="n">
        <v>45434</v>
      </c>
      <c r="P310" s="7" t="inlineStr">
        <is>
          <t>NÃO PRECISA</t>
        </is>
      </c>
      <c r="Q310" s="9" t="n">
        <v>45439</v>
      </c>
      <c r="R310" s="7" t="inlineStr">
        <is>
          <t>Concluído Campo</t>
        </is>
      </c>
      <c r="S310" s="9" t="n">
        <v>45423</v>
      </c>
      <c r="T310" s="10" t="inlineStr"/>
      <c r="U310" s="7" t="inlineStr">
        <is>
          <t>4040705</t>
        </is>
      </c>
      <c r="V310" s="7" t="inlineStr">
        <is>
          <t>FINALIZADO</t>
        </is>
      </c>
      <c r="W310" s="7" t="inlineStr"/>
      <c r="X310" s="7" t="inlineStr">
        <is>
          <t>MEDIÇÃO CONCLUÍDA</t>
        </is>
      </c>
      <c r="Y310" s="11">
        <f>IF(AND(L310&lt;&gt;"", S310&lt;&gt;""), S310-L310, IF(L310&lt;&gt;"", TODAY()-L310, ""))</f>
        <v/>
      </c>
      <c r="Z310" s="7">
        <f>IF(Y310="", "", IF(Y310&lt;=3, "NO PRAZO", "ATRASADO"))</f>
        <v/>
      </c>
      <c r="AA310" s="8" t="inlineStr">
        <is>
          <t>100% - OK</t>
        </is>
      </c>
    </row>
    <row r="311" ht="20" customHeight="1">
      <c r="A311" s="7" t="inlineStr">
        <is>
          <t>RSCLER0309</t>
        </is>
      </c>
      <c r="B311" s="8" t="inlineStr">
        <is>
          <t>PORTO ALEGRE</t>
        </is>
      </c>
      <c r="C311" s="7" t="inlineStr">
        <is>
          <t>BVSAB</t>
        </is>
      </c>
      <c r="D311" s="7" t="inlineStr">
        <is>
          <t>JSOABA</t>
        </is>
      </c>
      <c r="E311" s="7" t="inlineStr"/>
      <c r="F311" s="8" t="inlineStr">
        <is>
          <t>DIRETORIA</t>
        </is>
      </c>
      <c r="G311" s="8" t="inlineStr">
        <is>
          <t>AV CRISTIANO FISCHER 818</t>
        </is>
      </c>
      <c r="H311" s="7" t="inlineStr">
        <is>
          <t>BVSAB.272.M020</t>
        </is>
      </c>
      <c r="I311" s="8" t="inlineStr">
        <is>
          <t>2 ABERTURA E FECHAMENTO, 2 FUSÃO, 1 TESTE -</t>
        </is>
      </c>
      <c r="J311" s="8" t="inlineStr"/>
      <c r="K311" s="8" t="inlineStr">
        <is>
          <t>ANDERSON</t>
        </is>
      </c>
      <c r="L311" s="9" t="n">
        <v>45415</v>
      </c>
      <c r="M311" s="9" t="n">
        <v>45426</v>
      </c>
      <c r="N311" s="9" t="n">
        <v>45426</v>
      </c>
      <c r="O311" s="9" t="n">
        <v>45426</v>
      </c>
      <c r="P311" s="7" t="inlineStr">
        <is>
          <t>NÃO PRECISA</t>
        </is>
      </c>
      <c r="Q311" s="9" t="n">
        <v>45439</v>
      </c>
      <c r="R311" s="7" t="inlineStr">
        <is>
          <t>Concluído Campo</t>
        </is>
      </c>
      <c r="S311" s="9" t="n">
        <v>45426</v>
      </c>
      <c r="T311" s="10" t="inlineStr"/>
      <c r="U311" s="7" t="inlineStr">
        <is>
          <t>4040705</t>
        </is>
      </c>
      <c r="V311" s="7" t="inlineStr">
        <is>
          <t>FINALIZADO</t>
        </is>
      </c>
      <c r="W311" s="7" t="inlineStr"/>
      <c r="X311" s="7" t="inlineStr">
        <is>
          <t>MEDIÇÃO CONCLUÍDA</t>
        </is>
      </c>
      <c r="Y311" s="11">
        <f>IF(AND(L311&lt;&gt;"", S311&lt;&gt;""), S311-L311, IF(L311&lt;&gt;"", TODAY()-L311, ""))</f>
        <v/>
      </c>
      <c r="Z311" s="7">
        <f>IF(Y311="", "", IF(Y311&lt;=3, "NO PRAZO", "ATRASADO"))</f>
        <v/>
      </c>
      <c r="AA311" s="8" t="inlineStr">
        <is>
          <t>100% - OK</t>
        </is>
      </c>
    </row>
    <row r="312" ht="20" customHeight="1">
      <c r="A312" s="7" t="inlineStr">
        <is>
          <t>RSCLER0310</t>
        </is>
      </c>
      <c r="B312" s="8" t="inlineStr">
        <is>
          <t>PORTO ALEGRE</t>
        </is>
      </c>
      <c r="C312" s="7" t="inlineStr">
        <is>
          <t>MTSAA</t>
        </is>
      </c>
      <c r="D312" s="7" t="inlineStr"/>
      <c r="E312" s="7" t="inlineStr"/>
      <c r="F312" s="8" t="inlineStr">
        <is>
          <t>DIRETORIA</t>
        </is>
      </c>
      <c r="G312" s="8" t="inlineStr">
        <is>
          <t>Rua Couto de Magalhães, 736 e 756</t>
        </is>
      </c>
      <c r="H312" s="7" t="inlineStr"/>
      <c r="I312" s="8" t="inlineStr">
        <is>
          <t>2 ABERTURA E FECHAMENTO, 3 FUSÃO, 3 TESTE</t>
        </is>
      </c>
      <c r="J312" s="8" t="inlineStr"/>
      <c r="K312" s="8" t="inlineStr">
        <is>
          <t>ANDERSON</t>
        </is>
      </c>
      <c r="L312" s="9" t="n">
        <v>45415</v>
      </c>
      <c r="M312" s="9" t="n">
        <v>45427</v>
      </c>
      <c r="N312" s="9" t="n">
        <v>45427</v>
      </c>
      <c r="O312" s="9" t="n">
        <v>45427</v>
      </c>
      <c r="P312" s="7" t="inlineStr">
        <is>
          <t>NÃO PRECISA</t>
        </is>
      </c>
      <c r="Q312" s="9" t="n">
        <v>45439</v>
      </c>
      <c r="R312" s="7" t="inlineStr">
        <is>
          <t>Concluído Campo</t>
        </is>
      </c>
      <c r="S312" s="9" t="n">
        <v>45434</v>
      </c>
      <c r="T312" s="10" t="inlineStr"/>
      <c r="U312" s="7" t="inlineStr">
        <is>
          <t>4039380</t>
        </is>
      </c>
      <c r="V312" s="7" t="inlineStr">
        <is>
          <t>FINALIZADO</t>
        </is>
      </c>
      <c r="W312" s="7" t="inlineStr"/>
      <c r="X312" s="7" t="inlineStr">
        <is>
          <t>MEDIÇÃO CONCLUÍDA</t>
        </is>
      </c>
      <c r="Y312" s="11">
        <f>IF(AND(L312&lt;&gt;"", S312&lt;&gt;""), S312-L312, IF(L312&lt;&gt;"", TODAY()-L312, ""))</f>
        <v/>
      </c>
      <c r="Z312" s="7">
        <f>IF(Y312="", "", IF(Y312&lt;=3, "NO PRAZO", "ATRASADO"))</f>
        <v/>
      </c>
      <c r="AA312" s="8" t="inlineStr">
        <is>
          <t>100% - OK</t>
        </is>
      </c>
    </row>
    <row r="313" ht="20" customHeight="1">
      <c r="A313" s="7" t="inlineStr">
        <is>
          <t>RSCLER0311</t>
        </is>
      </c>
      <c r="B313" s="8" t="inlineStr">
        <is>
          <t>PORTO ALEGRE</t>
        </is>
      </c>
      <c r="C313" s="7" t="inlineStr">
        <is>
          <t>BFMAA</t>
        </is>
      </c>
      <c r="D313" s="7" t="inlineStr"/>
      <c r="E313" s="7" t="inlineStr"/>
      <c r="F313" s="8" t="inlineStr">
        <is>
          <t>DIRETORIA</t>
        </is>
      </c>
      <c r="G313" s="8" t="inlineStr">
        <is>
          <t>PINHEIRO MACHADO 282</t>
        </is>
      </c>
      <c r="H313" s="7" t="inlineStr"/>
      <c r="I313" s="8" t="inlineStr">
        <is>
          <t>2 ABERTURA E FECHAMENTO, 2 FUSÃO, 2 TESTE</t>
        </is>
      </c>
      <c r="J313" s="8" t="inlineStr"/>
      <c r="K313" s="8" t="inlineStr">
        <is>
          <t>ANDERSON</t>
        </is>
      </c>
      <c r="L313" s="9" t="n">
        <v>45414</v>
      </c>
      <c r="M313" s="9" t="n">
        <v>45426</v>
      </c>
      <c r="N313" s="9" t="n">
        <v>45426</v>
      </c>
      <c r="O313" s="9" t="n">
        <v>45426</v>
      </c>
      <c r="P313" s="7" t="inlineStr">
        <is>
          <t>NÃO PRECISA</t>
        </is>
      </c>
      <c r="Q313" s="9" t="n">
        <v>45439</v>
      </c>
      <c r="R313" s="7" t="inlineStr">
        <is>
          <t>Concluído Campo</t>
        </is>
      </c>
      <c r="S313" s="9" t="n">
        <v>45433</v>
      </c>
      <c r="T313" s="10" t="inlineStr"/>
      <c r="U313" s="7" t="inlineStr">
        <is>
          <t>4040705</t>
        </is>
      </c>
      <c r="V313" s="7" t="inlineStr">
        <is>
          <t>FINALIZADO</t>
        </is>
      </c>
      <c r="W313" s="7" t="inlineStr"/>
      <c r="X313" s="7" t="inlineStr">
        <is>
          <t>MEDIÇÃO CONCLUÍDA</t>
        </is>
      </c>
      <c r="Y313" s="11">
        <f>IF(AND(L313&lt;&gt;"", S313&lt;&gt;""), S313-L313, IF(L313&lt;&gt;"", TODAY()-L313, ""))</f>
        <v/>
      </c>
      <c r="Z313" s="7">
        <f>IF(Y313="", "", IF(Y313&lt;=3, "NO PRAZO", "ATRASADO"))</f>
        <v/>
      </c>
      <c r="AA313" s="8" t="inlineStr">
        <is>
          <t>100% - OK</t>
        </is>
      </c>
    </row>
    <row r="314" ht="20" customHeight="1">
      <c r="A314" s="7" t="inlineStr">
        <is>
          <t>RSCLER0312</t>
        </is>
      </c>
      <c r="B314" s="8" t="inlineStr">
        <is>
          <t>PORTO ALEGRE</t>
        </is>
      </c>
      <c r="C314" s="7" t="inlineStr">
        <is>
          <t>PRTAA</t>
        </is>
      </c>
      <c r="D314" s="7" t="inlineStr">
        <is>
          <t>JSOAD</t>
        </is>
      </c>
      <c r="E314" s="7" t="inlineStr"/>
      <c r="F314" s="8" t="inlineStr">
        <is>
          <t>DIRETORIA</t>
        </is>
      </c>
      <c r="G314" s="8" t="inlineStr">
        <is>
          <t>CEE</t>
        </is>
      </c>
      <c r="H314" s="7" t="inlineStr">
        <is>
          <t>PRTAA.091.M030</t>
        </is>
      </c>
      <c r="I314" s="8" t="inlineStr">
        <is>
          <t>6 ABERTURA E FECHAMENTO, 4 TESTE, 7 FUSÃO, 1 CX NOVA, 1 DERIVAÇÃO</t>
        </is>
      </c>
      <c r="J314" s="8" t="inlineStr">
        <is>
          <t>KM</t>
        </is>
      </c>
      <c r="K314" s="8" t="inlineStr">
        <is>
          <t>ANDERSON</t>
        </is>
      </c>
      <c r="L314" s="7" t="inlineStr"/>
      <c r="M314" s="7" t="inlineStr"/>
      <c r="N314" s="9" t="n">
        <v>45422</v>
      </c>
      <c r="O314" s="9" t="n">
        <v>45423</v>
      </c>
      <c r="P314" s="7" t="inlineStr">
        <is>
          <t>NÃO PRECISA</t>
        </is>
      </c>
      <c r="Q314" s="9" t="n">
        <v>45439</v>
      </c>
      <c r="R314" s="7" t="inlineStr">
        <is>
          <t>Concluído Campo</t>
        </is>
      </c>
      <c r="S314" s="9" t="n">
        <v>45428</v>
      </c>
      <c r="T314" s="10" t="inlineStr"/>
      <c r="U314" s="7" t="inlineStr">
        <is>
          <t>4040705</t>
        </is>
      </c>
      <c r="V314" s="7" t="inlineStr">
        <is>
          <t>FINALIZADO</t>
        </is>
      </c>
      <c r="W314" s="7" t="inlineStr"/>
      <c r="X314" s="7" t="inlineStr">
        <is>
          <t>MEDIÇÃO CONCLUÍDA</t>
        </is>
      </c>
      <c r="Y314" s="11">
        <f>IF(AND(L314&lt;&gt;"", S314&lt;&gt;""), S314-L314, IF(L314&lt;&gt;"", TODAY()-L314, ""))</f>
        <v/>
      </c>
      <c r="Z314" s="7">
        <f>IF(Y314="", "", IF(Y314&lt;=3, "NO PRAZO", "ATRASADO"))</f>
        <v/>
      </c>
      <c r="AA314" s="8" t="inlineStr">
        <is>
          <t>100% - OK</t>
        </is>
      </c>
    </row>
    <row r="315" ht="20" customHeight="1">
      <c r="A315" s="7" t="inlineStr">
        <is>
          <t>RSCLER0313</t>
        </is>
      </c>
      <c r="B315" s="8" t="inlineStr">
        <is>
          <t>PORTO ALEGRE</t>
        </is>
      </c>
      <c r="C315" s="7" t="inlineStr">
        <is>
          <t>BVSAB</t>
        </is>
      </c>
      <c r="D315" s="7" t="inlineStr">
        <is>
          <t>JSOABA</t>
        </is>
      </c>
      <c r="E315" s="7" t="inlineStr"/>
      <c r="F315" s="8" t="inlineStr">
        <is>
          <t>DIRETORIA</t>
        </is>
      </c>
      <c r="G315" s="8" t="inlineStr">
        <is>
          <t>Jardim Botanico</t>
        </is>
      </c>
      <c r="H315" s="7" t="inlineStr">
        <is>
          <t>BVSAB.274.04.05</t>
        </is>
      </c>
      <c r="I315" s="8" t="inlineStr">
        <is>
          <t>FOI LANÇADO 674 METROS DE CABO DE 12FO, 2 ABERTURA E FECHAMENTO, 3 FUSÃO, 1 DERIVAÇÃO, 1 NAP NOVA, 1 TESTE</t>
        </is>
      </c>
      <c r="J315" s="8" t="inlineStr">
        <is>
          <t>GIOVANE</t>
        </is>
      </c>
      <c r="K315" s="8" t="inlineStr">
        <is>
          <t>ANDERSON</t>
        </is>
      </c>
      <c r="L315" s="9" t="n">
        <v>45425</v>
      </c>
      <c r="M315" s="9" t="n">
        <v>45426</v>
      </c>
      <c r="N315" s="9" t="n">
        <v>45426</v>
      </c>
      <c r="O315" s="9" t="n">
        <v>45426</v>
      </c>
      <c r="P315" s="7" t="inlineStr">
        <is>
          <t>NÃO PRECISA</t>
        </is>
      </c>
      <c r="Q315" s="9" t="n">
        <v>45439</v>
      </c>
      <c r="R315" s="7" t="inlineStr">
        <is>
          <t>Concluído Campo</t>
        </is>
      </c>
      <c r="S315" s="9" t="n">
        <v>45466</v>
      </c>
      <c r="T315" s="10" t="inlineStr"/>
      <c r="U315" s="7" t="inlineStr">
        <is>
          <t>4096750</t>
        </is>
      </c>
      <c r="V315" s="7" t="inlineStr">
        <is>
          <t>FINALIZADO</t>
        </is>
      </c>
      <c r="W315" s="7" t="inlineStr"/>
      <c r="X315" s="7" t="inlineStr">
        <is>
          <t>MEDIÇÃO CONCLUÍDA</t>
        </is>
      </c>
      <c r="Y315" s="11">
        <f>IF(AND(L315&lt;&gt;"", S315&lt;&gt;""), S315-L315, IF(L315&lt;&gt;"", TODAY()-L315, ""))</f>
        <v/>
      </c>
      <c r="Z315" s="7">
        <f>IF(Y315="", "", IF(Y315&lt;=3, "NO PRAZO", "ATRASADO"))</f>
        <v/>
      </c>
      <c r="AA315" s="8" t="inlineStr">
        <is>
          <t>100% - OK</t>
        </is>
      </c>
    </row>
    <row r="316" ht="20" customHeight="1">
      <c r="A316" s="7" t="inlineStr">
        <is>
          <t>RSCLER0314</t>
        </is>
      </c>
      <c r="B316" s="8" t="inlineStr">
        <is>
          <t>PORTO ALEGRE</t>
        </is>
      </c>
      <c r="C316" s="7" t="inlineStr">
        <is>
          <t>BVSAB</t>
        </is>
      </c>
      <c r="D316" s="7" t="inlineStr">
        <is>
          <t>BVSAHA</t>
        </is>
      </c>
      <c r="E316" s="7" t="inlineStr"/>
      <c r="F316" s="8" t="inlineStr">
        <is>
          <t>Condomínio Aris</t>
        </is>
      </c>
      <c r="G316" s="8" t="inlineStr">
        <is>
          <t>Rua Evaldo Campos, 79</t>
        </is>
      </c>
      <c r="H316" s="7" t="inlineStr">
        <is>
          <t>BVSAB.032.M050</t>
        </is>
      </c>
      <c r="I316" s="8" t="inlineStr">
        <is>
          <t>FOI LANÇADO 1110 METROS DE CABO DE 12FO, 4 ABERTURA E FECHAMENTO, 5 FUSÕES, 1 DERIVAÇÃO, 1 CX NOVA, 1 TESTE</t>
        </is>
      </c>
      <c r="J316" s="8" t="inlineStr">
        <is>
          <t>THIAGO</t>
        </is>
      </c>
      <c r="K316" s="8" t="inlineStr">
        <is>
          <t>MARCOS EMILIANO</t>
        </is>
      </c>
      <c r="L316" s="9" t="n">
        <v>45429</v>
      </c>
      <c r="M316" s="9" t="n">
        <v>45434</v>
      </c>
      <c r="N316" s="9" t="n">
        <v>45434</v>
      </c>
      <c r="O316" s="9" t="n">
        <v>45434</v>
      </c>
      <c r="P316" s="7" t="inlineStr">
        <is>
          <t>NÃO PRECISA</t>
        </is>
      </c>
      <c r="Q316" s="9" t="n">
        <v>45439</v>
      </c>
      <c r="R316" s="7" t="inlineStr">
        <is>
          <t>Concluído Campo</t>
        </is>
      </c>
      <c r="S316" s="9" t="n">
        <v>45441</v>
      </c>
      <c r="T316" s="10" t="inlineStr"/>
      <c r="U316" s="7" t="inlineStr">
        <is>
          <t>4096750</t>
        </is>
      </c>
      <c r="V316" s="7" t="inlineStr">
        <is>
          <t>FINALIZADO</t>
        </is>
      </c>
      <c r="W316" s="7" t="inlineStr"/>
      <c r="X316" s="7" t="inlineStr">
        <is>
          <t>MEDIÇÃO CONCLUÍDA</t>
        </is>
      </c>
      <c r="Y316" s="11">
        <f>IF(AND(L316&lt;&gt;"", S316&lt;&gt;""), S316-L316, IF(L316&lt;&gt;"", TODAY()-L316, ""))</f>
        <v/>
      </c>
      <c r="Z316" s="7">
        <f>IF(Y316="", "", IF(Y316&lt;=3, "NO PRAZO", "ATRASADO"))</f>
        <v/>
      </c>
      <c r="AA316" s="8" t="inlineStr">
        <is>
          <t>100% - OK</t>
        </is>
      </c>
    </row>
    <row r="317" ht="20" customHeight="1">
      <c r="A317" s="7" t="inlineStr">
        <is>
          <t>RSCLER0315</t>
        </is>
      </c>
      <c r="B317" s="8" t="inlineStr">
        <is>
          <t>PORTO ALEGRE</t>
        </is>
      </c>
      <c r="C317" s="7" t="inlineStr">
        <is>
          <t>PRTAA</t>
        </is>
      </c>
      <c r="D317" s="7" t="inlineStr"/>
      <c r="E317" s="7" t="inlineStr"/>
      <c r="F317" s="8" t="inlineStr">
        <is>
          <t>DIRETORIA</t>
        </is>
      </c>
      <c r="G317" s="8" t="inlineStr">
        <is>
          <t>DEIC</t>
        </is>
      </c>
      <c r="H317" s="7" t="inlineStr">
        <is>
          <t>PRTAA.091.M030.</t>
        </is>
      </c>
      <c r="I317" s="8" t="inlineStr">
        <is>
          <t>4 ABERTURA E FECHAMENTO, 4 FUSÃO, 2 TESTE</t>
        </is>
      </c>
      <c r="J317" s="8" t="inlineStr">
        <is>
          <t>KM</t>
        </is>
      </c>
      <c r="K317" s="8" t="inlineStr">
        <is>
          <t>MARCIO</t>
        </is>
      </c>
      <c r="L317" s="9" t="n">
        <v>45432</v>
      </c>
      <c r="M317" s="9" t="n">
        <v>45433</v>
      </c>
      <c r="N317" s="9" t="n">
        <v>45433</v>
      </c>
      <c r="O317" s="9" t="n">
        <v>45433</v>
      </c>
      <c r="P317" s="7" t="inlineStr">
        <is>
          <t>NÃO PRECISA</t>
        </is>
      </c>
      <c r="Q317" s="9" t="n">
        <v>45439</v>
      </c>
      <c r="R317" s="7" t="inlineStr">
        <is>
          <t>Concluído Campo</t>
        </is>
      </c>
      <c r="S317" s="9" t="n">
        <v>45429</v>
      </c>
      <c r="T317" s="10" t="inlineStr"/>
      <c r="U317" s="7" t="inlineStr">
        <is>
          <t>4096750</t>
        </is>
      </c>
      <c r="V317" s="7" t="inlineStr">
        <is>
          <t>FINALIZADO</t>
        </is>
      </c>
      <c r="W317" s="7" t="inlineStr"/>
      <c r="X317" s="7" t="inlineStr">
        <is>
          <t>MEDIÇÃO CONCLUÍDA</t>
        </is>
      </c>
      <c r="Y317" s="11">
        <f>IF(AND(L317&lt;&gt;"", S317&lt;&gt;""), S317-L317, IF(L317&lt;&gt;"", TODAY()-L317, ""))</f>
        <v/>
      </c>
      <c r="Z317" s="7">
        <f>IF(Y317="", "", IF(Y317&lt;=3, "NO PRAZO", "ATRASADO"))</f>
        <v/>
      </c>
      <c r="AA317" s="8" t="inlineStr">
        <is>
          <t>100% - OK</t>
        </is>
      </c>
    </row>
    <row r="318" ht="20" customHeight="1">
      <c r="A318" s="7" t="inlineStr">
        <is>
          <t>RSCLER0316</t>
        </is>
      </c>
      <c r="B318" s="8" t="inlineStr">
        <is>
          <t>PORTO ALEGRE</t>
        </is>
      </c>
      <c r="C318" s="7" t="inlineStr">
        <is>
          <t>RBRAA</t>
        </is>
      </c>
      <c r="D318" s="7" t="inlineStr">
        <is>
          <t>RBRAB</t>
        </is>
      </c>
      <c r="E318" s="7" t="inlineStr"/>
      <c r="F318" s="8" t="inlineStr">
        <is>
          <t>DIRETORIA</t>
        </is>
      </c>
      <c r="G318" s="8" t="inlineStr">
        <is>
          <t>AV IPIRANGA</t>
        </is>
      </c>
      <c r="H318" s="7" t="inlineStr">
        <is>
          <t>RBRAA.074.02.07</t>
        </is>
      </c>
      <c r="I318" s="8" t="inlineStr">
        <is>
          <t>FOI LANÇADO 207 MTEROS DE CABO DE 12FO, 3 ABERTURA E FECHAMENTO, 4 FUSÃO, 1 DERIVAÇÃO, 1 NAP NOVA, 1 TESTE</t>
        </is>
      </c>
      <c r="J318" s="8" t="inlineStr">
        <is>
          <t>ADRIANO</t>
        </is>
      </c>
      <c r="K318" s="8" t="inlineStr">
        <is>
          <t>ANDERSON</t>
        </is>
      </c>
      <c r="L318" s="9" t="n">
        <v>45428</v>
      </c>
      <c r="M318" s="9" t="n">
        <v>45428</v>
      </c>
      <c r="N318" s="9" t="n">
        <v>45428</v>
      </c>
      <c r="O318" s="9" t="n">
        <v>45428</v>
      </c>
      <c r="P318" s="7" t="inlineStr">
        <is>
          <t>NÃO PRECISA</t>
        </is>
      </c>
      <c r="Q318" s="9" t="n">
        <v>45439</v>
      </c>
      <c r="R318" s="7" t="inlineStr">
        <is>
          <t>Concluído Campo</t>
        </is>
      </c>
      <c r="S318" s="9" t="n">
        <v>45450</v>
      </c>
      <c r="T318" s="10" t="inlineStr"/>
      <c r="U318" s="7" t="inlineStr">
        <is>
          <t>4096750</t>
        </is>
      </c>
      <c r="V318" s="7" t="inlineStr">
        <is>
          <t>FINALIZADO</t>
        </is>
      </c>
      <c r="W318" s="7" t="inlineStr"/>
      <c r="X318" s="7" t="inlineStr">
        <is>
          <t>MEDIÇÃO CONCLUÍDA</t>
        </is>
      </c>
      <c r="Y318" s="11">
        <f>IF(AND(L318&lt;&gt;"", S318&lt;&gt;""), S318-L318, IF(L318&lt;&gt;"", TODAY()-L318, ""))</f>
        <v/>
      </c>
      <c r="Z318" s="7">
        <f>IF(Y318="", "", IF(Y318&lt;=3, "NO PRAZO", "ATRASADO"))</f>
        <v/>
      </c>
      <c r="AA318" s="8" t="inlineStr">
        <is>
          <t>100% - OK</t>
        </is>
      </c>
    </row>
    <row r="319" ht="20" customHeight="1">
      <c r="A319" s="7" t="inlineStr">
        <is>
          <t>RSCLER0317</t>
        </is>
      </c>
      <c r="B319" s="8" t="inlineStr">
        <is>
          <t>PORTO ALEGRE</t>
        </is>
      </c>
      <c r="C319" s="7" t="inlineStr">
        <is>
          <t>RBTAA</t>
        </is>
      </c>
      <c r="D319" s="7" t="inlineStr">
        <is>
          <t>RBTAJA</t>
        </is>
      </c>
      <c r="E319" s="7" t="inlineStr"/>
      <c r="F319" s="8" t="inlineStr">
        <is>
          <t>Costa E Silva - RBTAA</t>
        </is>
      </c>
      <c r="G319" s="8" t="inlineStr">
        <is>
          <t>R. Jaíro Gondin da Silva, 255</t>
        </is>
      </c>
      <c r="H319" s="7" t="inlineStr">
        <is>
          <t>RBTAA.164.M040</t>
        </is>
      </c>
      <c r="I319" s="8" t="inlineStr">
        <is>
          <t>FOI LANÇADO 383 METROS DE CABO DE 12FO, REPUXOU 230 METROS DE CABO, 45 METROS DE CORDOALHA, 45 ESPINADO, 5 ABERTURA E FECHAMENTO, 4 FUSÃO, 1 DERIVAÇÃO, 1 CX NOVA, 2 TESTE</t>
        </is>
      </c>
      <c r="J319" s="8" t="inlineStr">
        <is>
          <t>GIOVANE</t>
        </is>
      </c>
      <c r="K319" s="8" t="inlineStr">
        <is>
          <t>ANDERSON</t>
        </is>
      </c>
      <c r="L319" s="9" t="n">
        <v>45453</v>
      </c>
      <c r="M319" s="9" t="n">
        <v>45455</v>
      </c>
      <c r="N319" s="9" t="n">
        <v>45466</v>
      </c>
      <c r="O319" s="9" t="n">
        <v>45466</v>
      </c>
      <c r="P319" s="7" t="inlineStr">
        <is>
          <t>NÃO PRECISA</t>
        </is>
      </c>
      <c r="Q319" s="9" t="n">
        <v>45469</v>
      </c>
      <c r="R319" s="7" t="inlineStr">
        <is>
          <t>Concluído Campo</t>
        </is>
      </c>
      <c r="S319" s="9" t="n">
        <v>45469</v>
      </c>
      <c r="T319" s="10" t="inlineStr"/>
      <c r="U319" s="7" t="inlineStr">
        <is>
          <t>4150702</t>
        </is>
      </c>
      <c r="V319" s="7" t="inlineStr">
        <is>
          <t>FINALIZADO</t>
        </is>
      </c>
      <c r="W319" s="7" t="inlineStr"/>
      <c r="X319" s="7" t="inlineStr">
        <is>
          <t>MEDIÇÃO CONCLUÍDA</t>
        </is>
      </c>
      <c r="Y319" s="11">
        <f>IF(AND(L319&lt;&gt;"", S319&lt;&gt;""), S319-L319, IF(L319&lt;&gt;"", TODAY()-L319, ""))</f>
        <v/>
      </c>
      <c r="Z319" s="7">
        <f>IF(Y319="", "", IF(Y319&lt;=3, "NO PRAZO", "ATRASADO"))</f>
        <v/>
      </c>
      <c r="AA319" s="8" t="inlineStr">
        <is>
          <t>100% - OK</t>
        </is>
      </c>
    </row>
    <row r="320" ht="20" customHeight="1">
      <c r="A320" s="7" t="inlineStr">
        <is>
          <t>RSCLER0318</t>
        </is>
      </c>
      <c r="B320" s="8" t="inlineStr">
        <is>
          <t>PORTO ALEGRE</t>
        </is>
      </c>
      <c r="C320" s="7" t="inlineStr">
        <is>
          <t>SSOAA</t>
        </is>
      </c>
      <c r="D320" s="7" t="inlineStr">
        <is>
          <t>SSOAFA</t>
        </is>
      </c>
      <c r="E320" s="7" t="inlineStr"/>
      <c r="F320" s="8" t="inlineStr">
        <is>
          <t>Yvy Lindóia Vanguard</t>
        </is>
      </c>
      <c r="G320" s="8" t="inlineStr">
        <is>
          <t>Rua Emilio Muler N°55</t>
        </is>
      </c>
      <c r="H320" s="7" t="inlineStr">
        <is>
          <t>SSOAA.091.M100</t>
        </is>
      </c>
      <c r="I320" s="8" t="inlineStr">
        <is>
          <t>FOI LANÇADO 108 METROS DE CABO DE 12FO , 6 ABERTURA E FECHAMENTO, 16 FUSÃO, 1 CX NOVA, 4 DERIVAÇÃO,  2 TESTE</t>
        </is>
      </c>
      <c r="J320" s="8" t="inlineStr">
        <is>
          <t>ALAN / MALCOLN</t>
        </is>
      </c>
      <c r="K320" s="8" t="inlineStr">
        <is>
          <t>MARCIO</t>
        </is>
      </c>
      <c r="L320" s="9" t="n">
        <v>45439</v>
      </c>
      <c r="M320" s="9" t="n">
        <v>45440</v>
      </c>
      <c r="N320" s="9" t="n">
        <v>45441</v>
      </c>
      <c r="O320" s="9" t="n">
        <v>45441</v>
      </c>
      <c r="P320" s="7" t="inlineStr">
        <is>
          <t>NÃO PRECISA</t>
        </is>
      </c>
      <c r="Q320" s="9" t="n">
        <v>45469</v>
      </c>
      <c r="R320" s="7" t="inlineStr">
        <is>
          <t>Concluído Campo</t>
        </is>
      </c>
      <c r="S320" s="9" t="n">
        <v>45460</v>
      </c>
      <c r="T320" s="10" t="inlineStr"/>
      <c r="U320" s="7" t="inlineStr">
        <is>
          <t>4096750</t>
        </is>
      </c>
      <c r="V320" s="7" t="inlineStr">
        <is>
          <t>FINALIZADO</t>
        </is>
      </c>
      <c r="W320" s="7" t="inlineStr"/>
      <c r="X320" s="7" t="inlineStr">
        <is>
          <t>MEDIÇÃO CONCLUÍDA</t>
        </is>
      </c>
      <c r="Y320" s="11">
        <f>IF(AND(L320&lt;&gt;"", S320&lt;&gt;""), S320-L320, IF(L320&lt;&gt;"", TODAY()-L320, ""))</f>
        <v/>
      </c>
      <c r="Z320" s="7">
        <f>IF(Y320="", "", IF(Y320&lt;=3, "NO PRAZO", "ATRASADO"))</f>
        <v/>
      </c>
      <c r="AA320" s="8" t="inlineStr">
        <is>
          <t>100% - OK</t>
        </is>
      </c>
    </row>
    <row r="321" ht="20" customHeight="1">
      <c r="A321" s="7" t="inlineStr">
        <is>
          <t>RSCLER0319</t>
        </is>
      </c>
      <c r="B321" s="8" t="inlineStr">
        <is>
          <t>PORTO ALEGRE</t>
        </is>
      </c>
      <c r="C321" s="7" t="inlineStr">
        <is>
          <t>IPMAA</t>
        </is>
      </c>
      <c r="D321" s="7" t="inlineStr">
        <is>
          <t>IPMADB</t>
        </is>
      </c>
      <c r="E321" s="7" t="inlineStr"/>
      <c r="F321" s="8" t="inlineStr"/>
      <c r="G321" s="8" t="inlineStr">
        <is>
          <t>AV Cavalhada, 6021</t>
        </is>
      </c>
      <c r="H321" s="7" t="inlineStr">
        <is>
          <t>IPMAA.071.M020</t>
        </is>
      </c>
      <c r="I321" s="8" t="inlineStr">
        <is>
          <t>FOI LANÇADO 130 METROS DE CABO DE 12FO</t>
        </is>
      </c>
      <c r="J321" s="8" t="inlineStr">
        <is>
          <t>RICARDO</t>
        </is>
      </c>
      <c r="K321" s="8" t="inlineStr"/>
      <c r="L321" s="9" t="n">
        <v>45429</v>
      </c>
      <c r="M321" s="9" t="n">
        <v>45429</v>
      </c>
      <c r="N321" s="9" t="n">
        <v>45429</v>
      </c>
      <c r="O321" s="9" t="n">
        <v>45429</v>
      </c>
      <c r="P321" s="7" t="inlineStr">
        <is>
          <t>NÃO PRECISA</t>
        </is>
      </c>
      <c r="Q321" s="9" t="n">
        <v>45469</v>
      </c>
      <c r="R321" s="7" t="inlineStr">
        <is>
          <t>Concluído Campo</t>
        </is>
      </c>
      <c r="S321" s="9" t="n">
        <v>45467</v>
      </c>
      <c r="T321" s="10" t="inlineStr"/>
      <c r="U321" s="7" t="inlineStr">
        <is>
          <t>4096750</t>
        </is>
      </c>
      <c r="V321" s="7" t="inlineStr">
        <is>
          <t>FINALIZADO</t>
        </is>
      </c>
      <c r="W321" s="7" t="inlineStr"/>
      <c r="X321" s="7" t="inlineStr">
        <is>
          <t>MEDIÇÃO CONCLUÍDA</t>
        </is>
      </c>
      <c r="Y321" s="11">
        <f>IF(AND(L321&lt;&gt;"", S321&lt;&gt;""), S321-L321, IF(L321&lt;&gt;"", TODAY()-L321, ""))</f>
        <v/>
      </c>
      <c r="Z321" s="7">
        <f>IF(Y321="", "", IF(Y321&lt;=3, "NO PRAZO", "ATRASADO"))</f>
        <v/>
      </c>
      <c r="AA321" s="8" t="inlineStr"/>
    </row>
    <row r="322" ht="20" customHeight="1">
      <c r="A322" s="7" t="inlineStr">
        <is>
          <t>RSCLER0320</t>
        </is>
      </c>
      <c r="B322" s="8" t="inlineStr">
        <is>
          <t>CANOAS</t>
        </is>
      </c>
      <c r="C322" s="7" t="inlineStr">
        <is>
          <t>CNTAB</t>
        </is>
      </c>
      <c r="D322" s="7" t="inlineStr">
        <is>
          <t>MVL07A</t>
        </is>
      </c>
      <c r="E322" s="7" t="inlineStr"/>
      <c r="F322" s="8" t="inlineStr">
        <is>
          <t>Canoas Happynes</t>
        </is>
      </c>
      <c r="G322" s="8" t="inlineStr">
        <is>
          <t>Av Dr Barcelos 97</t>
        </is>
      </c>
      <c r="H322" s="7" t="inlineStr">
        <is>
          <t>CNTAB.072.M030</t>
        </is>
      </c>
      <c r="I322" s="8" t="inlineStr">
        <is>
          <t>FOI LANÇADO 494 METROS DE CABO DE 12FO, 1 ABERTURA E FECHAMENTO, 4 FUSÃO, 1 DERIVAÇÃO, 4 TESTE, 1 CX NOVA</t>
        </is>
      </c>
      <c r="J322" s="8" t="inlineStr">
        <is>
          <t>GIOVANE</t>
        </is>
      </c>
      <c r="K322" s="8" t="inlineStr">
        <is>
          <t>ANDERSON</t>
        </is>
      </c>
      <c r="L322" s="9" t="n">
        <v>45448</v>
      </c>
      <c r="M322" s="9" t="n">
        <v>45449</v>
      </c>
      <c r="N322" s="9" t="n">
        <v>45450</v>
      </c>
      <c r="O322" s="9" t="n">
        <v>45450</v>
      </c>
      <c r="P322" s="7" t="inlineStr">
        <is>
          <t>NÃO PRECISA</t>
        </is>
      </c>
      <c r="Q322" s="9" t="n">
        <v>45469</v>
      </c>
      <c r="R322" s="7" t="inlineStr">
        <is>
          <t>Concluído Campo</t>
        </is>
      </c>
      <c r="S322" s="9" t="n">
        <v>45469</v>
      </c>
      <c r="T322" s="10" t="inlineStr"/>
      <c r="U322" s="7" t="inlineStr">
        <is>
          <t>4150702</t>
        </is>
      </c>
      <c r="V322" s="7" t="inlineStr">
        <is>
          <t>FINALIZADO</t>
        </is>
      </c>
      <c r="W322" s="7" t="inlineStr"/>
      <c r="X322" s="7" t="inlineStr">
        <is>
          <t>MEDIÇÃO CONCLUÍDA</t>
        </is>
      </c>
      <c r="Y322" s="11">
        <f>IF(AND(L322&lt;&gt;"", S322&lt;&gt;""), S322-L322, IF(L322&lt;&gt;"", TODAY()-L322, ""))</f>
        <v/>
      </c>
      <c r="Z322" s="7">
        <f>IF(Y322="", "", IF(Y322&lt;=3, "NO PRAZO", "ATRASADO"))</f>
        <v/>
      </c>
      <c r="AA322" s="8" t="inlineStr">
        <is>
          <t>100% - OK</t>
        </is>
      </c>
    </row>
    <row r="323" ht="20" customHeight="1">
      <c r="A323" s="7" t="inlineStr">
        <is>
          <t>RSCLER0321</t>
        </is>
      </c>
      <c r="B323" s="8" t="inlineStr">
        <is>
          <t>PORTO ALEGRE</t>
        </is>
      </c>
      <c r="C323" s="7" t="inlineStr">
        <is>
          <t>PRTAA</t>
        </is>
      </c>
      <c r="D323" s="7" t="inlineStr">
        <is>
          <t>PRTANA</t>
        </is>
      </c>
      <c r="E323" s="7" t="inlineStr"/>
      <c r="F323" s="8" t="inlineStr">
        <is>
          <t>Residencial Frei Germano</t>
        </is>
      </c>
      <c r="G323" s="8" t="inlineStr">
        <is>
          <t>R Frei Germano 138</t>
        </is>
      </c>
      <c r="H323" s="7" t="inlineStr">
        <is>
          <t>PRTAA.001.M110</t>
        </is>
      </c>
      <c r="I323" s="8" t="inlineStr">
        <is>
          <t>FOI LANÇADO 250 METROS DE CABO DE 12FO, 3 ABERRTURA E FECHAMENTO, 3 FUSÃO, 2 DERIVAÇÃO, 1 CX NOVA, 1 TESTE</t>
        </is>
      </c>
      <c r="J323" s="8" t="inlineStr">
        <is>
          <t>TIAGO</t>
        </is>
      </c>
      <c r="K323" s="8" t="inlineStr">
        <is>
          <t>ANDERSON</t>
        </is>
      </c>
      <c r="L323" s="9" t="n">
        <v>45460</v>
      </c>
      <c r="M323" s="9" t="n">
        <v>45467</v>
      </c>
      <c r="N323" s="9" t="n">
        <v>45469</v>
      </c>
      <c r="O323" s="9" t="n">
        <v>45469</v>
      </c>
      <c r="P323" s="7" t="inlineStr">
        <is>
          <t>NÃO PRECISA</t>
        </is>
      </c>
      <c r="Q323" s="9" t="n">
        <v>45497</v>
      </c>
      <c r="R323" s="7" t="inlineStr">
        <is>
          <t>Concluído Campo</t>
        </is>
      </c>
      <c r="S323" s="9" t="n">
        <v>45476</v>
      </c>
      <c r="T323" s="10" t="inlineStr"/>
      <c r="U323" s="7" t="inlineStr">
        <is>
          <t>4150702</t>
        </is>
      </c>
      <c r="V323" s="7" t="inlineStr">
        <is>
          <t>FINALIZADO</t>
        </is>
      </c>
      <c r="W323" s="7" t="inlineStr"/>
      <c r="X323" s="7" t="inlineStr">
        <is>
          <t>MEDIÇÃO CONCLUÍDA</t>
        </is>
      </c>
      <c r="Y323" s="11">
        <f>IF(AND(L323&lt;&gt;"", S323&lt;&gt;""), S323-L323, IF(L323&lt;&gt;"", TODAY()-L323, ""))</f>
        <v/>
      </c>
      <c r="Z323" s="7">
        <f>IF(Y323="", "", IF(Y323&lt;=3, "NO PRAZO", "ATRASADO"))</f>
        <v/>
      </c>
      <c r="AA323" s="8" t="inlineStr">
        <is>
          <t>100% - OK</t>
        </is>
      </c>
    </row>
    <row r="324" ht="20" customHeight="1">
      <c r="A324" s="7" t="inlineStr">
        <is>
          <t>RSCLER0322</t>
        </is>
      </c>
      <c r="B324" s="8" t="inlineStr">
        <is>
          <t>PORTO ALEGRE</t>
        </is>
      </c>
      <c r="C324" s="7" t="inlineStr"/>
      <c r="D324" s="7" t="inlineStr"/>
      <c r="E324" s="7" t="inlineStr"/>
      <c r="F324" s="8" t="inlineStr">
        <is>
          <t>conj 1206, 1207, 1208 e 1209</t>
        </is>
      </c>
      <c r="G324" s="8" t="inlineStr">
        <is>
          <t>Praça Osvaldo Cruz 15</t>
        </is>
      </c>
      <c r="H324" s="7" t="inlineStr"/>
      <c r="I324" s="8" t="inlineStr">
        <is>
          <t>2 ABERTURA E FECHAMENTO, 2 DERIVAÇÃO, 3 FUSÃO ( APOIO A KM )</t>
        </is>
      </c>
      <c r="J324" s="8" t="inlineStr"/>
      <c r="K324" s="8" t="inlineStr">
        <is>
          <t>ADRIANO</t>
        </is>
      </c>
      <c r="L324" s="9" t="n">
        <v>45460</v>
      </c>
      <c r="M324" s="9" t="n">
        <v>45460</v>
      </c>
      <c r="N324" s="9" t="n">
        <v>45460</v>
      </c>
      <c r="O324" s="9" t="n">
        <v>45460</v>
      </c>
      <c r="P324" s="7" t="inlineStr">
        <is>
          <t>NÃO PRECISA</t>
        </is>
      </c>
      <c r="Q324" s="9" t="n">
        <v>45469</v>
      </c>
      <c r="R324" s="7" t="inlineStr">
        <is>
          <t>Concluído Campo</t>
        </is>
      </c>
      <c r="S324" s="9" t="n">
        <v>45474</v>
      </c>
      <c r="T324" s="10" t="inlineStr"/>
      <c r="U324" s="7" t="inlineStr">
        <is>
          <t>4150702</t>
        </is>
      </c>
      <c r="V324" s="7" t="inlineStr">
        <is>
          <t>FINALIZADO</t>
        </is>
      </c>
      <c r="W324" s="7" t="inlineStr"/>
      <c r="X324" s="7" t="inlineStr">
        <is>
          <t>MEDIÇÃO CONCLUÍDA</t>
        </is>
      </c>
      <c r="Y324" s="11">
        <f>IF(AND(L324&lt;&gt;"", S324&lt;&gt;""), S324-L324, IF(L324&lt;&gt;"", TODAY()-L324, ""))</f>
        <v/>
      </c>
      <c r="Z324" s="7">
        <f>IF(Y324="", "", IF(Y324&lt;=3, "NO PRAZO", "ATRASADO"))</f>
        <v/>
      </c>
      <c r="AA324" s="8" t="inlineStr">
        <is>
          <t>100% - OK</t>
        </is>
      </c>
    </row>
    <row r="325" ht="20" customHeight="1">
      <c r="A325" s="7" t="inlineStr">
        <is>
          <t>RSCLER0323</t>
        </is>
      </c>
      <c r="B325" s="8" t="inlineStr">
        <is>
          <t>PORTO ALEGRE</t>
        </is>
      </c>
      <c r="C325" s="7" t="inlineStr">
        <is>
          <t>MSTAA</t>
        </is>
      </c>
      <c r="D325" s="7" t="inlineStr">
        <is>
          <t>MSTAFB</t>
        </is>
      </c>
      <c r="E325" s="7" t="inlineStr"/>
      <c r="F325" s="8" t="inlineStr">
        <is>
          <t>PORTO SANTIAGO</t>
        </is>
      </c>
      <c r="G325" s="8" t="inlineStr">
        <is>
          <t>RUA JOÃO DA SILVA BUENO 100</t>
        </is>
      </c>
      <c r="H325" s="7" t="inlineStr">
        <is>
          <t>MSTAA.051.M020</t>
        </is>
      </c>
      <c r="I325" s="8" t="inlineStr">
        <is>
          <t>FOI LANÇADO 370 METROS DE CABO DE 36FO, 3 ABERTURA E FECHAMENTO, 2 DERIVAÇÃO, 8 FUSÃO, 4 TESTE</t>
        </is>
      </c>
      <c r="J325" s="8" t="inlineStr">
        <is>
          <t>TIAGO FERREIRA</t>
        </is>
      </c>
      <c r="K325" s="8" t="inlineStr">
        <is>
          <t>ANDERSON</t>
        </is>
      </c>
      <c r="L325" s="9" t="n">
        <v>45462</v>
      </c>
      <c r="M325" s="9" t="n">
        <v>45463</v>
      </c>
      <c r="N325" s="9" t="n">
        <v>45467</v>
      </c>
      <c r="O325" s="9" t="n">
        <v>45467</v>
      </c>
      <c r="P325" s="7" t="inlineStr">
        <is>
          <t>NÃO PRECISA</t>
        </is>
      </c>
      <c r="Q325" s="9" t="n">
        <v>45469</v>
      </c>
      <c r="R325" s="7" t="inlineStr">
        <is>
          <t>Concluído Campo</t>
        </is>
      </c>
      <c r="S325" s="9" t="n">
        <v>45474</v>
      </c>
      <c r="T325" s="10" t="inlineStr"/>
      <c r="U325" s="7" t="inlineStr">
        <is>
          <t>4150702</t>
        </is>
      </c>
      <c r="V325" s="7" t="inlineStr">
        <is>
          <t>FINALIZADO</t>
        </is>
      </c>
      <c r="W325" s="7" t="inlineStr"/>
      <c r="X325" s="7" t="inlineStr">
        <is>
          <t>MEDIÇÃO CONCLUÍDA</t>
        </is>
      </c>
      <c r="Y325" s="11">
        <f>IF(AND(L325&lt;&gt;"", S325&lt;&gt;""), S325-L325, IF(L325&lt;&gt;"", TODAY()-L325, ""))</f>
        <v/>
      </c>
      <c r="Z325" s="7">
        <f>IF(Y325="", "", IF(Y325&lt;=3, "NO PRAZO", "ATRASADO"))</f>
        <v/>
      </c>
      <c r="AA325" s="8" t="inlineStr">
        <is>
          <t>100% - OK</t>
        </is>
      </c>
    </row>
    <row r="326" ht="20" customHeight="1">
      <c r="A326" s="7" t="inlineStr">
        <is>
          <t>RSCLER0324</t>
        </is>
      </c>
      <c r="B326" s="8" t="inlineStr">
        <is>
          <t>PORTO ALEGRE</t>
        </is>
      </c>
      <c r="C326" s="7" t="inlineStr">
        <is>
          <t>RBRAA</t>
        </is>
      </c>
      <c r="D326" s="7" t="inlineStr"/>
      <c r="E326" s="7" t="inlineStr"/>
      <c r="F326" s="8" t="inlineStr">
        <is>
          <t>Cond. Ed. Faria Santos</t>
        </is>
      </c>
      <c r="G326" s="8" t="inlineStr">
        <is>
          <t>R Faria Santos 230</t>
        </is>
      </c>
      <c r="H326" s="7" t="inlineStr">
        <is>
          <t>RBRAA.093.M060</t>
        </is>
      </c>
      <c r="I326" s="8" t="inlineStr">
        <is>
          <t>FOI INSTALADO UM SPLITTER 1X8, 8 ABERTURA E FECHAMENTO, 18 FUSÃO, 4 TESTE</t>
        </is>
      </c>
      <c r="J326" s="8" t="inlineStr"/>
      <c r="K326" s="8" t="inlineStr">
        <is>
          <t>LUCAS HOBERT</t>
        </is>
      </c>
      <c r="L326" s="9" t="n">
        <v>45464</v>
      </c>
      <c r="M326" s="7" t="inlineStr"/>
      <c r="N326" s="9" t="n">
        <v>45469</v>
      </c>
      <c r="O326" s="9" t="n">
        <v>45469</v>
      </c>
      <c r="P326" s="7" t="inlineStr">
        <is>
          <t>NÃO PRECISA</t>
        </is>
      </c>
      <c r="Q326" s="9" t="n">
        <v>45497</v>
      </c>
      <c r="R326" s="7" t="inlineStr">
        <is>
          <t>Concluído Campo</t>
        </is>
      </c>
      <c r="S326" s="9" t="n">
        <v>45474</v>
      </c>
      <c r="T326" s="10" t="inlineStr"/>
      <c r="U326" s="7" t="inlineStr">
        <is>
          <t>4150702</t>
        </is>
      </c>
      <c r="V326" s="7" t="inlineStr">
        <is>
          <t>FINALIZADO</t>
        </is>
      </c>
      <c r="W326" s="7" t="inlineStr"/>
      <c r="X326" s="7" t="inlineStr">
        <is>
          <t>MEDIÇÃO CONCLUÍDA</t>
        </is>
      </c>
      <c r="Y326" s="11">
        <f>IF(AND(L326&lt;&gt;"", S326&lt;&gt;""), S326-L326, IF(L326&lt;&gt;"", TODAY()-L326, ""))</f>
        <v/>
      </c>
      <c r="Z326" s="7">
        <f>IF(Y326="", "", IF(Y326&lt;=3, "NO PRAZO", "ATRASADO"))</f>
        <v/>
      </c>
      <c r="AA326" s="8" t="inlineStr">
        <is>
          <t>100% - OK</t>
        </is>
      </c>
    </row>
    <row r="327" ht="20" customHeight="1">
      <c r="A327" s="7" t="inlineStr">
        <is>
          <t>RSCLER0325</t>
        </is>
      </c>
      <c r="B327" s="8" t="inlineStr">
        <is>
          <t>PORTO ALEGRE</t>
        </is>
      </c>
      <c r="C327" s="7" t="inlineStr">
        <is>
          <t>MNDAB</t>
        </is>
      </c>
      <c r="D327" s="7" t="inlineStr">
        <is>
          <t>MNDAD</t>
        </is>
      </c>
      <c r="E327" s="7" t="inlineStr">
        <is>
          <t>RSPCE20</t>
        </is>
      </c>
      <c r="F327" s="8" t="inlineStr">
        <is>
          <t>Riserva Menino Deus</t>
        </is>
      </c>
      <c r="G327" s="8" t="inlineStr">
        <is>
          <t>Rua Marcílio Dias, 589</t>
        </is>
      </c>
      <c r="H327" s="7" t="inlineStr">
        <is>
          <t>MNDAB.051.M080</t>
        </is>
      </c>
      <c r="I327" s="8" t="inlineStr">
        <is>
          <t>FOI LANÇADO 305 METROS DE CABO DE 12FO, 2 ABERTURA E FECHAMENTO, 3 FUSÃO, 1 DERIVAÇÃO, 1 CX NOVA, 1 TESTE</t>
        </is>
      </c>
      <c r="J327" s="8" t="inlineStr">
        <is>
          <t>TIAGO</t>
        </is>
      </c>
      <c r="K327" s="8" t="inlineStr">
        <is>
          <t>FABIO AMARILIO</t>
        </is>
      </c>
      <c r="L327" s="9" t="n">
        <v>45464</v>
      </c>
      <c r="M327" s="9" t="n">
        <v>45464</v>
      </c>
      <c r="N327" s="9" t="n">
        <v>45476</v>
      </c>
      <c r="O327" s="9" t="n">
        <v>45476</v>
      </c>
      <c r="P327" s="7" t="inlineStr">
        <is>
          <t>NÃO PRECISA</t>
        </is>
      </c>
      <c r="Q327" s="9" t="n">
        <v>45497</v>
      </c>
      <c r="R327" s="7" t="inlineStr">
        <is>
          <t>Concluído Campo</t>
        </is>
      </c>
      <c r="S327" s="9" t="n">
        <v>45481</v>
      </c>
      <c r="T327" s="10" t="inlineStr"/>
      <c r="U327" s="7" t="inlineStr">
        <is>
          <t>4150702</t>
        </is>
      </c>
      <c r="V327" s="7" t="inlineStr">
        <is>
          <t>FINALIZADO</t>
        </is>
      </c>
      <c r="W327" s="7" t="inlineStr"/>
      <c r="X327" s="7" t="inlineStr">
        <is>
          <t>MEDIÇÃO CONCLUÍDA</t>
        </is>
      </c>
      <c r="Y327" s="11">
        <f>IF(AND(L327&lt;&gt;"", S327&lt;&gt;""), S327-L327, IF(L327&lt;&gt;"", TODAY()-L327, ""))</f>
        <v/>
      </c>
      <c r="Z327" s="7">
        <f>IF(Y327="", "", IF(Y327&lt;=3, "NO PRAZO", "ATRASADO"))</f>
        <v/>
      </c>
      <c r="AA327" s="8" t="inlineStr">
        <is>
          <t>100% - OK</t>
        </is>
      </c>
    </row>
    <row r="328" ht="20" customHeight="1">
      <c r="A328" s="7" t="inlineStr">
        <is>
          <t>RSCLER0326</t>
        </is>
      </c>
      <c r="B328" s="8" t="inlineStr">
        <is>
          <t>PORTO ALEGRE</t>
        </is>
      </c>
      <c r="C328" s="7" t="inlineStr">
        <is>
          <t>RBTAC</t>
        </is>
      </c>
      <c r="D328" s="7" t="inlineStr">
        <is>
          <t>RBTAGB</t>
        </is>
      </c>
      <c r="E328" s="7" t="inlineStr"/>
      <c r="F328" s="8" t="inlineStr">
        <is>
          <t>Cond Vivaz Santa Fé -</t>
        </is>
      </c>
      <c r="G328" s="8" t="inlineStr">
        <is>
          <t>R Rev. Olavo Nunes 280</t>
        </is>
      </c>
      <c r="H328" s="7" t="inlineStr">
        <is>
          <t>RBTAC.101.M010</t>
        </is>
      </c>
      <c r="I328" s="8" t="inlineStr">
        <is>
          <t>FOI LANÇADO 485 METROS DE CABO DE 12FO, 3 ABERTURA E FECHAMENTO, 1 CX NOVA, 1 DERIVAÇÃO, 21 FUSÃO, 7 TESTE - FOI LANÇADO 137 METROS DE CORDOALHA</t>
        </is>
      </c>
      <c r="J328" s="8" t="inlineStr">
        <is>
          <t>ALAN VASCONCELOS</t>
        </is>
      </c>
      <c r="K328" s="8" t="inlineStr">
        <is>
          <t>FABIO AMARILIO</t>
        </is>
      </c>
      <c r="L328" s="9" t="n">
        <v>45469</v>
      </c>
      <c r="M328" s="9" t="n">
        <v>45470</v>
      </c>
      <c r="N328" s="9" t="n">
        <v>45474</v>
      </c>
      <c r="O328" s="9" t="n">
        <v>45474</v>
      </c>
      <c r="P328" s="7" t="inlineStr">
        <is>
          <t>NÃO PRECISA</t>
        </is>
      </c>
      <c r="Q328" s="9" t="n">
        <v>45497</v>
      </c>
      <c r="R328" s="7" t="inlineStr">
        <is>
          <t>Concluído Campo</t>
        </is>
      </c>
      <c r="S328" s="9" t="n">
        <v>45473</v>
      </c>
      <c r="T328" s="10" t="inlineStr"/>
      <c r="U328" s="7" t="inlineStr">
        <is>
          <t>4150702</t>
        </is>
      </c>
      <c r="V328" s="7" t="inlineStr">
        <is>
          <t>FINALIZADO</t>
        </is>
      </c>
      <c r="W328" s="7" t="inlineStr"/>
      <c r="X328" s="7" t="inlineStr">
        <is>
          <t>MEDIÇÃO CONCLUÍDA</t>
        </is>
      </c>
      <c r="Y328" s="11">
        <f>IF(AND(L328&lt;&gt;"", S328&lt;&gt;""), S328-L328, IF(L328&lt;&gt;"", TODAY()-L328, ""))</f>
        <v/>
      </c>
      <c r="Z328" s="7">
        <f>IF(Y328="", "", IF(Y328&lt;=3, "NO PRAZO", "ATRASADO"))</f>
        <v/>
      </c>
      <c r="AA328" s="8" t="inlineStr">
        <is>
          <t>100% - OK</t>
        </is>
      </c>
    </row>
    <row r="329" ht="20" customHeight="1">
      <c r="A329" s="7" t="inlineStr">
        <is>
          <t>RSCLER0327</t>
        </is>
      </c>
      <c r="B329" s="8" t="inlineStr">
        <is>
          <t>PORTO ALEGRE</t>
        </is>
      </c>
      <c r="C329" s="7" t="inlineStr">
        <is>
          <t>JCVAA</t>
        </is>
      </c>
      <c r="D329" s="7" t="inlineStr">
        <is>
          <t>JCVAB</t>
        </is>
      </c>
      <c r="E329" s="7" t="inlineStr">
        <is>
          <t>RSPNO24</t>
        </is>
      </c>
      <c r="F329" s="8" t="inlineStr">
        <is>
          <t>AMERICA RESIDENCE</t>
        </is>
      </c>
      <c r="G329" s="8" t="inlineStr">
        <is>
          <t>R. Irmão Norberto Francisco Rauch 101</t>
        </is>
      </c>
      <c r="H329" s="7" t="inlineStr">
        <is>
          <t>JCVAA.121.M060</t>
        </is>
      </c>
      <c r="I329" s="8" t="inlineStr">
        <is>
          <t>FOI LANÇADO 228 METROS DE CABO DE 12FO, 4 ABERTURA E FECHAMENTO, 1 DERIVAÇÃO, 8 FUSÃO, 1 CX NOVA 2 TESTE</t>
        </is>
      </c>
      <c r="J329" s="8" t="inlineStr">
        <is>
          <t>ALAN VASCONCELOS</t>
        </is>
      </c>
      <c r="K329" s="8" t="inlineStr">
        <is>
          <t>FABIO AMARILIO</t>
        </is>
      </c>
      <c r="L329" s="9" t="n">
        <v>45469</v>
      </c>
      <c r="M329" s="9" t="n">
        <v>45470</v>
      </c>
      <c r="N329" s="9" t="n">
        <v>45474</v>
      </c>
      <c r="O329" s="9" t="n">
        <v>45474</v>
      </c>
      <c r="P329" s="7" t="inlineStr">
        <is>
          <t>NÃO PRECISA</t>
        </is>
      </c>
      <c r="Q329" s="9" t="n">
        <v>45497</v>
      </c>
      <c r="R329" s="7" t="inlineStr">
        <is>
          <t>Concluído Campo</t>
        </is>
      </c>
      <c r="S329" s="9" t="n">
        <v>45474</v>
      </c>
      <c r="T329" s="10" t="inlineStr"/>
      <c r="U329" s="7" t="inlineStr">
        <is>
          <t>4150702</t>
        </is>
      </c>
      <c r="V329" s="7" t="inlineStr">
        <is>
          <t>FINALIZADO</t>
        </is>
      </c>
      <c r="W329" s="7" t="inlineStr"/>
      <c r="X329" s="7" t="inlineStr">
        <is>
          <t>MEDIÇÃO CONCLUÍDA</t>
        </is>
      </c>
      <c r="Y329" s="11">
        <f>IF(AND(L329&lt;&gt;"", S329&lt;&gt;""), S329-L329, IF(L329&lt;&gt;"", TODAY()-L329, ""))</f>
        <v/>
      </c>
      <c r="Z329" s="7">
        <f>IF(Y329="", "", IF(Y329&lt;=3, "NO PRAZO", "ATRASADO"))</f>
        <v/>
      </c>
      <c r="AA329" s="8" t="inlineStr">
        <is>
          <t>100% - OK</t>
        </is>
      </c>
    </row>
    <row r="330" ht="20" customHeight="1">
      <c r="A330" s="7" t="inlineStr">
        <is>
          <t>RSCLER0328</t>
        </is>
      </c>
      <c r="B330" s="8" t="inlineStr">
        <is>
          <t>PORTO ALEGRE</t>
        </is>
      </c>
      <c r="C330" s="7" t="inlineStr">
        <is>
          <t>NAVAA</t>
        </is>
      </c>
      <c r="D330" s="7" t="inlineStr">
        <is>
          <t>BVSAD</t>
        </is>
      </c>
      <c r="E330" s="7" t="inlineStr">
        <is>
          <t>RSPNO05</t>
        </is>
      </c>
      <c r="F330" s="8" t="inlineStr">
        <is>
          <t>NEW HORIZON</t>
        </is>
      </c>
      <c r="G330" s="8" t="inlineStr">
        <is>
          <t>R CEL FEIJO 516</t>
        </is>
      </c>
      <c r="H330" s="7" t="inlineStr">
        <is>
          <t>NAVAA.123.M070</t>
        </is>
      </c>
      <c r="I330" s="8" t="inlineStr">
        <is>
          <t>FOI LANÇADO 220 METROS DE CABO DE 12FO, 3 ABERTURA E FECHAMENTO, 1 DERIVAÇÃO, 1 CX NOVA, 6 FUSÃO, 2 TESTE</t>
        </is>
      </c>
      <c r="J330" s="8" t="inlineStr">
        <is>
          <t>ALAN VASCONCELOS</t>
        </is>
      </c>
      <c r="K330" s="8" t="inlineStr">
        <is>
          <t>FABIO AMARILIO</t>
        </is>
      </c>
      <c r="L330" s="9" t="n">
        <v>45470</v>
      </c>
      <c r="M330" s="9" t="n">
        <v>45471</v>
      </c>
      <c r="N330" s="9" t="n">
        <v>45474</v>
      </c>
      <c r="O330" s="9" t="n">
        <v>45474</v>
      </c>
      <c r="P330" s="7" t="inlineStr">
        <is>
          <t>NÃO PRECISA</t>
        </is>
      </c>
      <c r="Q330" s="9" t="n">
        <v>45497</v>
      </c>
      <c r="R330" s="7" t="inlineStr">
        <is>
          <t>Concluído Campo</t>
        </is>
      </c>
      <c r="S330" s="9" t="n">
        <v>45484</v>
      </c>
      <c r="T330" s="10" t="inlineStr"/>
      <c r="U330" s="7" t="inlineStr">
        <is>
          <t>4150702</t>
        </is>
      </c>
      <c r="V330" s="7" t="inlineStr">
        <is>
          <t>FINALIZADO</t>
        </is>
      </c>
      <c r="W330" s="7" t="inlineStr"/>
      <c r="X330" s="7" t="inlineStr">
        <is>
          <t>MEDIÇÃO CONCLUÍDA</t>
        </is>
      </c>
      <c r="Y330" s="11">
        <f>IF(AND(L330&lt;&gt;"", S330&lt;&gt;""), S330-L330, IF(L330&lt;&gt;"", TODAY()-L330, ""))</f>
        <v/>
      </c>
      <c r="Z330" s="7">
        <f>IF(Y330="", "", IF(Y330&lt;=3, "NO PRAZO", "ATRASADO"))</f>
        <v/>
      </c>
      <c r="AA330" s="8" t="inlineStr">
        <is>
          <t>100% - OK</t>
        </is>
      </c>
    </row>
    <row r="331" ht="20" customHeight="1">
      <c r="A331" s="7" t="inlineStr">
        <is>
          <t>RSCLER0329</t>
        </is>
      </c>
      <c r="B331" s="8" t="inlineStr">
        <is>
          <t>PORTO ALEGRE</t>
        </is>
      </c>
      <c r="C331" s="7" t="inlineStr">
        <is>
          <t>RBRAA</t>
        </is>
      </c>
      <c r="D331" s="7" t="inlineStr">
        <is>
          <t>RBRAA</t>
        </is>
      </c>
      <c r="E331" s="7" t="inlineStr">
        <is>
          <t>RSPLE08</t>
        </is>
      </c>
      <c r="F331" s="8" t="inlineStr"/>
      <c r="G331" s="8" t="inlineStr">
        <is>
          <t>DARIO PEDERNEIRAS 328</t>
        </is>
      </c>
      <c r="H331" s="7" t="inlineStr">
        <is>
          <t>RBRAA.093.M103</t>
        </is>
      </c>
      <c r="I331" s="8" t="inlineStr">
        <is>
          <t>FOI LANÇADO 203 METROS DE CABO DE 12FO, FOI LANÇADO 207 METROS DE CABO DE 24FO, TEVE DOIS LANÇAMENTOS POR INSUFICIENCIA DE FIBRA, 3 ABERTURA E FECHAMENTO, 6 FUSÃO, 3 DERIVAÇÃO, 1 CX NOVA, 2 TESTE</t>
        </is>
      </c>
      <c r="J331" s="8" t="inlineStr">
        <is>
          <t>VICTOR</t>
        </is>
      </c>
      <c r="K331" s="8" t="inlineStr">
        <is>
          <t>FABIO AMARILIO</t>
        </is>
      </c>
      <c r="L331" s="9" t="n">
        <v>45471</v>
      </c>
      <c r="M331" s="9" t="n">
        <v>45475</v>
      </c>
      <c r="N331" s="9" t="n">
        <v>45481</v>
      </c>
      <c r="O331" s="9" t="n">
        <v>45481</v>
      </c>
      <c r="P331" s="7" t="inlineStr">
        <is>
          <t>NÃO PRECISA</t>
        </is>
      </c>
      <c r="Q331" s="9" t="n">
        <v>45497</v>
      </c>
      <c r="R331" s="7" t="inlineStr">
        <is>
          <t>Concluído Campo</t>
        </is>
      </c>
      <c r="S331" s="9" t="n">
        <v>45481</v>
      </c>
      <c r="T331" s="10" t="inlineStr"/>
      <c r="U331" s="7" t="inlineStr">
        <is>
          <t>4150702</t>
        </is>
      </c>
      <c r="V331" s="7" t="inlineStr">
        <is>
          <t>FINALIZADO</t>
        </is>
      </c>
      <c r="W331" s="7" t="inlineStr"/>
      <c r="X331" s="7" t="inlineStr">
        <is>
          <t>MEDIÇÃO CONCLUÍDA</t>
        </is>
      </c>
      <c r="Y331" s="11">
        <f>IF(AND(L331&lt;&gt;"", S331&lt;&gt;""), S331-L331, IF(L331&lt;&gt;"", TODAY()-L331, ""))</f>
        <v/>
      </c>
      <c r="Z331" s="7">
        <f>IF(Y331="", "", IF(Y331&lt;=3, "NO PRAZO", "ATRASADO"))</f>
        <v/>
      </c>
      <c r="AA331" s="8" t="inlineStr">
        <is>
          <t>100% - OK</t>
        </is>
      </c>
    </row>
    <row r="332" ht="20" customHeight="1">
      <c r="A332" s="7" t="inlineStr">
        <is>
          <t>RSCLER0330</t>
        </is>
      </c>
      <c r="B332" s="8" t="inlineStr">
        <is>
          <t>SAPUCAIA DO SUL</t>
        </is>
      </c>
      <c r="C332" s="7" t="inlineStr">
        <is>
          <t>STAAA</t>
        </is>
      </c>
      <c r="D332" s="7" t="inlineStr"/>
      <c r="E332" s="7" t="inlineStr"/>
      <c r="F332" s="8" t="inlineStr">
        <is>
          <t>DIEGO MEDEIROS VELLEDA</t>
        </is>
      </c>
      <c r="G332" s="8" t="inlineStr"/>
      <c r="H332" s="7" t="inlineStr">
        <is>
          <t>STAAA.221.02.08</t>
        </is>
      </c>
      <c r="I332" s="8" t="inlineStr">
        <is>
          <t>FOI LANÇADO 480 METROS DE CABO DE 12FO, 2 ABERTURA E FECHAMENTO, 1 DERIVAÇÃO, 3 FUSÃO, 1 NAP NOVA, 3 TESTE</t>
        </is>
      </c>
      <c r="J332" s="8" t="inlineStr">
        <is>
          <t>TIAGO FERREIRA</t>
        </is>
      </c>
      <c r="K332" s="8" t="inlineStr">
        <is>
          <t>MARCOS EMILIANO</t>
        </is>
      </c>
      <c r="L332" s="9" t="n">
        <v>45471</v>
      </c>
      <c r="M332" s="9" t="n">
        <v>45472</v>
      </c>
      <c r="N332" s="9" t="n">
        <v>45473</v>
      </c>
      <c r="O332" s="9" t="n">
        <v>45473</v>
      </c>
      <c r="P332" s="7" t="inlineStr">
        <is>
          <t>NÃO PRECISA</t>
        </is>
      </c>
      <c r="Q332" s="9" t="n">
        <v>45497</v>
      </c>
      <c r="R332" s="7" t="inlineStr">
        <is>
          <t>Concluído Campo</t>
        </is>
      </c>
      <c r="S332" s="9" t="n">
        <v>45485</v>
      </c>
      <c r="T332" s="10" t="inlineStr"/>
      <c r="U332" s="7" t="inlineStr">
        <is>
          <t>4150702</t>
        </is>
      </c>
      <c r="V332" s="7" t="inlineStr">
        <is>
          <t>FINALIZADO</t>
        </is>
      </c>
      <c r="W332" s="7" t="inlineStr"/>
      <c r="X332" s="7" t="inlineStr">
        <is>
          <t>MEDIÇÃO CONCLUÍDA</t>
        </is>
      </c>
      <c r="Y332" s="11">
        <f>IF(AND(L332&lt;&gt;"", S332&lt;&gt;""), S332-L332, IF(L332&lt;&gt;"", TODAY()-L332, ""))</f>
        <v/>
      </c>
      <c r="Z332" s="7">
        <f>IF(Y332="", "", IF(Y332&lt;=3, "NO PRAZO", "ATRASADO"))</f>
        <v/>
      </c>
      <c r="AA332" s="8" t="inlineStr">
        <is>
          <t>100% - OK</t>
        </is>
      </c>
    </row>
    <row r="333" ht="20" customHeight="1">
      <c r="A333" s="7" t="inlineStr">
        <is>
          <t>RSCLER0331</t>
        </is>
      </c>
      <c r="B333" s="8" t="inlineStr">
        <is>
          <t>PORTO ALEGRE</t>
        </is>
      </c>
      <c r="C333" s="7" t="inlineStr">
        <is>
          <t>RBRAA</t>
        </is>
      </c>
      <c r="D333" s="7" t="inlineStr">
        <is>
          <t>RBRAJ</t>
        </is>
      </c>
      <c r="E333" s="7" t="inlineStr">
        <is>
          <t>RSPLE08</t>
        </is>
      </c>
      <c r="F333" s="8" t="inlineStr">
        <is>
          <t>Edifício 4 de maio</t>
        </is>
      </c>
      <c r="G333" s="8" t="inlineStr">
        <is>
          <t>Rua Cel. Paulino Teixeira, 341</t>
        </is>
      </c>
      <c r="H333" s="7" t="inlineStr">
        <is>
          <t>RBRAA.021.M010</t>
        </is>
      </c>
      <c r="I333" s="8" t="inlineStr">
        <is>
          <t>2 ABRTURA E FECHAMENTO, 3 FUSÃO, 3 TESTE</t>
        </is>
      </c>
      <c r="J333" s="8" t="inlineStr"/>
      <c r="K333" s="8" t="inlineStr">
        <is>
          <t>MARCOS EMILIANO</t>
        </is>
      </c>
      <c r="L333" s="9" t="n">
        <v>45471</v>
      </c>
      <c r="M333" s="9" t="n">
        <v>45474</v>
      </c>
      <c r="N333" s="9" t="n">
        <v>45474</v>
      </c>
      <c r="O333" s="9" t="n">
        <v>45474</v>
      </c>
      <c r="P333" s="7" t="inlineStr">
        <is>
          <t>NÃO PRECISA</t>
        </is>
      </c>
      <c r="Q333" s="9" t="n">
        <v>45497</v>
      </c>
      <c r="R333" s="7" t="inlineStr">
        <is>
          <t>Concluído Campo</t>
        </is>
      </c>
      <c r="S333" s="9" t="n">
        <v>45486</v>
      </c>
      <c r="T333" s="10" t="inlineStr"/>
      <c r="U333" s="7" t="inlineStr">
        <is>
          <t>4150752</t>
        </is>
      </c>
      <c r="V333" s="7" t="inlineStr">
        <is>
          <t>FINALIZADO</t>
        </is>
      </c>
      <c r="W333" s="7" t="inlineStr"/>
      <c r="X333" s="7" t="inlineStr">
        <is>
          <t>MEDIÇÃO CONCLUÍDA</t>
        </is>
      </c>
      <c r="Y333" s="11">
        <f>IF(AND(L333&lt;&gt;"", S333&lt;&gt;""), S333-L333, IF(L333&lt;&gt;"", TODAY()-L333, ""))</f>
        <v/>
      </c>
      <c r="Z333" s="7">
        <f>IF(Y333="", "", IF(Y333&lt;=3, "NO PRAZO", "ATRASADO"))</f>
        <v/>
      </c>
      <c r="AA333" s="8" t="inlineStr">
        <is>
          <t>100% - OK</t>
        </is>
      </c>
    </row>
    <row r="334" ht="20" customHeight="1">
      <c r="A334" s="7" t="inlineStr">
        <is>
          <t>RSCLER0332</t>
        </is>
      </c>
      <c r="B334" s="8" t="inlineStr">
        <is>
          <t>PORTO ALEGRE</t>
        </is>
      </c>
      <c r="C334" s="7" t="inlineStr">
        <is>
          <t>BVSAB</t>
        </is>
      </c>
      <c r="D334" s="7" t="inlineStr">
        <is>
          <t>PETAU</t>
        </is>
      </c>
      <c r="E334" s="7" t="inlineStr">
        <is>
          <t>PAE NR</t>
        </is>
      </c>
      <c r="F334" s="8" t="inlineStr">
        <is>
          <t>Condomínio Reserva Petrópolis</t>
        </is>
      </c>
      <c r="G334" s="8" t="inlineStr">
        <is>
          <t>Rua Mário Leitão, 60</t>
        </is>
      </c>
      <c r="H334" s="7" t="inlineStr">
        <is>
          <t>BVSAB.081.M010</t>
        </is>
      </c>
      <c r="I334" s="8" t="inlineStr">
        <is>
          <t>4 ABERTURA E FECHAMENTO, 2 FUSÃO, 1 TESTE</t>
        </is>
      </c>
      <c r="J334" s="8" t="inlineStr"/>
      <c r="K334" s="8" t="inlineStr">
        <is>
          <t>PAULO GOMES/FABIO AMARILHO</t>
        </is>
      </c>
      <c r="L334" s="9" t="n">
        <v>45474</v>
      </c>
      <c r="M334" s="9" t="n">
        <v>45474</v>
      </c>
      <c r="N334" s="9" t="n">
        <v>45484</v>
      </c>
      <c r="O334" s="9" t="n">
        <v>45484</v>
      </c>
      <c r="P334" s="7" t="inlineStr">
        <is>
          <t>NÃO PRECISA</t>
        </is>
      </c>
      <c r="Q334" s="9" t="n">
        <v>45497</v>
      </c>
      <c r="R334" s="7" t="inlineStr">
        <is>
          <t>Concluído Campo</t>
        </is>
      </c>
      <c r="S334" s="9" t="n">
        <v>45486</v>
      </c>
      <c r="T334" s="10" t="inlineStr"/>
      <c r="U334" s="7" t="inlineStr">
        <is>
          <t>4150752</t>
        </is>
      </c>
      <c r="V334" s="7" t="inlineStr">
        <is>
          <t>FINALIZADO</t>
        </is>
      </c>
      <c r="W334" s="7" t="inlineStr"/>
      <c r="X334" s="7" t="inlineStr">
        <is>
          <t>MEDIÇÃO CONCLUÍDA</t>
        </is>
      </c>
      <c r="Y334" s="11">
        <f>IF(AND(L334&lt;&gt;"", S334&lt;&gt;""), S334-L334, IF(L334&lt;&gt;"", TODAY()-L334, ""))</f>
        <v/>
      </c>
      <c r="Z334" s="7">
        <f>IF(Y334="", "", IF(Y334&lt;=3, "NO PRAZO", "ATRASADO"))</f>
        <v/>
      </c>
      <c r="AA334" s="8" t="inlineStr">
        <is>
          <t>100% - OK</t>
        </is>
      </c>
    </row>
    <row r="335" ht="20" customHeight="1">
      <c r="A335" s="7" t="inlineStr">
        <is>
          <t>RSCLER0333</t>
        </is>
      </c>
      <c r="B335" s="8" t="inlineStr">
        <is>
          <t>PORTO ALEGRE</t>
        </is>
      </c>
      <c r="C335" s="7" t="inlineStr">
        <is>
          <t>JCVAA</t>
        </is>
      </c>
      <c r="D335" s="7" t="inlineStr">
        <is>
          <t>JCVAB</t>
        </is>
      </c>
      <c r="E335" s="7" t="inlineStr">
        <is>
          <t>RSPNO24</t>
        </is>
      </c>
      <c r="F335" s="8" t="inlineStr">
        <is>
          <t>Cond. Porto Bahamas.</t>
        </is>
      </c>
      <c r="G335" s="8" t="inlineStr">
        <is>
          <t>R. Irmão Norberto Francisco Rauch, 575 BL 02</t>
        </is>
      </c>
      <c r="H335" s="7" t="inlineStr">
        <is>
          <t>JCVAA.121.M050</t>
        </is>
      </c>
      <c r="I335" s="8" t="inlineStr">
        <is>
          <t>FOI LANÇADO 206 METROS DE CABO DE 12FO, 3 ABERTURA E FECHAMENTO, 4 FUSÃO, 2 DERIVAÇÃO, 2 TESTE</t>
        </is>
      </c>
      <c r="J335" s="8" t="inlineStr">
        <is>
          <t>VICTOR</t>
        </is>
      </c>
      <c r="K335" s="8" t="inlineStr">
        <is>
          <t>FABIO AMARILIO</t>
        </is>
      </c>
      <c r="L335" s="9" t="n">
        <v>45474</v>
      </c>
      <c r="M335" s="9" t="n">
        <v>45475</v>
      </c>
      <c r="N335" s="9" t="n">
        <v>45481</v>
      </c>
      <c r="O335" s="9" t="n">
        <v>45481</v>
      </c>
      <c r="P335" s="7" t="inlineStr">
        <is>
          <t>NÃO PRECISA</t>
        </is>
      </c>
      <c r="Q335" s="9" t="n">
        <v>45497</v>
      </c>
      <c r="R335" s="7" t="inlineStr">
        <is>
          <t>Concluído Campo</t>
        </is>
      </c>
      <c r="S335" s="9" t="n">
        <v>45477</v>
      </c>
      <c r="T335" s="10" t="inlineStr"/>
      <c r="U335" s="7" t="inlineStr">
        <is>
          <t>4150752</t>
        </is>
      </c>
      <c r="V335" s="7" t="inlineStr">
        <is>
          <t>FINALIZADO</t>
        </is>
      </c>
      <c r="W335" s="7" t="inlineStr"/>
      <c r="X335" s="7" t="inlineStr">
        <is>
          <t>MEDIÇÃO CONCLUÍDA</t>
        </is>
      </c>
      <c r="Y335" s="11">
        <f>IF(AND(L335&lt;&gt;"", S335&lt;&gt;""), S335-L335, IF(L335&lt;&gt;"", TODAY()-L335, ""))</f>
        <v/>
      </c>
      <c r="Z335" s="7">
        <f>IF(Y335="", "", IF(Y335&lt;=3, "NO PRAZO", "ATRASADO"))</f>
        <v/>
      </c>
      <c r="AA335" s="8" t="inlineStr">
        <is>
          <t>100% - OK</t>
        </is>
      </c>
    </row>
    <row r="336" ht="20" customHeight="1">
      <c r="A336" s="7" t="inlineStr">
        <is>
          <t>RSCLER0334</t>
        </is>
      </c>
      <c r="B336" s="8" t="inlineStr">
        <is>
          <t>PORTO ALEGRE</t>
        </is>
      </c>
      <c r="C336" s="7" t="inlineStr">
        <is>
          <t>MTSAA</t>
        </is>
      </c>
      <c r="D336" s="7" t="inlineStr">
        <is>
          <t>MTSAK</t>
        </is>
      </c>
      <c r="E336" s="7" t="inlineStr">
        <is>
          <t>RSPNO24</t>
        </is>
      </c>
      <c r="F336" s="8" t="inlineStr">
        <is>
          <t>Le Pierre</t>
        </is>
      </c>
      <c r="G336" s="8" t="inlineStr">
        <is>
          <t>RUA ARTHUR ROCHA, 1111</t>
        </is>
      </c>
      <c r="H336" s="7" t="inlineStr">
        <is>
          <t>MTSAA.302.M090</t>
        </is>
      </c>
      <c r="I336" s="8" t="inlineStr">
        <is>
          <t>FOI LANÇADO 305 METROS DE CABO DE 12FO, 4 ABERTURA E FECHAMENTO, 1 DERIVAÇÃO, 1 CX NOVA, 8 FUSÃO, 2 TESTE</t>
        </is>
      </c>
      <c r="J336" s="8" t="inlineStr">
        <is>
          <t>TIAGO FERREIRA</t>
        </is>
      </c>
      <c r="K336" s="8" t="inlineStr">
        <is>
          <t>MARCOS EMILIANO</t>
        </is>
      </c>
      <c r="L336" s="9" t="n">
        <v>45475</v>
      </c>
      <c r="M336" s="9" t="n">
        <v>45482</v>
      </c>
      <c r="N336" s="9" t="n">
        <v>45485</v>
      </c>
      <c r="O336" s="9" t="n">
        <v>45485</v>
      </c>
      <c r="P336" s="7" t="inlineStr">
        <is>
          <t>NÃO PRECISA</t>
        </is>
      </c>
      <c r="Q336" s="9" t="n">
        <v>45497</v>
      </c>
      <c r="R336" s="7" t="inlineStr">
        <is>
          <t>Concluído Campo</t>
        </is>
      </c>
      <c r="S336" s="9" t="n">
        <v>45485</v>
      </c>
      <c r="T336" s="10" t="inlineStr"/>
      <c r="U336" s="7" t="inlineStr">
        <is>
          <t>4150752</t>
        </is>
      </c>
      <c r="V336" s="7" t="inlineStr">
        <is>
          <t>FINALIZADO</t>
        </is>
      </c>
      <c r="W336" s="7" t="inlineStr"/>
      <c r="X336" s="7" t="inlineStr">
        <is>
          <t>MEDIÇÃO CONCLUÍDA</t>
        </is>
      </c>
      <c r="Y336" s="11">
        <f>IF(AND(L336&lt;&gt;"", S336&lt;&gt;""), S336-L336, IF(L336&lt;&gt;"", TODAY()-L336, ""))</f>
        <v/>
      </c>
      <c r="Z336" s="7">
        <f>IF(Y336="", "", IF(Y336&lt;=3, "NO PRAZO", "ATRASADO"))</f>
        <v/>
      </c>
      <c r="AA336" s="8" t="inlineStr">
        <is>
          <t>100% - OK</t>
        </is>
      </c>
    </row>
    <row r="337" ht="20" customHeight="1">
      <c r="A337" s="7" t="inlineStr">
        <is>
          <t>RSCLER0335</t>
        </is>
      </c>
      <c r="B337" s="8" t="inlineStr">
        <is>
          <t>PORTO ALEGRE</t>
        </is>
      </c>
      <c r="C337" s="7" t="inlineStr">
        <is>
          <t>SANAA</t>
        </is>
      </c>
      <c r="D337" s="7" t="inlineStr">
        <is>
          <t>SANAD</t>
        </is>
      </c>
      <c r="E337" s="7" t="inlineStr">
        <is>
          <t>RSPCE22</t>
        </is>
      </c>
      <c r="F337" s="8" t="inlineStr">
        <is>
          <t>MONTE POLLINO</t>
        </is>
      </c>
      <c r="G337" s="8" t="inlineStr">
        <is>
          <t>AV VENANCIO AIRES 177</t>
        </is>
      </c>
      <c r="H337" s="7" t="inlineStr">
        <is>
          <t>SANAA.031.M020</t>
        </is>
      </c>
      <c r="I337" s="8" t="inlineStr">
        <is>
          <t>3 ABERTURA E FECHAMENTO, 4 FUSÃO, 2 TESTE</t>
        </is>
      </c>
      <c r="J337" s="8" t="inlineStr"/>
      <c r="K337" s="8" t="inlineStr">
        <is>
          <t>MARCOS EMILIANO</t>
        </is>
      </c>
      <c r="L337" s="9" t="n">
        <v>45475</v>
      </c>
      <c r="M337" s="9" t="n">
        <v>45486</v>
      </c>
      <c r="N337" s="9" t="n">
        <v>45486</v>
      </c>
      <c r="O337" s="9" t="n">
        <v>45486</v>
      </c>
      <c r="P337" s="7" t="inlineStr">
        <is>
          <t>NÃO PRECISA</t>
        </is>
      </c>
      <c r="Q337" s="9" t="n">
        <v>45497</v>
      </c>
      <c r="R337" s="7" t="inlineStr">
        <is>
          <t>Concluído Campo</t>
        </is>
      </c>
      <c r="S337" s="9" t="n">
        <v>45488</v>
      </c>
      <c r="T337" s="10" t="inlineStr"/>
      <c r="U337" s="7" t="inlineStr">
        <is>
          <t>4150752</t>
        </is>
      </c>
      <c r="V337" s="7" t="inlineStr">
        <is>
          <t>FINALIZADO</t>
        </is>
      </c>
      <c r="W337" s="7" t="inlineStr"/>
      <c r="X337" s="7" t="inlineStr">
        <is>
          <t>MEDIÇÃO CONCLUÍDA</t>
        </is>
      </c>
      <c r="Y337" s="11">
        <f>IF(AND(L337&lt;&gt;"", S337&lt;&gt;""), S337-L337, IF(L337&lt;&gt;"", TODAY()-L337, ""))</f>
        <v/>
      </c>
      <c r="Z337" s="7">
        <f>IF(Y337="", "", IF(Y337&lt;=3, "NO PRAZO", "ATRASADO"))</f>
        <v/>
      </c>
      <c r="AA337" s="8" t="inlineStr">
        <is>
          <t>100% - OK</t>
        </is>
      </c>
    </row>
    <row r="338" ht="20" customHeight="1">
      <c r="A338" s="7" t="inlineStr">
        <is>
          <t>RSCLER0336</t>
        </is>
      </c>
      <c r="B338" s="8" t="inlineStr">
        <is>
          <t>PORTO ALEGRE</t>
        </is>
      </c>
      <c r="C338" s="7" t="inlineStr">
        <is>
          <t>SANAA</t>
        </is>
      </c>
      <c r="D338" s="7" t="inlineStr">
        <is>
          <t>SANAD</t>
        </is>
      </c>
      <c r="E338" s="7" t="inlineStr">
        <is>
          <t>RSPCE22</t>
        </is>
      </c>
      <c r="F338" s="8" t="inlineStr">
        <is>
          <t>Condomínio Edifício Morada do Parque</t>
        </is>
      </c>
      <c r="G338" s="8" t="inlineStr">
        <is>
          <t>AV. JOÃO PESSOA, 1091</t>
        </is>
      </c>
      <c r="H338" s="7" t="inlineStr">
        <is>
          <t>SANAA.031.M010</t>
        </is>
      </c>
      <c r="I338" s="8" t="inlineStr">
        <is>
          <t>3 ABERTURA E FECHAMENTO, 9 FUSÃO, 1 TESTE</t>
        </is>
      </c>
      <c r="J338" s="8" t="inlineStr"/>
      <c r="K338" s="8" t="inlineStr">
        <is>
          <t>MARCOS EMILIANO</t>
        </is>
      </c>
      <c r="L338" s="9" t="n">
        <v>45475</v>
      </c>
      <c r="M338" s="9" t="n">
        <v>45486</v>
      </c>
      <c r="N338" s="9" t="n">
        <v>45486</v>
      </c>
      <c r="O338" s="9" t="n">
        <v>45486</v>
      </c>
      <c r="P338" s="7" t="inlineStr">
        <is>
          <t>NÃO PRECISA</t>
        </is>
      </c>
      <c r="Q338" s="9" t="n">
        <v>45497</v>
      </c>
      <c r="R338" s="7" t="inlineStr">
        <is>
          <t>Concluído Campo</t>
        </is>
      </c>
      <c r="S338" s="9" t="n">
        <v>45484</v>
      </c>
      <c r="T338" s="10" t="inlineStr"/>
      <c r="U338" s="7" t="inlineStr">
        <is>
          <t>4150752</t>
        </is>
      </c>
      <c r="V338" s="7" t="inlineStr">
        <is>
          <t>FINALIZADO</t>
        </is>
      </c>
      <c r="W338" s="7" t="inlineStr"/>
      <c r="X338" s="7" t="inlineStr">
        <is>
          <t>MEDIÇÃO CONCLUÍDA</t>
        </is>
      </c>
      <c r="Y338" s="11">
        <f>IF(AND(L338&lt;&gt;"", S338&lt;&gt;""), S338-L338, IF(L338&lt;&gt;"", TODAY()-L338, ""))</f>
        <v/>
      </c>
      <c r="Z338" s="7">
        <f>IF(Y338="", "", IF(Y338&lt;=3, "NO PRAZO", "ATRASADO"))</f>
        <v/>
      </c>
      <c r="AA338" s="8" t="inlineStr">
        <is>
          <t>100% - OK</t>
        </is>
      </c>
    </row>
    <row r="339" ht="20" customHeight="1">
      <c r="A339" s="7" t="inlineStr">
        <is>
          <t>RSCLER0337</t>
        </is>
      </c>
      <c r="B339" s="8" t="inlineStr">
        <is>
          <t>PORTO ALEGRE</t>
        </is>
      </c>
      <c r="C339" s="7" t="inlineStr">
        <is>
          <t>CMQAA</t>
        </is>
      </c>
      <c r="D339" s="7" t="inlineStr">
        <is>
          <t>CMQAG</t>
        </is>
      </c>
      <c r="E339" s="7" t="inlineStr">
        <is>
          <t>RSPSU87</t>
        </is>
      </c>
      <c r="F339" s="8" t="inlineStr">
        <is>
          <t>CONDOMINIO VIVER ZONA SUL</t>
        </is>
      </c>
      <c r="G339" s="8" t="inlineStr">
        <is>
          <t>AVENIDA OTTO NIEMEYER, 1702</t>
        </is>
      </c>
      <c r="H339" s="7" t="inlineStr">
        <is>
          <t>CMQAA.091.M020</t>
        </is>
      </c>
      <c r="I339" s="8" t="inlineStr">
        <is>
          <t>FOI LANÇADO 50 METROS DE CABO DE 12FO, 2 ABERTURA E FECHAMENTO, 1 DERIVAÇÃO, 1 CX NOVA, 18 FUSÃO, 5 TESTE</t>
        </is>
      </c>
      <c r="J339" s="8" t="inlineStr"/>
      <c r="K339" s="8" t="inlineStr">
        <is>
          <t>MARCOS EMILIANO</t>
        </is>
      </c>
      <c r="L339" s="9" t="n">
        <v>45477</v>
      </c>
      <c r="M339" s="9" t="n">
        <v>45477</v>
      </c>
      <c r="N339" s="9" t="n">
        <v>45477</v>
      </c>
      <c r="O339" s="9" t="n">
        <v>45477</v>
      </c>
      <c r="P339" s="7" t="inlineStr">
        <is>
          <t>NÃO PRECISA</t>
        </is>
      </c>
      <c r="Q339" s="9" t="n">
        <v>45497</v>
      </c>
      <c r="R339" s="7" t="inlineStr">
        <is>
          <t>Concluído Campo</t>
        </is>
      </c>
      <c r="S339" s="9" t="n">
        <v>45488</v>
      </c>
      <c r="T339" s="10" t="inlineStr"/>
      <c r="U339" s="7" t="inlineStr">
        <is>
          <t>4150752</t>
        </is>
      </c>
      <c r="V339" s="7" t="inlineStr">
        <is>
          <t>FINALIZADO</t>
        </is>
      </c>
      <c r="W339" s="7" t="inlineStr"/>
      <c r="X339" s="7" t="inlineStr">
        <is>
          <t>MEDIÇÃO CONCLUÍDA</t>
        </is>
      </c>
      <c r="Y339" s="11">
        <f>IF(AND(L339&lt;&gt;"", S339&lt;&gt;""), S339-L339, IF(L339&lt;&gt;"", TODAY()-L339, ""))</f>
        <v/>
      </c>
      <c r="Z339" s="7">
        <f>IF(Y339="", "", IF(Y339&lt;=3, "NO PRAZO", "ATRASADO"))</f>
        <v/>
      </c>
      <c r="AA339" s="8" t="inlineStr">
        <is>
          <t>100% - OK</t>
        </is>
      </c>
    </row>
    <row r="340" ht="20" customHeight="1">
      <c r="A340" s="7" t="inlineStr">
        <is>
          <t>RSCLER0338</t>
        </is>
      </c>
      <c r="B340" s="8" t="inlineStr">
        <is>
          <t>PORTO ALEGRE</t>
        </is>
      </c>
      <c r="C340" s="7" t="inlineStr">
        <is>
          <t>NAVAA</t>
        </is>
      </c>
      <c r="D340" s="7" t="inlineStr">
        <is>
          <t>NAVAB</t>
        </is>
      </c>
      <c r="E340" s="7" t="inlineStr">
        <is>
          <t>RSPNO05</t>
        </is>
      </c>
      <c r="F340" s="8" t="inlineStr">
        <is>
          <t>Condomínio Rossi Fiateci</t>
        </is>
      </c>
      <c r="G340" s="8" t="inlineStr">
        <is>
          <t>Av Polonia 255 Planner</t>
        </is>
      </c>
      <c r="H340" s="7" t="inlineStr">
        <is>
          <t>NAVAA.011.M060</t>
        </is>
      </c>
      <c r="I340" s="8" t="inlineStr">
        <is>
          <t>FOI LANÇADO 497 METROS DE CABO DE 12FO, 3 ABERTURA E FECHAMENTO, 24 FUSÃO, 1 CX NOVA, 1 DERIVAÇÃO, 8 TESTE</t>
        </is>
      </c>
      <c r="J340" s="8" t="inlineStr">
        <is>
          <t>TIAGO FERREIRA</t>
        </is>
      </c>
      <c r="K340" s="8" t="inlineStr">
        <is>
          <t>MARCOS EMILIANO</t>
        </is>
      </c>
      <c r="L340" s="9" t="n">
        <v>45481</v>
      </c>
      <c r="M340" s="9" t="n">
        <v>45484</v>
      </c>
      <c r="N340" s="9" t="n">
        <v>45499</v>
      </c>
      <c r="O340" s="9" t="n">
        <v>45499</v>
      </c>
      <c r="P340" s="7" t="inlineStr">
        <is>
          <t>NÃO PRECISA</t>
        </is>
      </c>
      <c r="Q340" s="9" t="n">
        <v>45497</v>
      </c>
      <c r="R340" s="7" t="inlineStr">
        <is>
          <t>Concluído Campo</t>
        </is>
      </c>
      <c r="S340" s="9" t="n">
        <v>45492</v>
      </c>
      <c r="T340" s="10" t="inlineStr"/>
      <c r="U340" s="7" t="inlineStr">
        <is>
          <t>4150752</t>
        </is>
      </c>
      <c r="V340" s="7" t="inlineStr">
        <is>
          <t>FINALIZADO</t>
        </is>
      </c>
      <c r="W340" s="7" t="inlineStr"/>
      <c r="X340" s="7" t="inlineStr">
        <is>
          <t>MEDIÇÃO CONCLUÍDA</t>
        </is>
      </c>
      <c r="Y340" s="11">
        <f>IF(AND(L340&lt;&gt;"", S340&lt;&gt;""), S340-L340, IF(L340&lt;&gt;"", TODAY()-L340, ""))</f>
        <v/>
      </c>
      <c r="Z340" s="7">
        <f>IF(Y340="", "", IF(Y340&lt;=3, "NO PRAZO", "ATRASADO"))</f>
        <v/>
      </c>
      <c r="AA340" s="8" t="inlineStr">
        <is>
          <t>100% - OK</t>
        </is>
      </c>
    </row>
    <row r="341" ht="20" customHeight="1">
      <c r="A341" s="7" t="inlineStr">
        <is>
          <t>RSCLER0339</t>
        </is>
      </c>
      <c r="B341" s="8" t="inlineStr">
        <is>
          <t>PORTO ALEGRE</t>
        </is>
      </c>
      <c r="C341" s="7" t="inlineStr">
        <is>
          <t>MTSAA</t>
        </is>
      </c>
      <c r="D341" s="7" t="inlineStr">
        <is>
          <t>MTSAE</t>
        </is>
      </c>
      <c r="E341" s="7" t="inlineStr">
        <is>
          <t>PAE BV</t>
        </is>
      </c>
      <c r="F341" s="8" t="inlineStr">
        <is>
          <t>Cond. Kristal</t>
        </is>
      </c>
      <c r="G341" s="8" t="inlineStr">
        <is>
          <t>R. Cel. Bordini, 980</t>
        </is>
      </c>
      <c r="H341" s="7" t="inlineStr">
        <is>
          <t>MTSAA.092.M050</t>
        </is>
      </c>
      <c r="I341" s="8" t="inlineStr">
        <is>
          <t>4 ABERTURA E FECHAMENTO, 4 FUSÃO, 1 TESTE</t>
        </is>
      </c>
      <c r="J341" s="8" t="inlineStr"/>
      <c r="K341" s="8" t="inlineStr">
        <is>
          <t>FABIO AMARILHO</t>
        </is>
      </c>
      <c r="L341" s="9" t="n">
        <v>45482</v>
      </c>
      <c r="M341" s="9" t="n">
        <v>45484</v>
      </c>
      <c r="N341" s="9" t="n">
        <v>45488</v>
      </c>
      <c r="O341" s="9" t="n">
        <v>45488</v>
      </c>
      <c r="P341" s="7" t="inlineStr">
        <is>
          <t>NÃO PRECISA</t>
        </is>
      </c>
      <c r="Q341" s="9" t="n">
        <v>45497</v>
      </c>
      <c r="R341" s="7" t="inlineStr">
        <is>
          <t>Concluído Campo</t>
        </is>
      </c>
      <c r="S341" s="9" t="n">
        <v>45492</v>
      </c>
      <c r="T341" s="10" t="inlineStr"/>
      <c r="U341" s="7" t="inlineStr">
        <is>
          <t>4150752</t>
        </is>
      </c>
      <c r="V341" s="7" t="inlineStr">
        <is>
          <t>FINALIZADO</t>
        </is>
      </c>
      <c r="W341" s="7" t="inlineStr"/>
      <c r="X341" s="7" t="inlineStr">
        <is>
          <t>MEDIÇÃO CONCLUÍDA</t>
        </is>
      </c>
      <c r="Y341" s="11">
        <f>IF(AND(L341&lt;&gt;"", S341&lt;&gt;""), S341-L341, IF(L341&lt;&gt;"", TODAY()-L341, ""))</f>
        <v/>
      </c>
      <c r="Z341" s="7">
        <f>IF(Y341="", "", IF(Y341&lt;=3, "NO PRAZO", "ATRASADO"))</f>
        <v/>
      </c>
      <c r="AA341" s="8" t="inlineStr">
        <is>
          <t>100% - OK</t>
        </is>
      </c>
    </row>
    <row r="342" ht="20" customHeight="1">
      <c r="A342" s="7" t="inlineStr">
        <is>
          <t>RSCLER0340</t>
        </is>
      </c>
      <c r="B342" s="8" t="inlineStr">
        <is>
          <t>PORTO ALEGRE</t>
        </is>
      </c>
      <c r="C342" s="7" t="inlineStr">
        <is>
          <t>BFMAA</t>
        </is>
      </c>
      <c r="D342" s="7" t="inlineStr">
        <is>
          <t>BFMADB</t>
        </is>
      </c>
      <c r="E342" s="7" t="inlineStr">
        <is>
          <t>PAE IND</t>
        </is>
      </c>
      <c r="F342" s="8" t="inlineStr">
        <is>
          <t>Cond Edificio Saintjames Park</t>
        </is>
      </c>
      <c r="G342" s="8" t="inlineStr">
        <is>
          <t>Av. Independência, 879</t>
        </is>
      </c>
      <c r="H342" s="7" t="inlineStr">
        <is>
          <t>BFMAA.081.M010</t>
        </is>
      </c>
      <c r="I342" s="8" t="inlineStr">
        <is>
          <t>2 ABERTURA E FECHAMENTO , 2 FUSÃO , 2 TESTE</t>
        </is>
      </c>
      <c r="J342" s="8" t="inlineStr"/>
      <c r="K342" s="8" t="inlineStr">
        <is>
          <t>MARCOS EMILIANO</t>
        </is>
      </c>
      <c r="L342" s="9" t="n">
        <v>45483</v>
      </c>
      <c r="M342" s="9" t="n">
        <v>45484</v>
      </c>
      <c r="N342" s="9" t="n">
        <v>45484</v>
      </c>
      <c r="O342" s="9" t="n">
        <v>45484</v>
      </c>
      <c r="P342" s="7" t="inlineStr">
        <is>
          <t>NÃO PRECISA</t>
        </is>
      </c>
      <c r="Q342" s="9" t="n">
        <v>45497</v>
      </c>
      <c r="R342" s="7" t="inlineStr">
        <is>
          <t>Concluído Campo</t>
        </is>
      </c>
      <c r="S342" s="9" t="n">
        <v>45497</v>
      </c>
      <c r="T342" s="10" t="inlineStr"/>
      <c r="U342" s="7" t="inlineStr">
        <is>
          <t>4217680</t>
        </is>
      </c>
      <c r="V342" s="7" t="inlineStr">
        <is>
          <t>FINALIZADO</t>
        </is>
      </c>
      <c r="W342" s="7" t="inlineStr"/>
      <c r="X342" s="7" t="inlineStr">
        <is>
          <t>MEDIÇÃO CONCLUÍDA</t>
        </is>
      </c>
      <c r="Y342" s="11">
        <f>IF(AND(L342&lt;&gt;"", S342&lt;&gt;""), S342-L342, IF(L342&lt;&gt;"", TODAY()-L342, ""))</f>
        <v/>
      </c>
      <c r="Z342" s="7">
        <f>IF(Y342="", "", IF(Y342&lt;=3, "NO PRAZO", "ATRASADO"))</f>
        <v/>
      </c>
      <c r="AA342" s="8" t="inlineStr">
        <is>
          <t>100% - OK</t>
        </is>
      </c>
    </row>
    <row r="343" ht="20" customHeight="1">
      <c r="A343" s="7" t="inlineStr">
        <is>
          <t>RSCLER0341</t>
        </is>
      </c>
      <c r="B343" s="8" t="inlineStr">
        <is>
          <t>PORTO ALEGRE</t>
        </is>
      </c>
      <c r="C343" s="7" t="inlineStr">
        <is>
          <t>RBRAA</t>
        </is>
      </c>
      <c r="D343" s="7" t="inlineStr">
        <is>
          <t>RBRAA</t>
        </is>
      </c>
      <c r="E343" s="7" t="inlineStr">
        <is>
          <t>RSPLE08</t>
        </is>
      </c>
      <c r="F343" s="8" t="inlineStr">
        <is>
          <t>Cond. Ed Urbano Petrópolis</t>
        </is>
      </c>
      <c r="G343" s="8" t="inlineStr">
        <is>
          <t>R Corte Real 82</t>
        </is>
      </c>
      <c r="H343" s="7" t="inlineStr">
        <is>
          <t>RBRAA.094.M040</t>
        </is>
      </c>
      <c r="I343" s="8" t="inlineStr">
        <is>
          <t>FOI LANÇADO 170 METROS DE CABO DE 12FO, 3 ABERTURA E FECHAMENTO, 4 FUSÃO, 1 DERIVAÇÃO, 1 CX NOVA, 2 TESTE</t>
        </is>
      </c>
      <c r="J343" s="8" t="inlineStr">
        <is>
          <t>TIAGO FERREIRA</t>
        </is>
      </c>
      <c r="K343" s="8" t="inlineStr">
        <is>
          <t>MARCOS EMILIANO</t>
        </is>
      </c>
      <c r="L343" s="9" t="n">
        <v>45482</v>
      </c>
      <c r="M343" s="9" t="n">
        <v>45484</v>
      </c>
      <c r="N343" s="9" t="n">
        <v>45488</v>
      </c>
      <c r="O343" s="9" t="n">
        <v>45488</v>
      </c>
      <c r="P343" s="7" t="inlineStr">
        <is>
          <t>NÃO PRECISA</t>
        </is>
      </c>
      <c r="Q343" s="9" t="n">
        <v>45497</v>
      </c>
      <c r="R343" s="7" t="inlineStr">
        <is>
          <t>Concluído Campo</t>
        </is>
      </c>
      <c r="S343" s="9" t="n">
        <v>45484</v>
      </c>
      <c r="T343" s="10" t="inlineStr"/>
      <c r="U343" s="7" t="inlineStr">
        <is>
          <t>4150702</t>
        </is>
      </c>
      <c r="V343" s="7" t="inlineStr">
        <is>
          <t>FINALIZADO</t>
        </is>
      </c>
      <c r="W343" s="7" t="inlineStr"/>
      <c r="X343" s="7" t="inlineStr">
        <is>
          <t>MEDIÇÃO CONCLUÍDA</t>
        </is>
      </c>
      <c r="Y343" s="11">
        <f>IF(AND(L343&lt;&gt;"", S343&lt;&gt;""), S343-L343, IF(L343&lt;&gt;"", TODAY()-L343, ""))</f>
        <v/>
      </c>
      <c r="Z343" s="7">
        <f>IF(Y343="", "", IF(Y343&lt;=3, "NO PRAZO", "ATRASADO"))</f>
        <v/>
      </c>
      <c r="AA343" s="8" t="inlineStr">
        <is>
          <t>100% - OK</t>
        </is>
      </c>
    </row>
    <row r="344" ht="20" customHeight="1">
      <c r="A344" s="7" t="inlineStr">
        <is>
          <t>RSCLER0342</t>
        </is>
      </c>
      <c r="B344" s="8" t="inlineStr">
        <is>
          <t>PORTO ALEGRE</t>
        </is>
      </c>
      <c r="C344" s="7" t="inlineStr">
        <is>
          <t>RBRAA</t>
        </is>
      </c>
      <c r="D344" s="7" t="inlineStr">
        <is>
          <t>RBRAGA</t>
        </is>
      </c>
      <c r="E344" s="7" t="inlineStr">
        <is>
          <t>RSPLE08</t>
        </is>
      </c>
      <c r="F344" s="8" t="inlineStr">
        <is>
          <t>Condomínio Edificio Malaga</t>
        </is>
      </c>
      <c r="G344" s="8" t="inlineStr">
        <is>
          <t>Rua Ramiro Barcelos, 1450</t>
        </is>
      </c>
      <c r="H344" s="7" t="inlineStr">
        <is>
          <t>RBRAA.013.M070</t>
        </is>
      </c>
      <c r="I344" s="8" t="inlineStr">
        <is>
          <t>FOI LANÇADO 100 METROS DE CABO DE 12FO, 2 ABERTURA E FECHAMENTO, 1 CX NOVA, 1 DERIVÇÃO, 5 FUSÃO, 4 TESTE</t>
        </is>
      </c>
      <c r="J344" s="8" t="inlineStr">
        <is>
          <t>TIAGO FERREIRA</t>
        </is>
      </c>
      <c r="K344" s="8" t="inlineStr">
        <is>
          <t>MARCOS EMILIANO</t>
        </is>
      </c>
      <c r="L344" s="9" t="n">
        <v>45482</v>
      </c>
      <c r="M344" s="9" t="n">
        <v>45484</v>
      </c>
      <c r="N344" s="9" t="n">
        <v>45492</v>
      </c>
      <c r="O344" s="9" t="n">
        <v>45492</v>
      </c>
      <c r="P344" s="7" t="inlineStr">
        <is>
          <t>NÃO PRECISA</t>
        </is>
      </c>
      <c r="Q344" s="9" t="n">
        <v>45497</v>
      </c>
      <c r="R344" s="7" t="inlineStr">
        <is>
          <t>Concluído Campo</t>
        </is>
      </c>
      <c r="S344" s="9" t="n">
        <v>45497</v>
      </c>
      <c r="T344" s="10" t="inlineStr"/>
      <c r="U344" s="7" t="inlineStr">
        <is>
          <t>4150752</t>
        </is>
      </c>
      <c r="V344" s="7" t="inlineStr">
        <is>
          <t>FINALIZADO</t>
        </is>
      </c>
      <c r="W344" s="7" t="inlineStr"/>
      <c r="X344" s="7" t="inlineStr">
        <is>
          <t>MEDIÇÃO CONCLUÍDA</t>
        </is>
      </c>
      <c r="Y344" s="11">
        <f>IF(AND(L344&lt;&gt;"", S344&lt;&gt;""), S344-L344, IF(L344&lt;&gt;"", TODAY()-L344, ""))</f>
        <v/>
      </c>
      <c r="Z344" s="7">
        <f>IF(Y344="", "", IF(Y344&lt;=3, "NO PRAZO", "ATRASADO"))</f>
        <v/>
      </c>
      <c r="AA344" s="8" t="inlineStr">
        <is>
          <t>100% - OK</t>
        </is>
      </c>
    </row>
    <row r="345" ht="20" customHeight="1">
      <c r="A345" s="7" t="inlineStr">
        <is>
          <t>RSCLER0343</t>
        </is>
      </c>
      <c r="B345" s="8" t="inlineStr">
        <is>
          <t>PORTO ALEGRE</t>
        </is>
      </c>
      <c r="C345" s="7" t="inlineStr">
        <is>
          <t>RBRAA</t>
        </is>
      </c>
      <c r="D345" s="7" t="inlineStr">
        <is>
          <t>RBRAGA</t>
        </is>
      </c>
      <c r="E345" s="7" t="inlineStr">
        <is>
          <t>RSPLE08</t>
        </is>
      </c>
      <c r="F345" s="8" t="inlineStr">
        <is>
          <t>Ed. Wolfgang Amadeus Mozart</t>
        </is>
      </c>
      <c r="G345" s="8" t="inlineStr">
        <is>
          <t>R. Ramiro Barcelos, 1515</t>
        </is>
      </c>
      <c r="H345" s="7" t="inlineStr">
        <is>
          <t>RBRAA.013.M080</t>
        </is>
      </c>
      <c r="I345" s="8" t="inlineStr">
        <is>
          <t>FOI LANÇADO 155 METROS DE CABO DE 12FO, 2 ABERTURA E FECHAMENTO, 1 CX NOVA, 8 FUSÃO, 4 TESTE</t>
        </is>
      </c>
      <c r="J345" s="8" t="inlineStr">
        <is>
          <t>TIAGO FERREIRA</t>
        </is>
      </c>
      <c r="K345" s="8" t="inlineStr">
        <is>
          <t>MARCOS EMILIANO</t>
        </is>
      </c>
      <c r="L345" s="9" t="n">
        <v>45482</v>
      </c>
      <c r="M345" s="9" t="n">
        <v>45484</v>
      </c>
      <c r="N345" s="9" t="n">
        <v>45492</v>
      </c>
      <c r="O345" s="9" t="n">
        <v>45492</v>
      </c>
      <c r="P345" s="7" t="inlineStr">
        <is>
          <t>NÃO PRECISA</t>
        </is>
      </c>
      <c r="Q345" s="9" t="n">
        <v>45497</v>
      </c>
      <c r="R345" s="7" t="inlineStr">
        <is>
          <t>Concluído Campo</t>
        </is>
      </c>
      <c r="S345" s="9" t="n">
        <v>45497</v>
      </c>
      <c r="T345" s="10" t="inlineStr"/>
      <c r="U345" s="7" t="inlineStr">
        <is>
          <t>4150752</t>
        </is>
      </c>
      <c r="V345" s="7" t="inlineStr">
        <is>
          <t>FINALIZADO</t>
        </is>
      </c>
      <c r="W345" s="7" t="inlineStr"/>
      <c r="X345" s="7" t="inlineStr">
        <is>
          <t>MEDIÇÃO CONCLUÍDA</t>
        </is>
      </c>
      <c r="Y345" s="11">
        <f>IF(AND(L345&lt;&gt;"", S345&lt;&gt;""), S345-L345, IF(L345&lt;&gt;"", TODAY()-L345, ""))</f>
        <v/>
      </c>
      <c r="Z345" s="7">
        <f>IF(Y345="", "", IF(Y345&lt;=3, "NO PRAZO", "ATRASADO"))</f>
        <v/>
      </c>
      <c r="AA345" s="8" t="inlineStr">
        <is>
          <t>100% - OK</t>
        </is>
      </c>
    </row>
    <row r="346" ht="20" customHeight="1">
      <c r="A346" s="7" t="inlineStr">
        <is>
          <t>RSCLER0344</t>
        </is>
      </c>
      <c r="B346" s="8" t="inlineStr">
        <is>
          <t>PORTO ALEGRE</t>
        </is>
      </c>
      <c r="C346" s="7" t="inlineStr">
        <is>
          <t>BFMAA</t>
        </is>
      </c>
      <c r="D346" s="7" t="inlineStr">
        <is>
          <t>RBRAR</t>
        </is>
      </c>
      <c r="E346" s="7" t="inlineStr">
        <is>
          <t>PAE IND</t>
        </is>
      </c>
      <c r="F346" s="8" t="inlineStr">
        <is>
          <t>Ed San Sebastian</t>
        </is>
      </c>
      <c r="G346" s="8" t="inlineStr">
        <is>
          <t>Av Goethe 21</t>
        </is>
      </c>
      <c r="H346" s="7" t="inlineStr">
        <is>
          <t>BFMAA.013.M060</t>
        </is>
      </c>
      <c r="I346" s="8" t="inlineStr">
        <is>
          <t>FOI LANÇADO 320 METROS DE CABO DE 12FO, 4 ABERTURA E FECHAMENTO, 4 FUSÃO, 1 DERIVAÇÃO, 1 CX NOVA , 1 TESTE</t>
        </is>
      </c>
      <c r="J346" s="8" t="inlineStr">
        <is>
          <t>TIAGO FERREIRA</t>
        </is>
      </c>
      <c r="K346" s="8" t="inlineStr">
        <is>
          <t>FABIO AMARILIO</t>
        </is>
      </c>
      <c r="L346" s="9" t="n">
        <v>45482</v>
      </c>
      <c r="M346" s="9" t="n">
        <v>45484</v>
      </c>
      <c r="N346" s="9" t="n">
        <v>45489</v>
      </c>
      <c r="O346" s="9" t="n">
        <v>45497</v>
      </c>
      <c r="P346" s="7" t="inlineStr">
        <is>
          <t>NÃO PRECISA</t>
        </is>
      </c>
      <c r="Q346" s="9" t="n">
        <v>45532</v>
      </c>
      <c r="R346" s="7" t="inlineStr">
        <is>
          <t>Concluído Campo</t>
        </is>
      </c>
      <c r="S346" s="9" t="n">
        <v>45511</v>
      </c>
      <c r="T346" s="10" t="inlineStr"/>
      <c r="U346" s="7" t="inlineStr">
        <is>
          <t>4217680</t>
        </is>
      </c>
      <c r="V346" s="7" t="inlineStr">
        <is>
          <t>FINALIZADO</t>
        </is>
      </c>
      <c r="W346" s="7" t="inlineStr"/>
      <c r="X346" s="7" t="inlineStr">
        <is>
          <t>MEDIÇÃO CONCLUÍDA</t>
        </is>
      </c>
      <c r="Y346" s="11">
        <f>IF(AND(L346&lt;&gt;"", S346&lt;&gt;""), S346-L346, IF(L346&lt;&gt;"", TODAY()-L346, ""))</f>
        <v/>
      </c>
      <c r="Z346" s="7">
        <f>IF(Y346="", "", IF(Y346&lt;=3, "NO PRAZO", "ATRASADO"))</f>
        <v/>
      </c>
      <c r="AA346" s="8" t="inlineStr">
        <is>
          <t>100% - OK</t>
        </is>
      </c>
    </row>
    <row r="347" ht="20" customHeight="1">
      <c r="A347" s="7" t="inlineStr">
        <is>
          <t>RSCLER0345</t>
        </is>
      </c>
      <c r="B347" s="8" t="inlineStr">
        <is>
          <t>PORTO ALEGRE</t>
        </is>
      </c>
      <c r="C347" s="7" t="inlineStr">
        <is>
          <t>TRZAA</t>
        </is>
      </c>
      <c r="D347" s="7" t="inlineStr">
        <is>
          <t>TRZAJA</t>
        </is>
      </c>
      <c r="E347" s="7" t="inlineStr">
        <is>
          <t>RSPSU11</t>
        </is>
      </c>
      <c r="F347" s="8" t="inlineStr">
        <is>
          <t>Cestto Atacadista</t>
        </is>
      </c>
      <c r="G347" s="8" t="inlineStr">
        <is>
          <t>Av. Wenceslau Escobar, 1286</t>
        </is>
      </c>
      <c r="H347" s="7" t="inlineStr">
        <is>
          <t>TRZAA.014.M020</t>
        </is>
      </c>
      <c r="I347" s="8" t="inlineStr">
        <is>
          <t>3 ABERTURA E FECHAMENTO, 2 FUSÃO, 1 TESTE</t>
        </is>
      </c>
      <c r="J347" s="8" t="inlineStr"/>
      <c r="K347" s="8" t="inlineStr">
        <is>
          <t>MARCOS EMILIANO</t>
        </is>
      </c>
      <c r="L347" s="9" t="n">
        <v>45484</v>
      </c>
      <c r="M347" s="9" t="n">
        <v>45484</v>
      </c>
      <c r="N347" s="9" t="n">
        <v>45484</v>
      </c>
      <c r="O347" s="9" t="n">
        <v>45484</v>
      </c>
      <c r="P347" s="7" t="inlineStr">
        <is>
          <t>NÃO PRECISA</t>
        </is>
      </c>
      <c r="Q347" s="9" t="n">
        <v>45497</v>
      </c>
      <c r="R347" s="7" t="inlineStr">
        <is>
          <t>Concluído Campo</t>
        </is>
      </c>
      <c r="S347" s="9" t="n">
        <v>45495</v>
      </c>
      <c r="T347" s="10" t="inlineStr"/>
      <c r="U347" s="7" t="inlineStr">
        <is>
          <t>4150752</t>
        </is>
      </c>
      <c r="V347" s="7" t="inlineStr">
        <is>
          <t>FINALIZADO</t>
        </is>
      </c>
      <c r="W347" s="7" t="inlineStr"/>
      <c r="X347" s="7" t="inlineStr">
        <is>
          <t>MEDIÇÃO CONCLUÍDA</t>
        </is>
      </c>
      <c r="Y347" s="11">
        <f>IF(AND(L347&lt;&gt;"", S347&lt;&gt;""), S347-L347, IF(L347&lt;&gt;"", TODAY()-L347, ""))</f>
        <v/>
      </c>
      <c r="Z347" s="7">
        <f>IF(Y347="", "", IF(Y347&lt;=3, "NO PRAZO", "ATRASADO"))</f>
        <v/>
      </c>
      <c r="AA347" s="8" t="inlineStr">
        <is>
          <t>100% - OK</t>
        </is>
      </c>
    </row>
    <row r="348" ht="20" customHeight="1">
      <c r="A348" s="7" t="inlineStr">
        <is>
          <t>RSCLER0346</t>
        </is>
      </c>
      <c r="B348" s="8" t="inlineStr">
        <is>
          <t>NOVO HAMBURGO</t>
        </is>
      </c>
      <c r="C348" s="7" t="inlineStr">
        <is>
          <t>CNTAA</t>
        </is>
      </c>
      <c r="D348" s="7" t="inlineStr">
        <is>
          <t>CNTAA</t>
        </is>
      </c>
      <c r="E348" s="7" t="inlineStr">
        <is>
          <t>NHO LO</t>
        </is>
      </c>
      <c r="F348" s="8" t="inlineStr"/>
      <c r="G348" s="8" t="inlineStr">
        <is>
          <t>Rua Joaquim Nabuco, 1746,1776,1786,1685,1721</t>
        </is>
      </c>
      <c r="H348" s="7" t="inlineStr">
        <is>
          <t>CNTAA.033.M040</t>
        </is>
      </c>
      <c r="I348" s="8" t="inlineStr">
        <is>
          <t>FOI LANÇADO 311 METROS DE CABO DE 24FO, 1 CX NOVA, 1 DERIVAÇÃO, 1 ABERTURA E FECHAMENTO, 33  FUSÃO, 8 TESTE</t>
        </is>
      </c>
      <c r="J348" s="8" t="inlineStr">
        <is>
          <t>GIOVANE</t>
        </is>
      </c>
      <c r="K348" s="8" t="inlineStr">
        <is>
          <t>MARCOS EMILIANO / LUCAS HOBERT</t>
        </is>
      </c>
      <c r="L348" s="9" t="n">
        <v>45484</v>
      </c>
      <c r="M348" s="9" t="n">
        <v>45488</v>
      </c>
      <c r="N348" s="9" t="n">
        <v>45497</v>
      </c>
      <c r="O348" s="9" t="n">
        <v>45497</v>
      </c>
      <c r="P348" s="7" t="inlineStr">
        <is>
          <t>NÃO PRECISA</t>
        </is>
      </c>
      <c r="Q348" s="9" t="n">
        <v>45497</v>
      </c>
      <c r="R348" s="7" t="inlineStr">
        <is>
          <t>Concluído Campo</t>
        </is>
      </c>
      <c r="S348" s="9" t="n">
        <v>45488</v>
      </c>
      <c r="T348" s="10" t="inlineStr"/>
      <c r="U348" s="7" t="inlineStr">
        <is>
          <t>4150752</t>
        </is>
      </c>
      <c r="V348" s="7" t="inlineStr">
        <is>
          <t>FINALIZADO</t>
        </is>
      </c>
      <c r="W348" s="7" t="inlineStr"/>
      <c r="X348" s="7" t="inlineStr">
        <is>
          <t>MEDIÇÃO CONCLUÍDA</t>
        </is>
      </c>
      <c r="Y348" s="11">
        <f>IF(AND(L348&lt;&gt;"", S348&lt;&gt;""), S348-L348, IF(L348&lt;&gt;"", TODAY()-L348, ""))</f>
        <v/>
      </c>
      <c r="Z348" s="7">
        <f>IF(Y348="", "", IF(Y348&lt;=3, "NO PRAZO", "ATRASADO"))</f>
        <v/>
      </c>
      <c r="AA348" s="8" t="inlineStr">
        <is>
          <t>100% - OK</t>
        </is>
      </c>
    </row>
    <row r="349" ht="20" customHeight="1">
      <c r="A349" s="7" t="inlineStr">
        <is>
          <t>RSCLER0347</t>
        </is>
      </c>
      <c r="B349" s="8" t="inlineStr">
        <is>
          <t>NOVO HAMBURGO</t>
        </is>
      </c>
      <c r="C349" s="7" t="inlineStr">
        <is>
          <t>CNTAA</t>
        </is>
      </c>
      <c r="D349" s="7" t="inlineStr">
        <is>
          <t>CNTAA</t>
        </is>
      </c>
      <c r="E349" s="7" t="inlineStr">
        <is>
          <t>NHO LO</t>
        </is>
      </c>
      <c r="F349" s="8" t="inlineStr"/>
      <c r="G349" s="8" t="inlineStr">
        <is>
          <t>Rua Joaquim Nabuco, 1830,1848,1055</t>
        </is>
      </c>
      <c r="H349" s="7" t="inlineStr">
        <is>
          <t>CNTAA.033.M050</t>
        </is>
      </c>
      <c r="I349" s="8" t="inlineStr">
        <is>
          <t>FOI LANÇADO 195 METROS DE CABO DE 24FO, 1 CX NOVA, 1 ABERTURA E FECHAMENTO, 7 TESTE</t>
        </is>
      </c>
      <c r="J349" s="8" t="inlineStr">
        <is>
          <t>TIAGO FERREIRA</t>
        </is>
      </c>
      <c r="K349" s="8" t="inlineStr">
        <is>
          <t>MARCOS EMILIANO / LUCAS HOBERT</t>
        </is>
      </c>
      <c r="L349" s="9" t="n">
        <v>45484</v>
      </c>
      <c r="M349" s="9" t="n">
        <v>45490</v>
      </c>
      <c r="N349" s="9" t="n">
        <v>45497</v>
      </c>
      <c r="O349" s="9" t="n">
        <v>45497</v>
      </c>
      <c r="P349" s="7" t="inlineStr">
        <is>
          <t>NÃO PRECISA</t>
        </is>
      </c>
      <c r="Q349" s="9" t="n">
        <v>45497</v>
      </c>
      <c r="R349" s="7" t="inlineStr">
        <is>
          <t>Concluído Campo</t>
        </is>
      </c>
      <c r="S349" s="9" t="n">
        <v>45491</v>
      </c>
      <c r="T349" s="10" t="inlineStr"/>
      <c r="U349" s="7" t="inlineStr">
        <is>
          <t>4150752</t>
        </is>
      </c>
      <c r="V349" s="7" t="inlineStr">
        <is>
          <t>FINALIZADO</t>
        </is>
      </c>
      <c r="W349" s="7" t="inlineStr"/>
      <c r="X349" s="7" t="inlineStr">
        <is>
          <t>MEDIÇÃO CONCLUÍDA</t>
        </is>
      </c>
      <c r="Y349" s="11">
        <f>IF(AND(L349&lt;&gt;"", S349&lt;&gt;""), S349-L349, IF(L349&lt;&gt;"", TODAY()-L349, ""))</f>
        <v/>
      </c>
      <c r="Z349" s="7">
        <f>IF(Y349="", "", IF(Y349&lt;=3, "NO PRAZO", "ATRASADO"))</f>
        <v/>
      </c>
      <c r="AA349" s="8" t="inlineStr">
        <is>
          <t>100% - OK</t>
        </is>
      </c>
    </row>
    <row r="350" ht="20" customHeight="1">
      <c r="A350" s="7" t="inlineStr">
        <is>
          <t>RSCLER0348</t>
        </is>
      </c>
      <c r="B350" s="8" t="inlineStr">
        <is>
          <t>PORTO ALEGRE</t>
        </is>
      </c>
      <c r="C350" s="7" t="inlineStr">
        <is>
          <t>SANAA</t>
        </is>
      </c>
      <c r="D350" s="7" t="inlineStr">
        <is>
          <t>SANABA</t>
        </is>
      </c>
      <c r="E350" s="7" t="inlineStr">
        <is>
          <t>RSPCE22</t>
        </is>
      </c>
      <c r="F350" s="8" t="inlineStr">
        <is>
          <t>Medplex Torre A e B</t>
        </is>
      </c>
      <c r="G350" s="8" t="inlineStr">
        <is>
          <t>Rua Gomes Jardim, 201</t>
        </is>
      </c>
      <c r="H350" s="7" t="inlineStr">
        <is>
          <t>SANAA.062.M050</t>
        </is>
      </c>
      <c r="I350" s="8" t="inlineStr">
        <is>
          <t>FOI LANÇADO 440 METROS DE CABO DE 12FO, FOI LANÇADO 195 METROS DE CABO DE 12FO, 3 ABERTURA E FECHAMENTO, 3 DERIVAÇÃO, 18 FUSÃO, 1 CX NOVA, 8 TESTE</t>
        </is>
      </c>
      <c r="J350" s="8" t="inlineStr">
        <is>
          <t>TIAGO FERREIRA / ALAN</t>
        </is>
      </c>
      <c r="K350" s="8" t="inlineStr">
        <is>
          <t>FABIO AMARILIO</t>
        </is>
      </c>
      <c r="L350" s="9" t="n">
        <v>45488</v>
      </c>
      <c r="M350" s="9" t="n">
        <v>45491</v>
      </c>
      <c r="N350" s="9" t="n">
        <v>45511</v>
      </c>
      <c r="O350" s="9" t="n">
        <v>45511</v>
      </c>
      <c r="P350" s="7" t="inlineStr">
        <is>
          <t>NÃO PRECISA</t>
        </is>
      </c>
      <c r="Q350" s="9" t="n">
        <v>45532</v>
      </c>
      <c r="R350" s="7" t="inlineStr">
        <is>
          <t>Concluído Campo</t>
        </is>
      </c>
      <c r="S350" s="9" t="n">
        <v>45516</v>
      </c>
      <c r="T350" s="10" t="inlineStr"/>
      <c r="U350" s="7" t="inlineStr">
        <is>
          <t>4217680</t>
        </is>
      </c>
      <c r="V350" s="7" t="inlineStr">
        <is>
          <t>FINALIZADO</t>
        </is>
      </c>
      <c r="W350" s="7" t="inlineStr"/>
      <c r="X350" s="7" t="inlineStr">
        <is>
          <t>MEDIÇÃO CONCLUÍDA</t>
        </is>
      </c>
      <c r="Y350" s="11">
        <f>IF(AND(L350&lt;&gt;"", S350&lt;&gt;""), S350-L350, IF(L350&lt;&gt;"", TODAY()-L350, ""))</f>
        <v/>
      </c>
      <c r="Z350" s="7">
        <f>IF(Y350="", "", IF(Y350&lt;=3, "NO PRAZO", "ATRASADO"))</f>
        <v/>
      </c>
      <c r="AA350" s="8" t="inlineStr">
        <is>
          <t>100% - OK</t>
        </is>
      </c>
    </row>
    <row r="351" ht="20" customHeight="1">
      <c r="A351" s="7" t="inlineStr">
        <is>
          <t>RSCLER0349</t>
        </is>
      </c>
      <c r="B351" s="8" t="inlineStr">
        <is>
          <t>PORTO ALEGRE</t>
        </is>
      </c>
      <c r="C351" s="7" t="inlineStr">
        <is>
          <t>MTSAA</t>
        </is>
      </c>
      <c r="D351" s="7" t="inlineStr">
        <is>
          <t>MTSAOA</t>
        </is>
      </c>
      <c r="E351" s="7" t="inlineStr">
        <is>
          <t>PAE BV</t>
        </is>
      </c>
      <c r="F351" s="8" t="inlineStr">
        <is>
          <t>Condomínio Edificio New England</t>
        </is>
      </c>
      <c r="G351" s="8" t="inlineStr">
        <is>
          <t>R. Carlos Von Koseritz, 700</t>
        </is>
      </c>
      <c r="H351" s="7" t="inlineStr">
        <is>
          <t>MTSAA.216.M070</t>
        </is>
      </c>
      <c r="I351" s="8" t="inlineStr">
        <is>
          <t>FOI LANÇADO 409 METROS DE CABO DE 12FO, 4 ABERTURA E FECHAMENTO, 12 FUSÃO, 1 DERIVAÇÃO, 1 CX NOVA, 3 TESTE</t>
        </is>
      </c>
      <c r="J351" s="8" t="inlineStr">
        <is>
          <t>UBIRATAN</t>
        </is>
      </c>
      <c r="K351" s="8" t="inlineStr">
        <is>
          <t>ANDERSON</t>
        </is>
      </c>
      <c r="L351" s="9" t="n">
        <v>45488</v>
      </c>
      <c r="M351" s="9" t="n">
        <v>45491</v>
      </c>
      <c r="N351" s="9" t="n">
        <v>45495</v>
      </c>
      <c r="O351" s="9" t="n">
        <v>45495</v>
      </c>
      <c r="P351" s="7" t="inlineStr">
        <is>
          <t>NÃO PRECISA</t>
        </is>
      </c>
      <c r="Q351" s="9" t="n">
        <v>45497</v>
      </c>
      <c r="R351" s="7" t="inlineStr">
        <is>
          <t>Concluído Campo</t>
        </is>
      </c>
      <c r="S351" s="9" t="n">
        <v>45497</v>
      </c>
      <c r="T351" s="10" t="inlineStr"/>
      <c r="U351" s="7" t="inlineStr">
        <is>
          <t>4150752</t>
        </is>
      </c>
      <c r="V351" s="7" t="inlineStr">
        <is>
          <t>FINALIZADO</t>
        </is>
      </c>
      <c r="W351" s="7" t="inlineStr"/>
      <c r="X351" s="7" t="inlineStr">
        <is>
          <t>MEDIÇÃO CONCLUÍDA</t>
        </is>
      </c>
      <c r="Y351" s="11">
        <f>IF(AND(L351&lt;&gt;"", S351&lt;&gt;""), S351-L351, IF(L351&lt;&gt;"", TODAY()-L351, ""))</f>
        <v/>
      </c>
      <c r="Z351" s="7">
        <f>IF(Y351="", "", IF(Y351&lt;=3, "NO PRAZO", "ATRASADO"))</f>
        <v/>
      </c>
      <c r="AA351" s="8" t="inlineStr">
        <is>
          <t>100% - OK</t>
        </is>
      </c>
    </row>
    <row r="352" ht="20" customHeight="1">
      <c r="A352" s="7" t="inlineStr">
        <is>
          <t>RSCLER0350</t>
        </is>
      </c>
      <c r="B352" s="8" t="inlineStr">
        <is>
          <t>PORTO ALEGRE</t>
        </is>
      </c>
      <c r="C352" s="7" t="inlineStr">
        <is>
          <t>BVSAB</t>
        </is>
      </c>
      <c r="D352" s="7" t="inlineStr">
        <is>
          <t>JSOABA</t>
        </is>
      </c>
      <c r="E352" s="7" t="inlineStr">
        <is>
          <t>PAE NR</t>
        </is>
      </c>
      <c r="F352" s="8" t="inlineStr"/>
      <c r="G352" s="8" t="inlineStr">
        <is>
          <t>R Aldo Menoti Sirângelo 40</t>
        </is>
      </c>
      <c r="H352" s="7" t="inlineStr">
        <is>
          <t>BVSAB.274.M080</t>
        </is>
      </c>
      <c r="I352" s="8" t="inlineStr">
        <is>
          <t>3 ABERTURA E FECHAMENTO, 6 FUSÃO, 3 TESTE</t>
        </is>
      </c>
      <c r="J352" s="8" t="inlineStr"/>
      <c r="K352" s="8" t="inlineStr">
        <is>
          <t>MARCOS EMILIANO</t>
        </is>
      </c>
      <c r="L352" s="9" t="n">
        <v>45488</v>
      </c>
      <c r="M352" s="9" t="n">
        <v>45488</v>
      </c>
      <c r="N352" s="9" t="n">
        <v>45488</v>
      </c>
      <c r="O352" s="9" t="n">
        <v>45488</v>
      </c>
      <c r="P352" s="7" t="inlineStr">
        <is>
          <t>NÃO PRECISA</t>
        </is>
      </c>
      <c r="Q352" s="9" t="n">
        <v>45497</v>
      </c>
      <c r="R352" s="7" t="inlineStr">
        <is>
          <t>Concluído Campo</t>
        </is>
      </c>
      <c r="S352" s="7" t="inlineStr"/>
      <c r="T352" s="10" t="inlineStr"/>
      <c r="U352" s="7" t="inlineStr"/>
      <c r="V352" s="7" t="inlineStr"/>
      <c r="W352" s="7" t="inlineStr"/>
      <c r="X352" s="7" t="inlineStr">
        <is>
          <t>AG. MEDIÇÃO</t>
        </is>
      </c>
      <c r="Y352" s="11">
        <f>IF(AND(L352&lt;&gt;"", S352&lt;&gt;""), S352-L352, IF(L352&lt;&gt;"", TODAY()-L352, ""))</f>
        <v/>
      </c>
      <c r="Z352" s="7">
        <f>IF(Y352="", "", IF(Y352&lt;=3, "NO PRAZO", "ATRASADO"))</f>
        <v/>
      </c>
      <c r="AA352" s="8" t="inlineStr">
        <is>
          <t>100% - OK</t>
        </is>
      </c>
    </row>
    <row r="353" ht="20" customHeight="1">
      <c r="A353" s="7" t="inlineStr">
        <is>
          <t>RSCLER0351</t>
        </is>
      </c>
      <c r="B353" s="8" t="inlineStr">
        <is>
          <t>PORTO ALEGRE</t>
        </is>
      </c>
      <c r="C353" s="7" t="inlineStr">
        <is>
          <t>VIPAA</t>
        </is>
      </c>
      <c r="D353" s="7" t="inlineStr">
        <is>
          <t>VIPAJ</t>
        </is>
      </c>
      <c r="E353" s="7" t="inlineStr">
        <is>
          <t>RSPNO19</t>
        </is>
      </c>
      <c r="F353" s="8" t="inlineStr">
        <is>
          <t>Cond Edificio Vista Flamboyant</t>
        </is>
      </c>
      <c r="G353" s="8" t="inlineStr">
        <is>
          <t>Avenida Benno Mentz 885/855</t>
        </is>
      </c>
      <c r="H353" s="7" t="inlineStr">
        <is>
          <t>VIPAA.004.M050</t>
        </is>
      </c>
      <c r="I353" s="8" t="inlineStr">
        <is>
          <t>FOI LANÇADO 210 METROS DE CABO DE 12FO, 3 ABERTURA E FECHAMENTO, 1 DERIVAÇÃO, 1 TESTE, 3 FUSÃO, 1 CX NOVA</t>
        </is>
      </c>
      <c r="J353" s="8" t="inlineStr">
        <is>
          <t>UBIRATAN</t>
        </is>
      </c>
      <c r="K353" s="8" t="inlineStr">
        <is>
          <t>ANDERSON</t>
        </is>
      </c>
      <c r="L353" s="9" t="n">
        <v>45489</v>
      </c>
      <c r="M353" s="9" t="n">
        <v>45491</v>
      </c>
      <c r="N353" s="9" t="n">
        <v>45491</v>
      </c>
      <c r="O353" s="9" t="n">
        <v>45491</v>
      </c>
      <c r="P353" s="7" t="inlineStr">
        <is>
          <t>NÃO PRECISA</t>
        </is>
      </c>
      <c r="Q353" s="9" t="n">
        <v>45497</v>
      </c>
      <c r="R353" s="7" t="inlineStr">
        <is>
          <t>Concluído Campo</t>
        </is>
      </c>
      <c r="S353" s="9" t="n">
        <v>45526</v>
      </c>
      <c r="T353" s="10" t="inlineStr"/>
      <c r="U353" s="7" t="inlineStr">
        <is>
          <t>4217680</t>
        </is>
      </c>
      <c r="V353" s="7" t="inlineStr">
        <is>
          <t>FINALIZADO</t>
        </is>
      </c>
      <c r="W353" s="7" t="inlineStr"/>
      <c r="X353" s="7" t="inlineStr">
        <is>
          <t>MEDIÇÃO CONCLUÍDA</t>
        </is>
      </c>
      <c r="Y353" s="11">
        <f>IF(AND(L353&lt;&gt;"", S353&lt;&gt;""), S353-L353, IF(L353&lt;&gt;"", TODAY()-L353, ""))</f>
        <v/>
      </c>
      <c r="Z353" s="7">
        <f>IF(Y353="", "", IF(Y353&lt;=3, "NO PRAZO", "ATRASADO"))</f>
        <v/>
      </c>
      <c r="AA353" s="8" t="inlineStr">
        <is>
          <t>100% - OK</t>
        </is>
      </c>
    </row>
    <row r="354" ht="20" customHeight="1">
      <c r="A354" s="7" t="inlineStr">
        <is>
          <t>RSCLER0352</t>
        </is>
      </c>
      <c r="B354" s="8" t="inlineStr">
        <is>
          <t>PORTO ALEGRE</t>
        </is>
      </c>
      <c r="C354" s="7" t="inlineStr">
        <is>
          <t>VNVAA</t>
        </is>
      </c>
      <c r="D354" s="7" t="inlineStr">
        <is>
          <t>VNVAE</t>
        </is>
      </c>
      <c r="E354" s="7" t="inlineStr">
        <is>
          <t>RSPSU13</t>
        </is>
      </c>
      <c r="F354" s="8" t="inlineStr">
        <is>
          <t>CAMPOS DO SUL</t>
        </is>
      </c>
      <c r="G354" s="8" t="inlineStr">
        <is>
          <t>RUA FAMILIA GONÇALVES CARNEIRO 441</t>
        </is>
      </c>
      <c r="H354" s="7" t="inlineStr">
        <is>
          <t>VNVAA.131.M030</t>
        </is>
      </c>
      <c r="I354" s="8" t="inlineStr">
        <is>
          <t>FOI LANÇADO 411 METROS DE CABO DE 12FO, FOI LANÇADO 426 METROS DE CABO DE 12FO, 5 ABERTURA E FECHAMENTO, 3 DERIVAÇÃO, 28 FUSÃO, 1 CX NOVA, 7 TESTE</t>
        </is>
      </c>
      <c r="J354" s="8" t="inlineStr">
        <is>
          <t>UBIRATAN / ALAN</t>
        </is>
      </c>
      <c r="K354" s="8" t="inlineStr">
        <is>
          <t>FABIO AMARILIO</t>
        </is>
      </c>
      <c r="L354" s="9" t="n">
        <v>45492</v>
      </c>
      <c r="M354" s="9" t="n">
        <v>45488</v>
      </c>
      <c r="N354" s="9" t="n">
        <v>45516</v>
      </c>
      <c r="O354" s="9" t="n">
        <v>45516</v>
      </c>
      <c r="P354" s="7" t="inlineStr">
        <is>
          <t>NÃO PRECISA</t>
        </is>
      </c>
      <c r="Q354" s="9" t="n">
        <v>45532</v>
      </c>
      <c r="R354" s="7" t="inlineStr">
        <is>
          <t>Concluído Campo</t>
        </is>
      </c>
      <c r="S354" s="9" t="n">
        <v>45511</v>
      </c>
      <c r="T354" s="10" t="inlineStr"/>
      <c r="U354" s="7" t="inlineStr">
        <is>
          <t>4217680</t>
        </is>
      </c>
      <c r="V354" s="7" t="inlineStr">
        <is>
          <t>FINALIZADO</t>
        </is>
      </c>
      <c r="W354" s="7" t="inlineStr"/>
      <c r="X354" s="7" t="inlineStr">
        <is>
          <t>MEDIÇÃO CONCLUÍDA</t>
        </is>
      </c>
      <c r="Y354" s="11">
        <f>IF(AND(L354&lt;&gt;"", S354&lt;&gt;""), S354-L354, IF(L354&lt;&gt;"", TODAY()-L354, ""))</f>
        <v/>
      </c>
      <c r="Z354" s="7">
        <f>IF(Y354="", "", IF(Y354&lt;=3, "NO PRAZO", "ATRASADO"))</f>
        <v/>
      </c>
      <c r="AA354" s="8" t="inlineStr">
        <is>
          <t>100% - OK</t>
        </is>
      </c>
    </row>
    <row r="355" ht="20" customHeight="1">
      <c r="A355" s="7" t="inlineStr">
        <is>
          <t>RSCLER0353</t>
        </is>
      </c>
      <c r="B355" s="8" t="inlineStr">
        <is>
          <t>CANOAS</t>
        </is>
      </c>
      <c r="C355" s="7" t="inlineStr">
        <is>
          <t>MRDAA</t>
        </is>
      </c>
      <c r="D355" s="7" t="inlineStr">
        <is>
          <t>NSG16A</t>
        </is>
      </c>
      <c r="E355" s="7" t="inlineStr">
        <is>
          <t>RSCAN01</t>
        </is>
      </c>
      <c r="F355" s="8" t="inlineStr">
        <is>
          <t>CAZA SCENARIO</t>
        </is>
      </c>
      <c r="G355" s="8" t="inlineStr">
        <is>
          <t>R GOMES FREIRE DE ANDRADE 126</t>
        </is>
      </c>
      <c r="H355" s="7" t="inlineStr">
        <is>
          <t>MRDAA.191.M020</t>
        </is>
      </c>
      <c r="I355" s="8" t="inlineStr">
        <is>
          <t>FOI LANÇADO 350 METROS DE CABO DE 12FO, 3 ABERTURA E FECHAMENTO, 2 FUSÃO, 1 TESTE</t>
        </is>
      </c>
      <c r="J355" s="8" t="inlineStr">
        <is>
          <t>TIAGO FERREIRA</t>
        </is>
      </c>
      <c r="K355" s="8" t="inlineStr">
        <is>
          <t>FABIO AMARILIO</t>
        </is>
      </c>
      <c r="L355" s="9" t="n">
        <v>45492</v>
      </c>
      <c r="M355" s="9" t="n">
        <v>45494</v>
      </c>
      <c r="N355" s="9" t="n">
        <v>45497</v>
      </c>
      <c r="O355" s="9" t="n">
        <v>45497</v>
      </c>
      <c r="P355" s="7" t="inlineStr">
        <is>
          <t>NÃO PRECISA</t>
        </is>
      </c>
      <c r="Q355" s="9" t="n">
        <v>45497</v>
      </c>
      <c r="R355" s="7" t="inlineStr">
        <is>
          <t>Concluído Campo</t>
        </is>
      </c>
      <c r="S355" s="9" t="n">
        <v>45503</v>
      </c>
      <c r="T355" s="10" t="inlineStr"/>
      <c r="U355" s="7" t="inlineStr">
        <is>
          <t>4217680</t>
        </is>
      </c>
      <c r="V355" s="7" t="inlineStr">
        <is>
          <t>FINALIZADO</t>
        </is>
      </c>
      <c r="W355" s="7" t="inlineStr"/>
      <c r="X355" s="7" t="inlineStr">
        <is>
          <t>MEDIÇÃO CONCLUÍDA</t>
        </is>
      </c>
      <c r="Y355" s="11">
        <f>IF(AND(L355&lt;&gt;"", S355&lt;&gt;""), S355-L355, IF(L355&lt;&gt;"", TODAY()-L355, ""))</f>
        <v/>
      </c>
      <c r="Z355" s="7">
        <f>IF(Y355="", "", IF(Y355&lt;=3, "NO PRAZO", "ATRASADO"))</f>
        <v/>
      </c>
      <c r="AA355" s="8" t="inlineStr">
        <is>
          <t>100% - OK</t>
        </is>
      </c>
    </row>
    <row r="356" ht="20" customHeight="1">
      <c r="A356" s="7" t="inlineStr">
        <is>
          <t>RSCLER0354</t>
        </is>
      </c>
      <c r="B356" s="8" t="inlineStr">
        <is>
          <t>PORTO ALEGRE</t>
        </is>
      </c>
      <c r="C356" s="7" t="inlineStr">
        <is>
          <t>SANAA</t>
        </is>
      </c>
      <c r="D356" s="7" t="inlineStr">
        <is>
          <t>SANABA</t>
        </is>
      </c>
      <c r="E356" s="7" t="inlineStr">
        <is>
          <t>RSPCE22</t>
        </is>
      </c>
      <c r="F356" s="8" t="inlineStr">
        <is>
          <t>Medplex</t>
        </is>
      </c>
      <c r="G356" s="8" t="inlineStr">
        <is>
          <t>Rua Gomes Jardim, 301</t>
        </is>
      </c>
      <c r="H356" s="7" t="inlineStr">
        <is>
          <t>SANAA.062.M050.</t>
        </is>
      </c>
      <c r="I356" s="8" t="inlineStr">
        <is>
          <t>COBRAR JUNTO COM A OS RSCLER0344</t>
        </is>
      </c>
      <c r="J356" s="8" t="inlineStr"/>
      <c r="K356" s="8" t="inlineStr">
        <is>
          <t>FABIO AMARILIO</t>
        </is>
      </c>
      <c r="L356" s="9" t="n">
        <v>45492</v>
      </c>
      <c r="M356" s="9" t="n">
        <v>45491</v>
      </c>
      <c r="N356" s="9" t="n">
        <v>45511</v>
      </c>
      <c r="O356" s="9" t="n">
        <v>45511</v>
      </c>
      <c r="P356" s="7" t="inlineStr">
        <is>
          <t>NÃO PRECISA</t>
        </is>
      </c>
      <c r="Q356" s="9" t="n">
        <v>45532</v>
      </c>
      <c r="R356" s="7" t="inlineStr">
        <is>
          <t>Concluído Campo</t>
        </is>
      </c>
      <c r="S356" s="9" t="n">
        <v>45505</v>
      </c>
      <c r="T356" s="10" t="inlineStr"/>
      <c r="U356" s="7" t="inlineStr">
        <is>
          <t>4217680</t>
        </is>
      </c>
      <c r="V356" s="7" t="inlineStr">
        <is>
          <t>FINALIZADO</t>
        </is>
      </c>
      <c r="W356" s="7" t="inlineStr"/>
      <c r="X356" s="7" t="inlineStr">
        <is>
          <t>MEDIÇÃO CONCLUÍDA</t>
        </is>
      </c>
      <c r="Y356" s="11">
        <f>IF(AND(L356&lt;&gt;"", S356&lt;&gt;""), S356-L356, IF(L356&lt;&gt;"", TODAY()-L356, ""))</f>
        <v/>
      </c>
      <c r="Z356" s="7">
        <f>IF(Y356="", "", IF(Y356&lt;=3, "NO PRAZO", "ATRASADO"))</f>
        <v/>
      </c>
      <c r="AA356" s="8" t="inlineStr">
        <is>
          <t>100% - OK</t>
        </is>
      </c>
    </row>
    <row r="357" ht="20" customHeight="1">
      <c r="A357" s="7" t="inlineStr">
        <is>
          <t>RSCLER0355</t>
        </is>
      </c>
      <c r="B357" s="8" t="inlineStr">
        <is>
          <t>PORTO ALEGRE</t>
        </is>
      </c>
      <c r="C357" s="7" t="inlineStr">
        <is>
          <t>IPMAA</t>
        </is>
      </c>
      <c r="D357" s="7" t="inlineStr">
        <is>
          <t>IPMADB</t>
        </is>
      </c>
      <c r="E357" s="7" t="inlineStr">
        <is>
          <t>RSPSU19</t>
        </is>
      </c>
      <c r="F357" s="8" t="inlineStr">
        <is>
          <t>Verde Ipanema</t>
        </is>
      </c>
      <c r="G357" s="8" t="inlineStr">
        <is>
          <t>R PERCIO FREITAS MAESTRI 388</t>
        </is>
      </c>
      <c r="H357" s="7" t="inlineStr">
        <is>
          <t>IPMAA.071.M040</t>
        </is>
      </c>
      <c r="I357" s="8" t="inlineStr">
        <is>
          <t>FOI LANÇADO 407 METROS DE CABO DE 12FO, 2 ABERTURA E FECHAMENTO, 1 DERIVAÇÃO, 1 CX NOVA, 8 FUSÃO, 3 TESTE</t>
        </is>
      </c>
      <c r="J357" s="8" t="inlineStr">
        <is>
          <t>ALAN</t>
        </is>
      </c>
      <c r="K357" s="8" t="inlineStr">
        <is>
          <t>MARCOS EMILIANO</t>
        </is>
      </c>
      <c r="L357" s="9" t="n">
        <v>45497</v>
      </c>
      <c r="M357" s="9" t="n">
        <v>45507</v>
      </c>
      <c r="N357" s="9" t="n">
        <v>45526</v>
      </c>
      <c r="O357" s="9" t="n">
        <v>45526</v>
      </c>
      <c r="P357" s="7" t="inlineStr">
        <is>
          <t>NÃO PRECISA</t>
        </is>
      </c>
      <c r="Q357" s="9" t="n">
        <v>45532</v>
      </c>
      <c r="R357" s="7" t="inlineStr">
        <is>
          <t>Concluído Campo</t>
        </is>
      </c>
      <c r="S357" s="9" t="n">
        <v>45518</v>
      </c>
      <c r="T357" s="10" t="inlineStr"/>
      <c r="U357" s="7" t="inlineStr">
        <is>
          <t>4217680</t>
        </is>
      </c>
      <c r="V357" s="7" t="inlineStr">
        <is>
          <t>FINALIZADO</t>
        </is>
      </c>
      <c r="W357" s="7" t="inlineStr"/>
      <c r="X357" s="7" t="inlineStr">
        <is>
          <t>MEDIÇÃO CONCLUÍDA</t>
        </is>
      </c>
      <c r="Y357" s="11">
        <f>IF(AND(L357&lt;&gt;"", S357&lt;&gt;""), S357-L357, IF(L357&lt;&gt;"", TODAY()-L357, ""))</f>
        <v/>
      </c>
      <c r="Z357" s="7">
        <f>IF(Y357="", "", IF(Y357&lt;=3, "NO PRAZO", "ATRASADO"))</f>
        <v/>
      </c>
      <c r="AA357" s="8" t="inlineStr">
        <is>
          <t>100% - OK</t>
        </is>
      </c>
    </row>
    <row r="358" ht="20" customHeight="1">
      <c r="A358" s="7" t="inlineStr">
        <is>
          <t>RSCLER0356</t>
        </is>
      </c>
      <c r="B358" s="8" t="inlineStr">
        <is>
          <t>PORTO ALEGRE</t>
        </is>
      </c>
      <c r="C358" s="7" t="inlineStr">
        <is>
          <t>RBRAA</t>
        </is>
      </c>
      <c r="D358" s="7" t="inlineStr">
        <is>
          <t>RBRAGA</t>
        </is>
      </c>
      <c r="E358" s="7" t="inlineStr">
        <is>
          <t>RSPLE08</t>
        </is>
      </c>
      <c r="F358" s="8" t="inlineStr">
        <is>
          <t>Residencial Palmares</t>
        </is>
      </c>
      <c r="G358" s="8" t="inlineStr">
        <is>
          <t>R. Castro Alves, 530</t>
        </is>
      </c>
      <c r="H358" s="7" t="inlineStr">
        <is>
          <t>RBRAA.013.M090</t>
        </is>
      </c>
      <c r="I358" s="8" t="inlineStr">
        <is>
          <t>FOI LANÇADO 204 METROS DE CABO DE 12FO, 2 ABERTURA E FECHAMENTO, 2 FUSÃO, 1 DERIVAÇÃO, 1 CX NOVA, 1 TESTE</t>
        </is>
      </c>
      <c r="J358" s="8" t="inlineStr">
        <is>
          <t>ALAN</t>
        </is>
      </c>
      <c r="K358" s="8" t="inlineStr">
        <is>
          <t>MARCOS EMILIANO</t>
        </is>
      </c>
      <c r="L358" s="9" t="n">
        <v>45497</v>
      </c>
      <c r="M358" s="9" t="n">
        <v>45499</v>
      </c>
      <c r="N358" s="9" t="n">
        <v>45511</v>
      </c>
      <c r="O358" s="9" t="n">
        <v>45511</v>
      </c>
      <c r="P358" s="7" t="inlineStr">
        <is>
          <t>NÃO PRECISA</t>
        </is>
      </c>
      <c r="Q358" s="9" t="n">
        <v>45532</v>
      </c>
      <c r="R358" s="7" t="inlineStr">
        <is>
          <t>Concluído Campo</t>
        </is>
      </c>
      <c r="S358" s="9" t="n">
        <v>45534</v>
      </c>
      <c r="T358" s="10" t="inlineStr"/>
      <c r="U358" s="7" t="inlineStr">
        <is>
          <t>4272170</t>
        </is>
      </c>
      <c r="V358" s="7" t="inlineStr">
        <is>
          <t>FINALIZADO</t>
        </is>
      </c>
      <c r="W358" s="7" t="inlineStr"/>
      <c r="X358" s="7" t="inlineStr">
        <is>
          <t>MEDIÇÃO CONCLUÍDA</t>
        </is>
      </c>
      <c r="Y358" s="11">
        <f>IF(AND(L358&lt;&gt;"", S358&lt;&gt;""), S358-L358, IF(L358&lt;&gt;"", TODAY()-L358, ""))</f>
        <v/>
      </c>
      <c r="Z358" s="7">
        <f>IF(Y358="", "", IF(Y358&lt;=3, "NO PRAZO", "ATRASADO"))</f>
        <v/>
      </c>
      <c r="AA358" s="8" t="inlineStr">
        <is>
          <t>100% - OK</t>
        </is>
      </c>
    </row>
    <row r="359" ht="20" customHeight="1">
      <c r="A359" s="7" t="inlineStr">
        <is>
          <t>RSCLER0357</t>
        </is>
      </c>
      <c r="B359" s="8" t="inlineStr">
        <is>
          <t>PORTO ALEGRE</t>
        </is>
      </c>
      <c r="C359" s="7" t="inlineStr">
        <is>
          <t>JITAB</t>
        </is>
      </c>
      <c r="D359" s="7" t="inlineStr">
        <is>
          <t>JITAIA</t>
        </is>
      </c>
      <c r="E359" s="7" t="inlineStr">
        <is>
          <t>RSPNO75</t>
        </is>
      </c>
      <c r="F359" s="8" t="inlineStr">
        <is>
          <t>RESID BUENOS AIRES</t>
        </is>
      </c>
      <c r="G359" s="8" t="inlineStr">
        <is>
          <t>R CONGONHAS 50,60,80,100</t>
        </is>
      </c>
      <c r="H359" s="7" t="inlineStr">
        <is>
          <t>JITAB.153.M010</t>
        </is>
      </c>
      <c r="I359" s="8" t="inlineStr">
        <is>
          <t>3 ABERTURA E FECHAMENTO, 6 FUSÃO, 2 TESTE</t>
        </is>
      </c>
      <c r="J359" s="8" t="inlineStr"/>
      <c r="K359" s="8" t="inlineStr">
        <is>
          <t>FABIO AMARILIO</t>
        </is>
      </c>
      <c r="L359" s="9" t="n">
        <v>45497</v>
      </c>
      <c r="M359" s="9" t="n">
        <v>45503</v>
      </c>
      <c r="N359" s="9" t="n">
        <v>45503</v>
      </c>
      <c r="O359" s="9" t="n">
        <v>45503</v>
      </c>
      <c r="P359" s="7" t="inlineStr">
        <is>
          <t>NÃO PRECISA</t>
        </is>
      </c>
      <c r="Q359" s="9" t="n">
        <v>45532</v>
      </c>
      <c r="R359" s="7" t="inlineStr">
        <is>
          <t>Concluído Campo</t>
        </is>
      </c>
      <c r="S359" s="9" t="n">
        <v>45507</v>
      </c>
      <c r="T359" s="10" t="inlineStr"/>
      <c r="U359" s="7" t="inlineStr">
        <is>
          <t>4217680</t>
        </is>
      </c>
      <c r="V359" s="7" t="inlineStr">
        <is>
          <t>FINALIZADO</t>
        </is>
      </c>
      <c r="W359" s="7" t="inlineStr"/>
      <c r="X359" s="7" t="inlineStr">
        <is>
          <t>MEDIÇÃO CONCLUÍDA</t>
        </is>
      </c>
      <c r="Y359" s="11">
        <f>IF(AND(L359&lt;&gt;"", S359&lt;&gt;""), S359-L359, IF(L359&lt;&gt;"", TODAY()-L359, ""))</f>
        <v/>
      </c>
      <c r="Z359" s="7">
        <f>IF(Y359="", "", IF(Y359&lt;=3, "NO PRAZO", "ATRASADO"))</f>
        <v/>
      </c>
      <c r="AA359" s="8" t="inlineStr">
        <is>
          <t>100% - OK</t>
        </is>
      </c>
    </row>
    <row r="360" ht="20" customHeight="1">
      <c r="A360" s="7" t="inlineStr">
        <is>
          <t>RSCLER0358</t>
        </is>
      </c>
      <c r="B360" s="8" t="inlineStr">
        <is>
          <t>PORTO ALEGRE</t>
        </is>
      </c>
      <c r="C360" s="7" t="inlineStr">
        <is>
          <t>BVSAB</t>
        </is>
      </c>
      <c r="D360" s="7" t="inlineStr">
        <is>
          <t>BVSALA</t>
        </is>
      </c>
      <c r="E360" s="7" t="inlineStr">
        <is>
          <t>PAE NR</t>
        </is>
      </c>
      <c r="F360" s="8" t="inlineStr">
        <is>
          <t>ANDALUZ</t>
        </is>
      </c>
      <c r="G360" s="8" t="inlineStr">
        <is>
          <t>AV BAGÉ 1349</t>
        </is>
      </c>
      <c r="H360" s="7" t="inlineStr">
        <is>
          <t>BVSAB.222.M090</t>
        </is>
      </c>
      <c r="I360" s="8" t="inlineStr">
        <is>
          <t>FOI LANÇADO 359 METROS DE CABO DE 12FO, 6 ABERTURAE FECHAMENTO, 12 FUSÃO, 1 DERIVAÇÃO, 1 CX NOVA, 2 TESTE</t>
        </is>
      </c>
      <c r="J360" s="8" t="inlineStr">
        <is>
          <t>SAMURAI</t>
        </is>
      </c>
      <c r="K360" s="8" t="inlineStr">
        <is>
          <t>FABIO AMARILIO</t>
        </is>
      </c>
      <c r="L360" s="9" t="n">
        <v>45497</v>
      </c>
      <c r="M360" s="9" t="n">
        <v>45504</v>
      </c>
      <c r="N360" s="9" t="n">
        <v>45504</v>
      </c>
      <c r="O360" s="9" t="n">
        <v>45505</v>
      </c>
      <c r="P360" s="7" t="inlineStr">
        <is>
          <t>NÃO PRECISA</t>
        </is>
      </c>
      <c r="Q360" s="9" t="n">
        <v>45532</v>
      </c>
      <c r="R360" s="7" t="inlineStr">
        <is>
          <t>Concluído Campo</t>
        </is>
      </c>
      <c r="S360" s="9" t="n">
        <v>45507</v>
      </c>
      <c r="T360" s="10" t="inlineStr"/>
      <c r="U360" s="7" t="inlineStr">
        <is>
          <t>4217680</t>
        </is>
      </c>
      <c r="V360" s="7" t="inlineStr">
        <is>
          <t>FINALIZADO</t>
        </is>
      </c>
      <c r="W360" s="7" t="inlineStr"/>
      <c r="X360" s="7" t="inlineStr">
        <is>
          <t>MEDIÇÃO CONCLUÍDA</t>
        </is>
      </c>
      <c r="Y360" s="11">
        <f>IF(AND(L360&lt;&gt;"", S360&lt;&gt;""), S360-L360, IF(L360&lt;&gt;"", TODAY()-L360, ""))</f>
        <v/>
      </c>
      <c r="Z360" s="7">
        <f>IF(Y360="", "", IF(Y360&lt;=3, "NO PRAZO", "ATRASADO"))</f>
        <v/>
      </c>
      <c r="AA360" s="8" t="inlineStr">
        <is>
          <t>100% - OK</t>
        </is>
      </c>
    </row>
    <row r="361" ht="20" customHeight="1">
      <c r="A361" s="7" t="inlineStr">
        <is>
          <t>RSCLER0359</t>
        </is>
      </c>
      <c r="B361" s="8" t="inlineStr">
        <is>
          <t>PORTO ALEGRE</t>
        </is>
      </c>
      <c r="C361" s="7" t="inlineStr">
        <is>
          <t>NAVAA</t>
        </is>
      </c>
      <c r="D361" s="7" t="inlineStr">
        <is>
          <t>BVSAE</t>
        </is>
      </c>
      <c r="E361" s="7" t="inlineStr">
        <is>
          <t>RSPNO05</t>
        </is>
      </c>
      <c r="F361" s="8" t="inlineStr">
        <is>
          <t>Cond. Pavei 978</t>
        </is>
      </c>
      <c r="G361" s="8" t="inlineStr">
        <is>
          <t>R Dom Pedro II 978</t>
        </is>
      </c>
      <c r="H361" s="7" t="inlineStr">
        <is>
          <t>NAVAA.132.M080</t>
        </is>
      </c>
      <c r="I361" s="8" t="inlineStr">
        <is>
          <t>FOI LANÇADO 365 METROS DE CABO DE 12FO, 4 ABERTURA E FECHAMENTO, 11 FUSÃO, 1 DERIVAÇÃO, 1 CX NOVA, 2 TESTE</t>
        </is>
      </c>
      <c r="J361" s="8" t="inlineStr">
        <is>
          <t>TIAGO FERREIRA</t>
        </is>
      </c>
      <c r="K361" s="8" t="inlineStr">
        <is>
          <t>ANDERSON</t>
        </is>
      </c>
      <c r="L361" s="9" t="n">
        <v>45498</v>
      </c>
      <c r="M361" s="9" t="n">
        <v>45502</v>
      </c>
      <c r="N361" s="9" t="n">
        <v>45518</v>
      </c>
      <c r="O361" s="9" t="n">
        <v>45518</v>
      </c>
      <c r="P361" s="7" t="inlineStr">
        <is>
          <t>NÃO PRECISA</t>
        </is>
      </c>
      <c r="Q361" s="9" t="n">
        <v>45532</v>
      </c>
      <c r="R361" s="7" t="inlineStr">
        <is>
          <t>Concluído Campo</t>
        </is>
      </c>
      <c r="S361" s="9" t="n">
        <v>45506</v>
      </c>
      <c r="T361" s="10" t="inlineStr"/>
      <c r="U361" s="7" t="inlineStr">
        <is>
          <t>4217680</t>
        </is>
      </c>
      <c r="V361" s="7" t="inlineStr">
        <is>
          <t>FINALIZADO</t>
        </is>
      </c>
      <c r="W361" s="7" t="inlineStr"/>
      <c r="X361" s="7" t="inlineStr">
        <is>
          <t>MEDIÇÃO CONCLUÍDA</t>
        </is>
      </c>
      <c r="Y361" s="11">
        <f>IF(AND(L361&lt;&gt;"", S361&lt;&gt;""), S361-L361, IF(L361&lt;&gt;"", TODAY()-L361, ""))</f>
        <v/>
      </c>
      <c r="Z361" s="7">
        <f>IF(Y361="", "", IF(Y361&lt;=3, "NO PRAZO", "ATRASADO"))</f>
        <v/>
      </c>
      <c r="AA361" s="8" t="inlineStr">
        <is>
          <t>100% - OK</t>
        </is>
      </c>
    </row>
    <row r="362" ht="20" customHeight="1">
      <c r="A362" s="7" t="inlineStr">
        <is>
          <t>RSCLER0360</t>
        </is>
      </c>
      <c r="B362" s="8" t="inlineStr">
        <is>
          <t>PORTO ALEGRE</t>
        </is>
      </c>
      <c r="C362" s="7" t="inlineStr">
        <is>
          <t>FLOAB</t>
        </is>
      </c>
      <c r="D362" s="7" t="inlineStr">
        <is>
          <t>FLOAKB</t>
        </is>
      </c>
      <c r="E362" s="7" t="inlineStr">
        <is>
          <t>RSPCE05</t>
        </is>
      </c>
      <c r="F362" s="8" t="inlineStr">
        <is>
          <t>Cond Edificio Conceicao</t>
        </is>
      </c>
      <c r="G362" s="8" t="inlineStr">
        <is>
          <t>Av. Alberto Bins 724</t>
        </is>
      </c>
      <c r="H362" s="7" t="inlineStr">
        <is>
          <t>FLOAB.091.M060</t>
        </is>
      </c>
      <c r="I362" s="8" t="inlineStr">
        <is>
          <t>FOI LANÇADO 754 METROS DE CABO DE 12FO, 2 ABERTURA E FECHAMENTO, 6 FUSÃO, 3 DERIVAÇÃO, 1 CX NOVA, 3 TESTE</t>
        </is>
      </c>
      <c r="J362" s="8" t="inlineStr">
        <is>
          <t>MALCOLM / TIAGO</t>
        </is>
      </c>
      <c r="K362" s="8" t="inlineStr">
        <is>
          <t>FABIO AMARILIO</t>
        </is>
      </c>
      <c r="L362" s="9" t="n">
        <v>45499</v>
      </c>
      <c r="M362" s="9" t="n">
        <v>45531</v>
      </c>
      <c r="N362" s="9" t="n">
        <v>45534</v>
      </c>
      <c r="O362" s="9" t="n">
        <v>45534</v>
      </c>
      <c r="P362" s="7" t="inlineStr">
        <is>
          <t>NÃO PRECISA</t>
        </is>
      </c>
      <c r="Q362" s="9" t="n">
        <v>45545</v>
      </c>
      <c r="R362" s="7" t="inlineStr">
        <is>
          <t>Concluído Campo</t>
        </is>
      </c>
      <c r="S362" s="9" t="n">
        <v>45506</v>
      </c>
      <c r="T362" s="10" t="inlineStr"/>
      <c r="U362" s="7" t="inlineStr">
        <is>
          <t>4217680</t>
        </is>
      </c>
      <c r="V362" s="7" t="inlineStr">
        <is>
          <t>FINALIZADO</t>
        </is>
      </c>
      <c r="W362" s="7" t="inlineStr"/>
      <c r="X362" s="7" t="inlineStr">
        <is>
          <t>MEDIÇÃO CONCLUÍDA</t>
        </is>
      </c>
      <c r="Y362" s="11">
        <f>IF(AND(L362&lt;&gt;"", S362&lt;&gt;""), S362-L362, IF(L362&lt;&gt;"", TODAY()-L362, ""))</f>
        <v/>
      </c>
      <c r="Z362" s="7">
        <f>IF(Y362="", "", IF(Y362&lt;=3, "NO PRAZO", "ATRASADO"))</f>
        <v/>
      </c>
      <c r="AA362" s="8" t="inlineStr">
        <is>
          <t>100% - OK</t>
        </is>
      </c>
    </row>
    <row r="363" ht="20" customHeight="1">
      <c r="A363" s="7" t="inlineStr">
        <is>
          <t>RSCLER0361</t>
        </is>
      </c>
      <c r="B363" s="8" t="inlineStr">
        <is>
          <t>PORTO ALEGRE</t>
        </is>
      </c>
      <c r="C363" s="7" t="inlineStr">
        <is>
          <t>RBTAA</t>
        </is>
      </c>
      <c r="D363" s="7" t="inlineStr">
        <is>
          <t>RBTAQ</t>
        </is>
      </c>
      <c r="E363" s="7" t="inlineStr">
        <is>
          <t>PAE ARY</t>
        </is>
      </c>
      <c r="F363" s="8" t="inlineStr">
        <is>
          <t>Condomínio Ed. Patricia</t>
        </is>
      </c>
      <c r="G363" s="8" t="inlineStr">
        <is>
          <t>Rua Engenheiro Fernando Abreu Pereira, 164</t>
        </is>
      </c>
      <c r="H363" s="7" t="inlineStr">
        <is>
          <t>RBTAA.122.M030</t>
        </is>
      </c>
      <c r="I363" s="8" t="inlineStr">
        <is>
          <t>FOI LANÇADO 50 METROS DE CABO DE 12FO, 2 ABERTURA E FECHAMENTO, 1 CX NOVA, 1 DERIVAÇÃO, 6 FUSÃO, 3 TESTE</t>
        </is>
      </c>
      <c r="J363" s="8" t="inlineStr"/>
      <c r="K363" s="8" t="inlineStr">
        <is>
          <t>MARCOS EMILIANO</t>
        </is>
      </c>
      <c r="L363" s="9" t="n">
        <v>45499</v>
      </c>
      <c r="M363" s="9" t="n">
        <v>45507</v>
      </c>
      <c r="N363" s="9" t="n">
        <v>45507</v>
      </c>
      <c r="O363" s="9" t="n">
        <v>45507</v>
      </c>
      <c r="P363" s="7" t="inlineStr">
        <is>
          <t>NÃO PRECISA</t>
        </is>
      </c>
      <c r="Q363" s="9" t="n">
        <v>45532</v>
      </c>
      <c r="R363" s="7" t="inlineStr">
        <is>
          <t>Concluído Campo</t>
        </is>
      </c>
      <c r="S363" s="9" t="n">
        <v>45518</v>
      </c>
      <c r="T363" s="10" t="inlineStr"/>
      <c r="U363" s="7" t="inlineStr">
        <is>
          <t>4217680</t>
        </is>
      </c>
      <c r="V363" s="7" t="inlineStr">
        <is>
          <t>FINALIZADO</t>
        </is>
      </c>
      <c r="W363" s="7" t="inlineStr"/>
      <c r="X363" s="7" t="inlineStr">
        <is>
          <t>MEDIÇÃO CONCLUÍDA</t>
        </is>
      </c>
      <c r="Y363" s="11">
        <f>IF(AND(L363&lt;&gt;"", S363&lt;&gt;""), S363-L363, IF(L363&lt;&gt;"", TODAY()-L363, ""))</f>
        <v/>
      </c>
      <c r="Z363" s="7">
        <f>IF(Y363="", "", IF(Y363&lt;=3, "NO PRAZO", "ATRASADO"))</f>
        <v/>
      </c>
      <c r="AA363" s="8" t="inlineStr">
        <is>
          <t>100% - OK</t>
        </is>
      </c>
    </row>
    <row r="364" ht="20" customHeight="1">
      <c r="A364" s="7" t="inlineStr">
        <is>
          <t>RSCLER0362</t>
        </is>
      </c>
      <c r="B364" s="8" t="inlineStr">
        <is>
          <t>PORTO ALEGRE</t>
        </is>
      </c>
      <c r="C364" s="7" t="inlineStr">
        <is>
          <t>RBTAA</t>
        </is>
      </c>
      <c r="D364" s="7" t="inlineStr">
        <is>
          <t>RBTAQ</t>
        </is>
      </c>
      <c r="E364" s="7" t="inlineStr">
        <is>
          <t>PAE ARY</t>
        </is>
      </c>
      <c r="F364" s="8" t="inlineStr"/>
      <c r="G364" s="8" t="inlineStr">
        <is>
          <t>Rua Engenheiro Fernando Abreu Pereira, 144</t>
        </is>
      </c>
      <c r="H364" s="7" t="inlineStr">
        <is>
          <t>RBTAA.122.M030.</t>
        </is>
      </c>
      <c r="I364" s="8" t="inlineStr">
        <is>
          <t>COBRAR JUNTO COM A OS RSCLER0358</t>
        </is>
      </c>
      <c r="J364" s="8" t="inlineStr"/>
      <c r="K364" s="8" t="inlineStr">
        <is>
          <t>MARCOS EMILIANO</t>
        </is>
      </c>
      <c r="L364" s="9" t="n">
        <v>45499</v>
      </c>
      <c r="M364" s="9" t="n">
        <v>45507</v>
      </c>
      <c r="N364" s="9" t="n">
        <v>45507</v>
      </c>
      <c r="O364" s="9" t="n">
        <v>45507</v>
      </c>
      <c r="P364" s="7" t="inlineStr">
        <is>
          <t>NÃO PRECISA</t>
        </is>
      </c>
      <c r="Q364" s="9" t="n">
        <v>45532</v>
      </c>
      <c r="R364" s="7" t="inlineStr">
        <is>
          <t>Concluído Campo</t>
        </is>
      </c>
      <c r="S364" s="9" t="n">
        <v>45520</v>
      </c>
      <c r="T364" s="10" t="inlineStr"/>
      <c r="U364" s="7" t="inlineStr">
        <is>
          <t>4217680</t>
        </is>
      </c>
      <c r="V364" s="7" t="inlineStr">
        <is>
          <t>FINALIZADO</t>
        </is>
      </c>
      <c r="W364" s="7" t="inlineStr"/>
      <c r="X364" s="7" t="inlineStr">
        <is>
          <t>MEDIÇÃO CONCLUÍDA</t>
        </is>
      </c>
      <c r="Y364" s="11">
        <f>IF(AND(L364&lt;&gt;"", S364&lt;&gt;""), S364-L364, IF(L364&lt;&gt;"", TODAY()-L364, ""))</f>
        <v/>
      </c>
      <c r="Z364" s="7">
        <f>IF(Y364="", "", IF(Y364&lt;=3, "NO PRAZO", "ATRASADO"))</f>
        <v/>
      </c>
      <c r="AA364" s="8" t="inlineStr">
        <is>
          <t>100% - OK</t>
        </is>
      </c>
    </row>
    <row r="365" ht="20" customHeight="1">
      <c r="A365" s="7" t="inlineStr">
        <is>
          <t>RSCLER0363</t>
        </is>
      </c>
      <c r="B365" s="8" t="inlineStr">
        <is>
          <t>PORTO ALEGRE</t>
        </is>
      </c>
      <c r="C365" s="7" t="inlineStr">
        <is>
          <t>SANAB</t>
        </is>
      </c>
      <c r="D365" s="7" t="inlineStr">
        <is>
          <t>PRTAB</t>
        </is>
      </c>
      <c r="E365" s="7" t="inlineStr">
        <is>
          <t>RSPCE27</t>
        </is>
      </c>
      <c r="F365" s="8" t="inlineStr">
        <is>
          <t>Condomínio Edifício Boreal</t>
        </is>
      </c>
      <c r="G365" s="8" t="inlineStr">
        <is>
          <t>Av. Bento Gonçalves, 1294</t>
        </is>
      </c>
      <c r="H365" s="7" t="inlineStr">
        <is>
          <t>SANAB.013.M010</t>
        </is>
      </c>
      <c r="I365" s="8" t="inlineStr">
        <is>
          <t>2 ABERTURA E FECHAMENTO, 3 FUSÃO, 3 TESTE</t>
        </is>
      </c>
      <c r="J365" s="8" t="inlineStr"/>
      <c r="K365" s="8" t="inlineStr">
        <is>
          <t>PAULO GOMES</t>
        </is>
      </c>
      <c r="L365" s="9" t="n">
        <v>45499</v>
      </c>
      <c r="M365" s="9" t="n">
        <v>45506</v>
      </c>
      <c r="N365" s="9" t="n">
        <v>45506</v>
      </c>
      <c r="O365" s="9" t="n">
        <v>45506</v>
      </c>
      <c r="P365" s="7" t="inlineStr">
        <is>
          <t>NÃO PRECISA</t>
        </is>
      </c>
      <c r="Q365" s="9" t="n">
        <v>45532</v>
      </c>
      <c r="R365" s="7" t="inlineStr">
        <is>
          <t>Concluído Campo</t>
        </is>
      </c>
      <c r="S365" s="9" t="n">
        <v>45524</v>
      </c>
      <c r="T365" s="10" t="inlineStr"/>
      <c r="U365" s="7" t="inlineStr">
        <is>
          <t>4217680</t>
        </is>
      </c>
      <c r="V365" s="7" t="inlineStr">
        <is>
          <t>FINALIZADO</t>
        </is>
      </c>
      <c r="W365" s="7" t="inlineStr"/>
      <c r="X365" s="7" t="inlineStr">
        <is>
          <t>MEDIÇÃO CONCLUÍDA</t>
        </is>
      </c>
      <c r="Y365" s="11">
        <f>IF(AND(L365&lt;&gt;"", S365&lt;&gt;""), S365-L365, IF(L365&lt;&gt;"", TODAY()-L365, ""))</f>
        <v/>
      </c>
      <c r="Z365" s="7">
        <f>IF(Y365="", "", IF(Y365&lt;=3, "NO PRAZO", "ATRASADO"))</f>
        <v/>
      </c>
      <c r="AA365" s="8" t="inlineStr">
        <is>
          <t>100% - OK</t>
        </is>
      </c>
    </row>
    <row r="366" ht="20" customHeight="1">
      <c r="A366" s="7" t="inlineStr">
        <is>
          <t>RSCLER0364</t>
        </is>
      </c>
      <c r="B366" s="8" t="inlineStr">
        <is>
          <t>PORTO ALEGRE</t>
        </is>
      </c>
      <c r="C366" s="7" t="inlineStr">
        <is>
          <t>BLNAA</t>
        </is>
      </c>
      <c r="D366" s="7" t="inlineStr">
        <is>
          <t>BLNAB</t>
        </is>
      </c>
      <c r="E366" s="7" t="inlineStr">
        <is>
          <t>RSPSU27</t>
        </is>
      </c>
      <c r="F366" s="8" t="inlineStr">
        <is>
          <t>CONDOMINIO TERRA VILLE</t>
        </is>
      </c>
      <c r="G366" s="8" t="inlineStr"/>
      <c r="H366" s="7" t="inlineStr">
        <is>
          <t>BLNAA.001.04.02</t>
        </is>
      </c>
      <c r="I366" s="8" t="inlineStr">
        <is>
          <t>2 ABERTURA E FECHAMENTO, 2 FUSÃO, 1 SPLITTER, 1 TESTE</t>
        </is>
      </c>
      <c r="J366" s="8" t="inlineStr"/>
      <c r="K366" s="8" t="inlineStr">
        <is>
          <t>FABIO AMARILIO</t>
        </is>
      </c>
      <c r="L366" s="9" t="n">
        <v>45502</v>
      </c>
      <c r="M366" s="9" t="n">
        <v>45506</v>
      </c>
      <c r="N366" s="9" t="n">
        <v>45506</v>
      </c>
      <c r="O366" s="9" t="n">
        <v>45506</v>
      </c>
      <c r="P366" s="7" t="inlineStr">
        <is>
          <t>NÃO PRECISA</t>
        </is>
      </c>
      <c r="Q366" s="9" t="n">
        <v>45532</v>
      </c>
      <c r="R366" s="7" t="inlineStr">
        <is>
          <t>Concluído Campo</t>
        </is>
      </c>
      <c r="S366" s="9" t="n">
        <v>45517</v>
      </c>
      <c r="T366" s="10" t="inlineStr"/>
      <c r="U366" s="7" t="inlineStr">
        <is>
          <t>4217680</t>
        </is>
      </c>
      <c r="V366" s="7" t="inlineStr">
        <is>
          <t>FINALIZADO</t>
        </is>
      </c>
      <c r="W366" s="7" t="inlineStr"/>
      <c r="X366" s="7" t="inlineStr">
        <is>
          <t>MEDIÇÃO CONCLUÍDA</t>
        </is>
      </c>
      <c r="Y366" s="11">
        <f>IF(AND(L366&lt;&gt;"", S366&lt;&gt;""), S366-L366, IF(L366&lt;&gt;"", TODAY()-L366, ""))</f>
        <v/>
      </c>
      <c r="Z366" s="7">
        <f>IF(Y366="", "", IF(Y366&lt;=3, "NO PRAZO", "ATRASADO"))</f>
        <v/>
      </c>
      <c r="AA366" s="8" t="inlineStr">
        <is>
          <t>100% - OK</t>
        </is>
      </c>
    </row>
    <row r="367" ht="20" customHeight="1">
      <c r="A367" s="7" t="inlineStr">
        <is>
          <t>RSCLER0365</t>
        </is>
      </c>
      <c r="B367" s="8" t="inlineStr">
        <is>
          <t>PORTO ALEGRE</t>
        </is>
      </c>
      <c r="C367" s="7" t="inlineStr">
        <is>
          <t>NAVAA</t>
        </is>
      </c>
      <c r="D367" s="7" t="inlineStr">
        <is>
          <t>BVSAE</t>
        </is>
      </c>
      <c r="E367" s="7" t="inlineStr">
        <is>
          <t>RSPNO05</t>
        </is>
      </c>
      <c r="F367" s="8" t="inlineStr">
        <is>
          <t>Royal Center</t>
        </is>
      </c>
      <c r="G367" s="8" t="inlineStr">
        <is>
          <t>R. Dom Pedro II, 1240</t>
        </is>
      </c>
      <c r="H367" s="7" t="inlineStr">
        <is>
          <t>NAVAA.132.M030</t>
        </is>
      </c>
      <c r="I367" s="8" t="inlineStr">
        <is>
          <t>5 ABERTURA E FECHAMENTO, 5 FUSÃO, 1 TESTE</t>
        </is>
      </c>
      <c r="J367" s="8" t="inlineStr"/>
      <c r="K367" s="8" t="inlineStr">
        <is>
          <t>FABIO AMARILIO</t>
        </is>
      </c>
      <c r="L367" s="9" t="n">
        <v>45505</v>
      </c>
      <c r="M367" s="7" t="inlineStr">
        <is>
          <t>14/082024</t>
        </is>
      </c>
      <c r="N367" s="9" t="n">
        <v>45518</v>
      </c>
      <c r="O367" s="9" t="n">
        <v>45518</v>
      </c>
      <c r="P367" s="7" t="inlineStr">
        <is>
          <t>NÃO PRECISA</t>
        </is>
      </c>
      <c r="Q367" s="9" t="n">
        <v>45532</v>
      </c>
      <c r="R367" s="7" t="inlineStr">
        <is>
          <t>Concluído Campo</t>
        </is>
      </c>
      <c r="S367" s="9" t="n">
        <v>45513</v>
      </c>
      <c r="T367" s="10" t="inlineStr"/>
      <c r="U367" s="7" t="inlineStr">
        <is>
          <t>4217680</t>
        </is>
      </c>
      <c r="V367" s="7" t="inlineStr">
        <is>
          <t>FINALIZADO</t>
        </is>
      </c>
      <c r="W367" s="7" t="inlineStr"/>
      <c r="X367" s="7" t="inlineStr">
        <is>
          <t>MEDIÇÃO CONCLUÍDA</t>
        </is>
      </c>
      <c r="Y367" s="11">
        <f>IF(AND(L367&lt;&gt;"", S367&lt;&gt;""), S367-L367, IF(L367&lt;&gt;"", TODAY()-L367, ""))</f>
        <v/>
      </c>
      <c r="Z367" s="7">
        <f>IF(Y367="", "", IF(Y367&lt;=3, "NO PRAZO", "ATRASADO"))</f>
        <v/>
      </c>
      <c r="AA367" s="8" t="inlineStr">
        <is>
          <t>100% - OK</t>
        </is>
      </c>
    </row>
    <row r="368" ht="20" customHeight="1">
      <c r="A368" s="7" t="inlineStr">
        <is>
          <t>RSCLER0366</t>
        </is>
      </c>
      <c r="B368" s="8" t="inlineStr">
        <is>
          <t>PORTO ALEGRE</t>
        </is>
      </c>
      <c r="C368" s="7" t="inlineStr">
        <is>
          <t>BVSAB</t>
        </is>
      </c>
      <c r="D368" s="7" t="inlineStr">
        <is>
          <t>PETAAA</t>
        </is>
      </c>
      <c r="E368" s="7" t="inlineStr">
        <is>
          <t>PAENR</t>
        </is>
      </c>
      <c r="F368" s="8" t="inlineStr">
        <is>
          <t>ED PORTAL DE PETROPOLIS</t>
        </is>
      </c>
      <c r="G368" s="8" t="inlineStr">
        <is>
          <t>R SAICÃ 195</t>
        </is>
      </c>
      <c r="H368" s="7" t="inlineStr">
        <is>
          <t>BVSAB.111.M080</t>
        </is>
      </c>
      <c r="I368" s="8" t="inlineStr">
        <is>
          <t>FOI LANÇADO 432 DE CABO DE 12FO, 12 FUSÃO, 4 ABERTURA E FECHAMENTO, 1 DERIVAÇÃO, 1 CX NOVA,</t>
        </is>
      </c>
      <c r="J368" s="8" t="inlineStr">
        <is>
          <t>UBIRATAN</t>
        </is>
      </c>
      <c r="K368" s="8" t="inlineStr">
        <is>
          <t>ANDERSON</t>
        </is>
      </c>
      <c r="L368" s="9" t="n">
        <v>45505</v>
      </c>
      <c r="M368" s="9" t="n">
        <v>45512</v>
      </c>
      <c r="N368" s="9" t="n">
        <v>45520</v>
      </c>
      <c r="O368" s="9" t="n">
        <v>45520</v>
      </c>
      <c r="P368" s="7" t="inlineStr">
        <is>
          <t>NÃO PRECISA</t>
        </is>
      </c>
      <c r="Q368" s="9" t="n">
        <v>45532</v>
      </c>
      <c r="R368" s="7" t="inlineStr">
        <is>
          <t>Concluído Campo</t>
        </is>
      </c>
      <c r="S368" s="9" t="n">
        <v>45511</v>
      </c>
      <c r="T368" s="10" t="inlineStr"/>
      <c r="U368" s="7" t="inlineStr">
        <is>
          <t>4217680</t>
        </is>
      </c>
      <c r="V368" s="7" t="inlineStr">
        <is>
          <t>FINALIZADO</t>
        </is>
      </c>
      <c r="W368" s="7" t="inlineStr"/>
      <c r="X368" s="7" t="inlineStr">
        <is>
          <t>MEDIÇÃO CONCLUÍDA</t>
        </is>
      </c>
      <c r="Y368" s="11">
        <f>IF(AND(L368&lt;&gt;"", S368&lt;&gt;""), S368-L368, IF(L368&lt;&gt;"", TODAY()-L368, ""))</f>
        <v/>
      </c>
      <c r="Z368" s="7">
        <f>IF(Y368="", "", IF(Y368&lt;=3, "NO PRAZO", "ATRASADO"))</f>
        <v/>
      </c>
      <c r="AA368" s="8" t="inlineStr">
        <is>
          <t>100% - OK</t>
        </is>
      </c>
    </row>
    <row r="369" ht="20" customHeight="1">
      <c r="A369" s="7" t="inlineStr">
        <is>
          <t>RSCLER0367</t>
        </is>
      </c>
      <c r="B369" s="8" t="inlineStr">
        <is>
          <t>PORTO ALEGRE</t>
        </is>
      </c>
      <c r="C369" s="7" t="inlineStr">
        <is>
          <t>MSTAA</t>
        </is>
      </c>
      <c r="D369" s="7" t="inlineStr">
        <is>
          <t>MQTAB</t>
        </is>
      </c>
      <c r="E369" s="7" t="inlineStr">
        <is>
          <t>RSPNO26</t>
        </is>
      </c>
      <c r="F369" s="8" t="inlineStr">
        <is>
          <t>Condomínio Porto Valência</t>
        </is>
      </c>
      <c r="G369" s="8" t="inlineStr">
        <is>
          <t>Av Protasio Alves 9277</t>
        </is>
      </c>
      <c r="H369" s="7" t="inlineStr">
        <is>
          <t>MSTAA.091.M020</t>
        </is>
      </c>
      <c r="I369" s="8" t="inlineStr">
        <is>
          <t>FOI LANÇADO  725 METROS  DE CABO 12FO, 1 ABERTURA E FECHAMENTO, 3 FUSÃO, 1 DERIVAÇÃO, 1 CX NOVA, 3 TESSTE</t>
        </is>
      </c>
      <c r="J369" s="8" t="inlineStr">
        <is>
          <t>TIAGO FERREIRA</t>
        </is>
      </c>
      <c r="K369" s="8" t="inlineStr">
        <is>
          <t>ANDERSON</t>
        </is>
      </c>
      <c r="L369" s="9" t="n">
        <v>45505</v>
      </c>
      <c r="M369" s="9" t="n">
        <v>45511</v>
      </c>
      <c r="N369" s="9" t="n">
        <v>45524</v>
      </c>
      <c r="O369" s="9" t="n">
        <v>45524</v>
      </c>
      <c r="P369" s="7" t="inlineStr">
        <is>
          <t>NÃO PRECISA</t>
        </is>
      </c>
      <c r="Q369" s="9" t="n">
        <v>45532</v>
      </c>
      <c r="R369" s="7" t="inlineStr">
        <is>
          <t>Concluído Campo</t>
        </is>
      </c>
      <c r="S369" s="9" t="n">
        <v>45525</v>
      </c>
      <c r="T369" s="10" t="inlineStr"/>
      <c r="U369" s="7" t="inlineStr">
        <is>
          <t>4217680</t>
        </is>
      </c>
      <c r="V369" s="7" t="inlineStr">
        <is>
          <t>FINALIZADO</t>
        </is>
      </c>
      <c r="W369" s="7" t="inlineStr"/>
      <c r="X369" s="7" t="inlineStr">
        <is>
          <t>MEDIÇÃO CONCLUÍDA</t>
        </is>
      </c>
      <c r="Y369" s="11">
        <f>IF(AND(L369&lt;&gt;"", S369&lt;&gt;""), S369-L369, IF(L369&lt;&gt;"", TODAY()-L369, ""))</f>
        <v/>
      </c>
      <c r="Z369" s="7">
        <f>IF(Y369="", "", IF(Y369&lt;=3, "NO PRAZO", "ATRASADO"))</f>
        <v/>
      </c>
      <c r="AA369" s="8" t="inlineStr">
        <is>
          <t>100% - OK</t>
        </is>
      </c>
    </row>
    <row r="370" ht="20" customHeight="1">
      <c r="A370" s="7" t="inlineStr">
        <is>
          <t>RSCLER0368</t>
        </is>
      </c>
      <c r="B370" s="8" t="inlineStr">
        <is>
          <t>CANOAS</t>
        </is>
      </c>
      <c r="C370" s="7" t="inlineStr">
        <is>
          <t>CNTAA</t>
        </is>
      </c>
      <c r="D370" s="7" t="inlineStr">
        <is>
          <t>CNT12A</t>
        </is>
      </c>
      <c r="E370" s="7" t="inlineStr">
        <is>
          <t>RSCAN27</t>
        </is>
      </c>
      <c r="F370" s="8" t="inlineStr">
        <is>
          <t>Porto Lisboa</t>
        </is>
      </c>
      <c r="G370" s="8" t="inlineStr">
        <is>
          <t>Rua Roberto Francisco Behrens 85</t>
        </is>
      </c>
      <c r="H370" s="7" t="inlineStr">
        <is>
          <t>CNTAA.111.M060</t>
        </is>
      </c>
      <c r="I370" s="8" t="inlineStr">
        <is>
          <t>FOI LANÇADO 470 METROS DE CABO DE 12FO, 3 ABERTURA E FECHAMENTO, 1 DERIVAÇÃO, 1 CX NOVA, 3 TESTE, 8 FUSÃO</t>
        </is>
      </c>
      <c r="J370" s="8" t="inlineStr">
        <is>
          <t>TIAGO FERREIRA</t>
        </is>
      </c>
      <c r="K370" s="8" t="inlineStr">
        <is>
          <t>MARCOS EMILIANO</t>
        </is>
      </c>
      <c r="L370" s="9" t="n">
        <v>45505</v>
      </c>
      <c r="M370" s="9" t="n">
        <v>45512</v>
      </c>
      <c r="N370" s="9" t="n">
        <v>45517</v>
      </c>
      <c r="O370" s="9" t="n">
        <v>45517</v>
      </c>
      <c r="P370" s="7" t="inlineStr">
        <is>
          <t>NÃO PRECISA</t>
        </is>
      </c>
      <c r="Q370" s="9" t="n">
        <v>45532</v>
      </c>
      <c r="R370" s="7" t="inlineStr">
        <is>
          <t>Concluído Campo</t>
        </is>
      </c>
      <c r="S370" s="9" t="n">
        <v>45565</v>
      </c>
      <c r="T370" s="10" t="inlineStr"/>
      <c r="U370" s="7" t="inlineStr">
        <is>
          <t>4335690</t>
        </is>
      </c>
      <c r="V370" s="7" t="inlineStr">
        <is>
          <t>FINALIZADO</t>
        </is>
      </c>
      <c r="W370" s="7" t="inlineStr"/>
      <c r="X370" s="7" t="inlineStr">
        <is>
          <t>MEDIÇÃO CONCLUÍDA</t>
        </is>
      </c>
      <c r="Y370" s="11">
        <f>IF(AND(L370&lt;&gt;"", S370&lt;&gt;""), S370-L370, IF(L370&lt;&gt;"", TODAY()-L370, ""))</f>
        <v/>
      </c>
      <c r="Z370" s="7">
        <f>IF(Y370="", "", IF(Y370&lt;=3, "NO PRAZO", "ATRASADO"))</f>
        <v/>
      </c>
      <c r="AA370" s="8" t="inlineStr">
        <is>
          <t>100% - OK</t>
        </is>
      </c>
    </row>
    <row r="371" ht="20" customHeight="1">
      <c r="A371" s="7" t="inlineStr">
        <is>
          <t>RSCLER0369</t>
        </is>
      </c>
      <c r="B371" s="8" t="inlineStr">
        <is>
          <t>PORTO ALEGRE</t>
        </is>
      </c>
      <c r="C371" s="7" t="inlineStr">
        <is>
          <t>SANAA</t>
        </is>
      </c>
      <c r="D371" s="7" t="inlineStr">
        <is>
          <t>SANABB</t>
        </is>
      </c>
      <c r="E371" s="7" t="inlineStr">
        <is>
          <t>RSPCE22</t>
        </is>
      </c>
      <c r="F371" s="8" t="inlineStr">
        <is>
          <t>Cond. Edf. Doris</t>
        </is>
      </c>
      <c r="G371" s="8" t="inlineStr">
        <is>
          <t>R Jeronimo de Ornelas 527</t>
        </is>
      </c>
      <c r="H371" s="7" t="inlineStr">
        <is>
          <t>SANAA.041.M030</t>
        </is>
      </c>
      <c r="I371" s="8" t="inlineStr">
        <is>
          <t>4 ABERTURA E FECHAMENTO, 9 FUSÃO, 3 TESTE</t>
        </is>
      </c>
      <c r="J371" s="8" t="inlineStr"/>
      <c r="K371" s="8" t="inlineStr">
        <is>
          <t>PAULO GOMES</t>
        </is>
      </c>
      <c r="L371" s="9" t="n">
        <v>45505</v>
      </c>
      <c r="M371" s="9" t="n">
        <v>45513</v>
      </c>
      <c r="N371" s="9" t="n">
        <v>45513</v>
      </c>
      <c r="O371" s="9" t="n">
        <v>45513</v>
      </c>
      <c r="P371" s="7" t="inlineStr">
        <is>
          <t>NÃO PRECISA</t>
        </is>
      </c>
      <c r="Q371" s="9" t="n">
        <v>45532</v>
      </c>
      <c r="R371" s="7" t="inlineStr">
        <is>
          <t>Concluído Campo</t>
        </is>
      </c>
      <c r="S371" s="9" t="n">
        <v>45530</v>
      </c>
      <c r="T371" s="10" t="inlineStr"/>
      <c r="U371" s="7" t="inlineStr">
        <is>
          <t>4217680</t>
        </is>
      </c>
      <c r="V371" s="7" t="inlineStr">
        <is>
          <t>FINALIZADO</t>
        </is>
      </c>
      <c r="W371" s="7" t="inlineStr"/>
      <c r="X371" s="7" t="inlineStr">
        <is>
          <t>MEDIÇÃO CONCLUÍDA</t>
        </is>
      </c>
      <c r="Y371" s="11">
        <f>IF(AND(L371&lt;&gt;"", S371&lt;&gt;""), S371-L371, IF(L371&lt;&gt;"", TODAY()-L371, ""))</f>
        <v/>
      </c>
      <c r="Z371" s="7">
        <f>IF(Y371="", "", IF(Y371&lt;=3, "NO PRAZO", "ATRASADO"))</f>
        <v/>
      </c>
      <c r="AA371" s="8" t="inlineStr">
        <is>
          <t>100% - OK</t>
        </is>
      </c>
    </row>
    <row r="372" ht="20" customHeight="1">
      <c r="A372" s="7" t="inlineStr">
        <is>
          <t>RSCLER0370</t>
        </is>
      </c>
      <c r="B372" s="8" t="inlineStr">
        <is>
          <t>PORTO ALEGRE</t>
        </is>
      </c>
      <c r="C372" s="7" t="inlineStr">
        <is>
          <t>MNDAC</t>
        </is>
      </c>
      <c r="D372" s="7" t="inlineStr">
        <is>
          <t>MNDAK</t>
        </is>
      </c>
      <c r="E372" s="7" t="inlineStr">
        <is>
          <t>RSPSU02</t>
        </is>
      </c>
      <c r="F372" s="8" t="inlineStr">
        <is>
          <t>Phoenix Office Tower</t>
        </is>
      </c>
      <c r="G372" s="8" t="inlineStr">
        <is>
          <t>R. José de Alencar, 521</t>
        </is>
      </c>
      <c r="H372" s="7" t="inlineStr">
        <is>
          <t>MNDAC.054.M030</t>
        </is>
      </c>
      <c r="I372" s="8" t="inlineStr">
        <is>
          <t>2 ABERTURA E FECHAMENTO, 4 FUSÃO, 4 TESTE</t>
        </is>
      </c>
      <c r="J372" s="8" t="inlineStr"/>
      <c r="K372" s="8" t="inlineStr">
        <is>
          <t>PAULO GOMES</t>
        </is>
      </c>
      <c r="L372" s="9" t="n">
        <v>45505</v>
      </c>
      <c r="M372" s="9" t="n">
        <v>45511</v>
      </c>
      <c r="N372" s="9" t="n">
        <v>45511</v>
      </c>
      <c r="O372" s="9" t="n">
        <v>45511</v>
      </c>
      <c r="P372" s="7" t="inlineStr">
        <is>
          <t>NÃO PRECISA</t>
        </is>
      </c>
      <c r="Q372" s="9" t="n">
        <v>45532</v>
      </c>
      <c r="R372" s="7" t="inlineStr">
        <is>
          <t>Concluído Campo</t>
        </is>
      </c>
      <c r="S372" s="9" t="n">
        <v>45523</v>
      </c>
      <c r="T372" s="10" t="inlineStr"/>
      <c r="U372" s="7" t="inlineStr">
        <is>
          <t>4217680</t>
        </is>
      </c>
      <c r="V372" s="7" t="inlineStr">
        <is>
          <t>FINALIZADO</t>
        </is>
      </c>
      <c r="W372" s="7" t="inlineStr"/>
      <c r="X372" s="7" t="inlineStr">
        <is>
          <t>MEDIÇÃO CONCLUÍDA</t>
        </is>
      </c>
      <c r="Y372" s="11">
        <f>IF(AND(L372&lt;&gt;"", S372&lt;&gt;""), S372-L372, IF(L372&lt;&gt;"", TODAY()-L372, ""))</f>
        <v/>
      </c>
      <c r="Z372" s="7">
        <f>IF(Y372="", "", IF(Y372&lt;=3, "NO PRAZO", "ATRASADO"))</f>
        <v/>
      </c>
      <c r="AA372" s="8" t="inlineStr">
        <is>
          <t>100% - OK</t>
        </is>
      </c>
    </row>
    <row r="373" ht="20" customHeight="1">
      <c r="A373" s="7" t="inlineStr">
        <is>
          <t>RSCLER0371</t>
        </is>
      </c>
      <c r="B373" s="8" t="inlineStr">
        <is>
          <t>PORTO ALEGRE</t>
        </is>
      </c>
      <c r="C373" s="7" t="inlineStr">
        <is>
          <t>RBTAA</t>
        </is>
      </c>
      <c r="D373" s="7" t="inlineStr">
        <is>
          <t>RBTAN</t>
        </is>
      </c>
      <c r="E373" s="7" t="inlineStr">
        <is>
          <t>PAE ARY</t>
        </is>
      </c>
      <c r="F373" s="8" t="inlineStr">
        <is>
          <t>Condomínio Piazza Felicita</t>
        </is>
      </c>
      <c r="G373" s="8" t="inlineStr">
        <is>
          <t>R. Lindolfo Henke N° 230</t>
        </is>
      </c>
      <c r="H373" s="7" t="inlineStr">
        <is>
          <t>RBTAA.111.M010</t>
        </is>
      </c>
      <c r="I373" s="8" t="inlineStr">
        <is>
          <t>FOI LANÇADO 396 METROS DE CABO DE 12FO, 4 ABERTURA E FECHAMENTO, 2 DERIVAÇÃO, 1 CX NOVA, 15 FUSÃO, 9 TESTE</t>
        </is>
      </c>
      <c r="J373" s="8" t="inlineStr">
        <is>
          <t>UBIRATAN</t>
        </is>
      </c>
      <c r="K373" s="8" t="inlineStr">
        <is>
          <t>MARCOS EMILIANO</t>
        </is>
      </c>
      <c r="L373" s="9" t="n">
        <v>45505</v>
      </c>
      <c r="M373" s="9" t="n">
        <v>45516</v>
      </c>
      <c r="N373" s="9" t="n">
        <v>45525</v>
      </c>
      <c r="O373" s="9" t="n">
        <v>45525</v>
      </c>
      <c r="P373" s="7" t="inlineStr">
        <is>
          <t>NÃO PRECISA</t>
        </is>
      </c>
      <c r="Q373" s="9" t="n">
        <v>45532</v>
      </c>
      <c r="R373" s="7" t="inlineStr">
        <is>
          <t>Concluído Campo</t>
        </is>
      </c>
      <c r="S373" s="9" t="n">
        <v>45523</v>
      </c>
      <c r="T373" s="10" t="inlineStr"/>
      <c r="U373" s="7" t="inlineStr">
        <is>
          <t>4217680</t>
        </is>
      </c>
      <c r="V373" s="7" t="inlineStr">
        <is>
          <t>FINALIZADO</t>
        </is>
      </c>
      <c r="W373" s="7" t="inlineStr"/>
      <c r="X373" s="7" t="inlineStr">
        <is>
          <t>MEDIÇÃO CONCLUÍDA</t>
        </is>
      </c>
      <c r="Y373" s="11">
        <f>IF(AND(L373&lt;&gt;"", S373&lt;&gt;""), S373-L373, IF(L373&lt;&gt;"", TODAY()-L373, ""))</f>
        <v/>
      </c>
      <c r="Z373" s="7">
        <f>IF(Y373="", "", IF(Y373&lt;=3, "NO PRAZO", "ATRASADO"))</f>
        <v/>
      </c>
      <c r="AA373" s="8" t="inlineStr">
        <is>
          <t>100% - OK</t>
        </is>
      </c>
    </row>
    <row r="374" ht="20" customHeight="1">
      <c r="A374" s="7" t="inlineStr">
        <is>
          <t>RSCLER0372</t>
        </is>
      </c>
      <c r="B374" s="8" t="inlineStr">
        <is>
          <t>PORTO ALEGRE</t>
        </is>
      </c>
      <c r="C374" s="7" t="inlineStr">
        <is>
          <t>BFMAA</t>
        </is>
      </c>
      <c r="D374" s="7" t="inlineStr">
        <is>
          <t>BFMADB</t>
        </is>
      </c>
      <c r="E374" s="7" t="inlineStr">
        <is>
          <t>PAE IND</t>
        </is>
      </c>
      <c r="F374" s="8" t="inlineStr">
        <is>
          <t>Edifício Diplomata</t>
        </is>
      </c>
      <c r="G374" s="8" t="inlineStr">
        <is>
          <t>Rua Mostardeiro, 32</t>
        </is>
      </c>
      <c r="H374" s="7" t="inlineStr">
        <is>
          <t>BFMAA.081.M040</t>
        </is>
      </c>
      <c r="I374" s="8" t="inlineStr">
        <is>
          <t>FOI LANÇADO 421 METROS DE CABO DE 12FO, FOI LANÇADO 237 METROS DE CABO DE 12FO, 2 ABERTURA E FECHAMENTO, 6 FUSÃO, 3 DERIVAÇÃO, 1 CX NOVA, 2 TESTE</t>
        </is>
      </c>
      <c r="J374" s="8" t="inlineStr">
        <is>
          <t>GIOVANE / JUNIOR</t>
        </is>
      </c>
      <c r="K374" s="8" t="inlineStr">
        <is>
          <t>MARCOS EMILIANO</t>
        </is>
      </c>
      <c r="L374" s="9" t="n">
        <v>45511</v>
      </c>
      <c r="M374" s="9" t="n">
        <v>45524</v>
      </c>
      <c r="N374" s="9" t="n">
        <v>45546</v>
      </c>
      <c r="O374" s="9" t="n">
        <v>45565</v>
      </c>
      <c r="P374" s="7" t="inlineStr">
        <is>
          <t>NÃO PRECISA</t>
        </is>
      </c>
      <c r="Q374" s="9" t="n">
        <v>45588</v>
      </c>
      <c r="R374" s="7" t="inlineStr">
        <is>
          <t>Concluído Campo</t>
        </is>
      </c>
      <c r="S374" s="9" t="n">
        <v>45525</v>
      </c>
      <c r="T374" s="10" t="inlineStr"/>
      <c r="U374" s="7" t="inlineStr">
        <is>
          <t>4217680</t>
        </is>
      </c>
      <c r="V374" s="7" t="inlineStr">
        <is>
          <t>FINALIZADO</t>
        </is>
      </c>
      <c r="W374" s="7" t="inlineStr"/>
      <c r="X374" s="7" t="inlineStr">
        <is>
          <t>MEDIÇÃO CONCLUÍDA</t>
        </is>
      </c>
      <c r="Y374" s="11">
        <f>IF(AND(L374&lt;&gt;"", S374&lt;&gt;""), S374-L374, IF(L374&lt;&gt;"", TODAY()-L374, ""))</f>
        <v/>
      </c>
      <c r="Z374" s="7">
        <f>IF(Y374="", "", IF(Y374&lt;=3, "NO PRAZO", "ATRASADO"))</f>
        <v/>
      </c>
      <c r="AA374" s="8" t="inlineStr">
        <is>
          <t>100% - OK</t>
        </is>
      </c>
    </row>
    <row r="375" ht="20" customHeight="1">
      <c r="A375" s="7" t="inlineStr">
        <is>
          <t>RSCLER0373</t>
        </is>
      </c>
      <c r="B375" s="8" t="inlineStr">
        <is>
          <t>GRAVATAI</t>
        </is>
      </c>
      <c r="C375" s="7" t="inlineStr">
        <is>
          <t>CNTAA</t>
        </is>
      </c>
      <c r="D375" s="7" t="inlineStr">
        <is>
          <t>CNT10A</t>
        </is>
      </c>
      <c r="E375" s="7" t="inlineStr">
        <is>
          <t>RSGTI08</t>
        </is>
      </c>
      <c r="F375" s="8" t="inlineStr"/>
      <c r="G375" s="8" t="inlineStr">
        <is>
          <t>Av Centenário, 585</t>
        </is>
      </c>
      <c r="H375" s="7" t="inlineStr">
        <is>
          <t>CNTAA.011.M030</t>
        </is>
      </c>
      <c r="I375" s="8" t="inlineStr">
        <is>
          <t>FOI LANÇADO 795 METROS DE CABO DE 12FO, FOI LANÇADO 98 METROS DE CORDOALHA, 6 ABERTURA E FECHAMENTO,21 FUSÃO, 1 CX NOVA , 3 TESTE, 1 DERIVAÇÃO</t>
        </is>
      </c>
      <c r="J375" s="8" t="inlineStr">
        <is>
          <t>GIOVANE</t>
        </is>
      </c>
      <c r="K375" s="8" t="inlineStr">
        <is>
          <t>ANDERSON</t>
        </is>
      </c>
      <c r="L375" s="9" t="n">
        <v>45512</v>
      </c>
      <c r="M375" s="9" t="n">
        <v>45524</v>
      </c>
      <c r="N375" s="9" t="n">
        <v>45525</v>
      </c>
      <c r="O375" s="9" t="n">
        <v>45530</v>
      </c>
      <c r="P375" s="7" t="inlineStr">
        <is>
          <t>NÃO PRECISA</t>
        </is>
      </c>
      <c r="Q375" s="9" t="n">
        <v>45545</v>
      </c>
      <c r="R375" s="7" t="inlineStr">
        <is>
          <t>Concluído Campo</t>
        </is>
      </c>
      <c r="S375" s="9" t="n">
        <v>45519</v>
      </c>
      <c r="T375" s="10" t="inlineStr"/>
      <c r="U375" s="7" t="inlineStr">
        <is>
          <t>4217680</t>
        </is>
      </c>
      <c r="V375" s="7" t="inlineStr">
        <is>
          <t>FINALIZADO</t>
        </is>
      </c>
      <c r="W375" s="7" t="inlineStr"/>
      <c r="X375" s="7" t="inlineStr">
        <is>
          <t>MEDIÇÃO CONCLUÍDA</t>
        </is>
      </c>
      <c r="Y375" s="11">
        <f>IF(AND(L375&lt;&gt;"", S375&lt;&gt;""), S375-L375, IF(L375&lt;&gt;"", TODAY()-L375, ""))</f>
        <v/>
      </c>
      <c r="Z375" s="7">
        <f>IF(Y375="", "", IF(Y375&lt;=3, "NO PRAZO", "ATRASADO"))</f>
        <v/>
      </c>
      <c r="AA375" s="8" t="inlineStr">
        <is>
          <t>100% - OK</t>
        </is>
      </c>
    </row>
    <row r="376" ht="20" customHeight="1">
      <c r="A376" s="7" t="inlineStr">
        <is>
          <t>RSCLER0374</t>
        </is>
      </c>
      <c r="B376" s="8" t="inlineStr">
        <is>
          <t>PORTO ALEGRE</t>
        </is>
      </c>
      <c r="C376" s="7" t="inlineStr">
        <is>
          <t>MNDAC</t>
        </is>
      </c>
      <c r="D376" s="7" t="inlineStr">
        <is>
          <t>MNDAK</t>
        </is>
      </c>
      <c r="E376" s="7" t="inlineStr">
        <is>
          <t>RSPSU02</t>
        </is>
      </c>
      <c r="F376" s="8" t="inlineStr">
        <is>
          <t>Condomínio Edificio Dona Izar</t>
        </is>
      </c>
      <c r="G376" s="8" t="inlineStr">
        <is>
          <t>R. Dona Augusta, 188</t>
        </is>
      </c>
      <c r="H376" s="7" t="inlineStr">
        <is>
          <t>MNDAC.053.M020</t>
        </is>
      </c>
      <c r="I376" s="8" t="inlineStr">
        <is>
          <t>2 ABERTURA E FECHAMENTO, 4 FUSÃO, 2 TESTES.</t>
        </is>
      </c>
      <c r="J376" s="8" t="inlineStr"/>
      <c r="K376" s="8" t="inlineStr">
        <is>
          <t>ANDERSON</t>
        </is>
      </c>
      <c r="L376" s="9" t="n">
        <v>45516</v>
      </c>
      <c r="M376" s="9" t="n">
        <v>45517</v>
      </c>
      <c r="N376" s="9" t="n">
        <v>45523</v>
      </c>
      <c r="O376" s="9" t="n">
        <v>45523</v>
      </c>
      <c r="P376" s="7" t="inlineStr">
        <is>
          <t>NÃO PRECISA</t>
        </is>
      </c>
      <c r="Q376" s="9" t="n">
        <v>45532</v>
      </c>
      <c r="R376" s="7" t="inlineStr">
        <is>
          <t>Concluído Campo</t>
        </is>
      </c>
      <c r="S376" s="9" t="n">
        <v>45519</v>
      </c>
      <c r="T376" s="10" t="inlineStr"/>
      <c r="U376" s="7" t="inlineStr">
        <is>
          <t>4217680</t>
        </is>
      </c>
      <c r="V376" s="7" t="inlineStr">
        <is>
          <t>FINALIZADO</t>
        </is>
      </c>
      <c r="W376" s="7" t="inlineStr"/>
      <c r="X376" s="7" t="inlineStr">
        <is>
          <t>MEDIÇÃO CONCLUÍDA</t>
        </is>
      </c>
      <c r="Y376" s="11">
        <f>IF(AND(L376&lt;&gt;"", S376&lt;&gt;""), S376-L376, IF(L376&lt;&gt;"", TODAY()-L376, ""))</f>
        <v/>
      </c>
      <c r="Z376" s="7">
        <f>IF(Y376="", "", IF(Y376&lt;=3, "NO PRAZO", "ATRASADO"))</f>
        <v/>
      </c>
      <c r="AA376" s="8" t="inlineStr">
        <is>
          <t>100% - OK</t>
        </is>
      </c>
    </row>
    <row r="377" ht="20" customHeight="1">
      <c r="A377" s="7" t="inlineStr">
        <is>
          <t>RSCLER0375</t>
        </is>
      </c>
      <c r="B377" s="8" t="inlineStr">
        <is>
          <t>PORTO ALEGRE</t>
        </is>
      </c>
      <c r="C377" s="7" t="inlineStr">
        <is>
          <t>HMTAA</t>
        </is>
      </c>
      <c r="D377" s="7" t="inlineStr">
        <is>
          <t>HMTAG</t>
        </is>
      </c>
      <c r="E377" s="7" t="inlineStr">
        <is>
          <t>RSPNO02</t>
        </is>
      </c>
      <c r="F377" s="8" t="inlineStr">
        <is>
          <t>Condomínio Edifício Ventimiglia</t>
        </is>
      </c>
      <c r="G377" s="8" t="inlineStr">
        <is>
          <t>R. Prof. João de Souza Ribeiro, 711</t>
        </is>
      </c>
      <c r="H377" s="7" t="inlineStr">
        <is>
          <t>HMTAA.107.M010</t>
        </is>
      </c>
      <c r="I377" s="8" t="inlineStr">
        <is>
          <t>2 ABERTURA E FECHAMENTO, 5 FUSÃO, 1 SPLITTER, 4 TESTE</t>
        </is>
      </c>
      <c r="J377" s="8" t="inlineStr"/>
      <c r="K377" s="8" t="inlineStr">
        <is>
          <t>ANDERSON</t>
        </is>
      </c>
      <c r="L377" s="9" t="n">
        <v>45516</v>
      </c>
      <c r="M377" s="9" t="n">
        <v>45523</v>
      </c>
      <c r="N377" s="9" t="n">
        <v>45523</v>
      </c>
      <c r="O377" s="9" t="n">
        <v>45523</v>
      </c>
      <c r="P377" s="7" t="inlineStr">
        <is>
          <t>NÃO PRECISA</t>
        </is>
      </c>
      <c r="Q377" s="9" t="n">
        <v>45532</v>
      </c>
      <c r="R377" s="7" t="inlineStr">
        <is>
          <t>Concluído Campo</t>
        </is>
      </c>
      <c r="S377" s="9" t="n">
        <v>45516</v>
      </c>
      <c r="T377" s="10" t="inlineStr"/>
      <c r="U377" s="7" t="inlineStr">
        <is>
          <t>4217680</t>
        </is>
      </c>
      <c r="V377" s="7" t="inlineStr">
        <is>
          <t>FINALIZADO</t>
        </is>
      </c>
      <c r="W377" s="7" t="inlineStr"/>
      <c r="X377" s="7" t="inlineStr">
        <is>
          <t>MEDIÇÃO CONCLUÍDA</t>
        </is>
      </c>
      <c r="Y377" s="11">
        <f>IF(AND(L377&lt;&gt;"", S377&lt;&gt;""), S377-L377, IF(L377&lt;&gt;"", TODAY()-L377, ""))</f>
        <v/>
      </c>
      <c r="Z377" s="7">
        <f>IF(Y377="", "", IF(Y377&lt;=3, "NO PRAZO", "ATRASADO"))</f>
        <v/>
      </c>
      <c r="AA377" s="8" t="inlineStr">
        <is>
          <t>100% - OK</t>
        </is>
      </c>
    </row>
    <row r="378" ht="20" customHeight="1">
      <c r="A378" s="7" t="inlineStr">
        <is>
          <t>RSCLER0376</t>
        </is>
      </c>
      <c r="B378" s="8" t="inlineStr">
        <is>
          <t>PORTO ALEGRE</t>
        </is>
      </c>
      <c r="C378" s="7" t="inlineStr">
        <is>
          <t>RBRAA</t>
        </is>
      </c>
      <c r="D378" s="7" t="inlineStr">
        <is>
          <t>RBRAA</t>
        </is>
      </c>
      <c r="E378" s="7" t="inlineStr">
        <is>
          <t>RSPLE08</t>
        </is>
      </c>
      <c r="F378" s="8" t="inlineStr">
        <is>
          <t>Condomínio Edifício Maria Cristina II</t>
        </is>
      </c>
      <c r="G378" s="8" t="inlineStr">
        <is>
          <t>Av. Cel. Lucas de Oliveira, 2437</t>
        </is>
      </c>
      <c r="H378" s="7" t="inlineStr">
        <is>
          <t>RBRAA.093.M030</t>
        </is>
      </c>
      <c r="I378" s="8" t="inlineStr">
        <is>
          <t>2 ABERTURA E FECHAMENTO, 4 FUSÃO, 2 TESTE</t>
        </is>
      </c>
      <c r="J378" s="8" t="inlineStr"/>
      <c r="K378" s="8" t="inlineStr">
        <is>
          <t>MARCOS EMILIANO</t>
        </is>
      </c>
      <c r="L378" s="9" t="n">
        <v>45516</v>
      </c>
      <c r="M378" s="9" t="n">
        <v>45524</v>
      </c>
      <c r="N378" s="9" t="n">
        <v>45525</v>
      </c>
      <c r="O378" s="9" t="n">
        <v>45525</v>
      </c>
      <c r="P378" s="7" t="inlineStr">
        <is>
          <t>NÃO PRECISA</t>
        </is>
      </c>
      <c r="Q378" s="9" t="n">
        <v>45532</v>
      </c>
      <c r="R378" s="7" t="inlineStr">
        <is>
          <t>Concluído Campo</t>
        </is>
      </c>
      <c r="S378" s="9" t="n">
        <v>45520</v>
      </c>
      <c r="T378" s="10" t="inlineStr"/>
      <c r="U378" s="7" t="inlineStr">
        <is>
          <t>4217680</t>
        </is>
      </c>
      <c r="V378" s="7" t="inlineStr">
        <is>
          <t>FINALIZADO</t>
        </is>
      </c>
      <c r="W378" s="7" t="inlineStr"/>
      <c r="X378" s="7" t="inlineStr">
        <is>
          <t>MEDIÇÃO CONCLUÍDA</t>
        </is>
      </c>
      <c r="Y378" s="11">
        <f>IF(AND(L378&lt;&gt;"", S378&lt;&gt;""), S378-L378, IF(L378&lt;&gt;"", TODAY()-L378, ""))</f>
        <v/>
      </c>
      <c r="Z378" s="7">
        <f>IF(Y378="", "", IF(Y378&lt;=3, "NO PRAZO", "ATRASADO"))</f>
        <v/>
      </c>
      <c r="AA378" s="8" t="inlineStr">
        <is>
          <t>100% - OK</t>
        </is>
      </c>
    </row>
    <row r="379" ht="20" customHeight="1">
      <c r="A379" s="7" t="inlineStr">
        <is>
          <t>RSCLER0377</t>
        </is>
      </c>
      <c r="B379" s="8" t="inlineStr">
        <is>
          <t>PORTO ALEGRE</t>
        </is>
      </c>
      <c r="C379" s="7" t="inlineStr">
        <is>
          <t>BFMAA</t>
        </is>
      </c>
      <c r="D379" s="7" t="inlineStr">
        <is>
          <t>RBRAR</t>
        </is>
      </c>
      <c r="E379" s="7" t="inlineStr">
        <is>
          <t>PAE IND</t>
        </is>
      </c>
      <c r="F379" s="8" t="inlineStr">
        <is>
          <t>Cond. Montecarlo</t>
        </is>
      </c>
      <c r="G379" s="8" t="inlineStr">
        <is>
          <t>R. Quintino Bocaiúva, 1320</t>
        </is>
      </c>
      <c r="H379" s="7" t="inlineStr">
        <is>
          <t>BFMAA.013.M070</t>
        </is>
      </c>
      <c r="I379" s="8" t="inlineStr">
        <is>
          <t>FOI LANÇADO 199 METROS DE CABO DE 12FO, 2 ABERTURA E FECHAMENTO, 4 FUSÃO, 1 CX NOVA, 1 DERIVAÇÃO, 2 TESTE</t>
        </is>
      </c>
      <c r="J379" s="8" t="inlineStr">
        <is>
          <t>UBIRATAN</t>
        </is>
      </c>
      <c r="K379" s="8" t="inlineStr">
        <is>
          <t>MARCOS EMILIANO</t>
        </is>
      </c>
      <c r="L379" s="9" t="n">
        <v>45516</v>
      </c>
      <c r="M379" s="9" t="n">
        <v>45519</v>
      </c>
      <c r="N379" s="9" t="n">
        <v>45519</v>
      </c>
      <c r="O379" s="9" t="n">
        <v>45519</v>
      </c>
      <c r="P379" s="7" t="inlineStr">
        <is>
          <t>NÃO PRECISA</t>
        </is>
      </c>
      <c r="Q379" s="9" t="n">
        <v>45532</v>
      </c>
      <c r="R379" s="7" t="inlineStr">
        <is>
          <t>Concluído Campo</t>
        </is>
      </c>
      <c r="S379" s="9" t="n">
        <v>45520</v>
      </c>
      <c r="T379" s="10" t="inlineStr"/>
      <c r="U379" s="7" t="inlineStr">
        <is>
          <t>4217680</t>
        </is>
      </c>
      <c r="V379" s="7" t="inlineStr">
        <is>
          <t>FINALIZADO</t>
        </is>
      </c>
      <c r="W379" s="7" t="inlineStr"/>
      <c r="X379" s="7" t="inlineStr">
        <is>
          <t>MEDIÇÃO CONCLUÍDA</t>
        </is>
      </c>
      <c r="Y379" s="11">
        <f>IF(AND(L379&lt;&gt;"", S379&lt;&gt;""), S379-L379, IF(L379&lt;&gt;"", TODAY()-L379, ""))</f>
        <v/>
      </c>
      <c r="Z379" s="7">
        <f>IF(Y379="", "", IF(Y379&lt;=3, "NO PRAZO", "ATRASADO"))</f>
        <v/>
      </c>
      <c r="AA379" s="8" t="inlineStr">
        <is>
          <t>100% - OK</t>
        </is>
      </c>
    </row>
    <row r="380" ht="20" customHeight="1">
      <c r="A380" s="7" t="inlineStr">
        <is>
          <t>RSCLER0378</t>
        </is>
      </c>
      <c r="B380" s="8" t="inlineStr">
        <is>
          <t>PORTO ALEGRE</t>
        </is>
      </c>
      <c r="C380" s="7" t="inlineStr">
        <is>
          <t>RBRAA</t>
        </is>
      </c>
      <c r="D380" s="7" t="inlineStr">
        <is>
          <t>RBRAB</t>
        </is>
      </c>
      <c r="E380" s="7" t="inlineStr">
        <is>
          <t>RSPLE08</t>
        </is>
      </c>
      <c r="F380" s="8" t="inlineStr">
        <is>
          <t>Cond. Two</t>
        </is>
      </c>
      <c r="G380" s="8" t="inlineStr">
        <is>
          <t>R. Felipe de Oliveira, 390</t>
        </is>
      </c>
      <c r="H380" s="7" t="inlineStr">
        <is>
          <t>RBRAA.075.M020</t>
        </is>
      </c>
      <c r="I380" s="8" t="inlineStr">
        <is>
          <t>3 ABERTURA E FECHAMENTO, 4 FUSÃO, 2 TESTE</t>
        </is>
      </c>
      <c r="J380" s="8" t="inlineStr"/>
      <c r="K380" s="8" t="inlineStr">
        <is>
          <t>MARCOS EMILIANO</t>
        </is>
      </c>
      <c r="L380" s="9" t="n">
        <v>45516</v>
      </c>
      <c r="M380" s="9" t="n">
        <v>45519</v>
      </c>
      <c r="N380" s="9" t="n">
        <v>45519</v>
      </c>
      <c r="O380" s="9" t="n">
        <v>45519</v>
      </c>
      <c r="P380" s="7" t="inlineStr">
        <is>
          <t>NÃO PRECISA</t>
        </is>
      </c>
      <c r="Q380" s="9" t="n">
        <v>45532</v>
      </c>
      <c r="R380" s="7" t="inlineStr">
        <is>
          <t>Concluído Campo</t>
        </is>
      </c>
      <c r="S380" s="9" t="n">
        <v>45523</v>
      </c>
      <c r="T380" s="10" t="inlineStr"/>
      <c r="U380" s="7" t="inlineStr">
        <is>
          <t>4217680</t>
        </is>
      </c>
      <c r="V380" s="7" t="inlineStr">
        <is>
          <t>FINALIZADO</t>
        </is>
      </c>
      <c r="W380" s="7" t="inlineStr"/>
      <c r="X380" s="7" t="inlineStr">
        <is>
          <t>MEDIÇÃO CONCLUÍDA</t>
        </is>
      </c>
      <c r="Y380" s="11">
        <f>IF(AND(L380&lt;&gt;"", S380&lt;&gt;""), S380-L380, IF(L380&lt;&gt;"", TODAY()-L380, ""))</f>
        <v/>
      </c>
      <c r="Z380" s="7">
        <f>IF(Y380="", "", IF(Y380&lt;=3, "NO PRAZO", "ATRASADO"))</f>
        <v/>
      </c>
      <c r="AA380" s="8" t="inlineStr">
        <is>
          <t>100% - OK</t>
        </is>
      </c>
    </row>
    <row r="381" ht="20" customHeight="1">
      <c r="A381" s="7" t="inlineStr">
        <is>
          <t>RSCLER0379</t>
        </is>
      </c>
      <c r="B381" s="8" t="inlineStr">
        <is>
          <t>PORTO ALEGRE</t>
        </is>
      </c>
      <c r="C381" s="7" t="inlineStr">
        <is>
          <t>SANAB</t>
        </is>
      </c>
      <c r="D381" s="7" t="inlineStr">
        <is>
          <t>PRTAB</t>
        </is>
      </c>
      <c r="E381" s="7" t="inlineStr">
        <is>
          <t>RSPCE27</t>
        </is>
      </c>
      <c r="F381" s="8" t="inlineStr"/>
      <c r="G381" s="8" t="inlineStr">
        <is>
          <t>R. Gomes Jardim, 1188</t>
        </is>
      </c>
      <c r="H381" s="7" t="inlineStr">
        <is>
          <t>SANAB.013.M040</t>
        </is>
      </c>
      <c r="I381" s="8" t="inlineStr">
        <is>
          <t>FOI LANÇADO 216 METROS DE CABO DE 12FO, 5 ABERTURA E FECHAMENTO, 1 DERIVAÇÃO, 1 CX NOVA, 4 FUSÃO, 3 TESTE</t>
        </is>
      </c>
      <c r="J381" s="8" t="inlineStr">
        <is>
          <t>THIAGO LAMBRETA</t>
        </is>
      </c>
      <c r="K381" s="8" t="inlineStr">
        <is>
          <t>MARCOS EMILIANO</t>
        </is>
      </c>
      <c r="L381" s="9" t="n">
        <v>45514</v>
      </c>
      <c r="M381" s="9" t="n">
        <v>45516</v>
      </c>
      <c r="N381" s="9" t="n">
        <v>45516</v>
      </c>
      <c r="O381" s="9" t="n">
        <v>45516</v>
      </c>
      <c r="P381" s="7" t="inlineStr">
        <is>
          <t>NÃO PRECISA</t>
        </is>
      </c>
      <c r="Q381" s="9" t="n">
        <v>45532</v>
      </c>
      <c r="R381" s="7" t="inlineStr">
        <is>
          <t>Concluído Campo</t>
        </is>
      </c>
      <c r="S381" s="9" t="n">
        <v>45529</v>
      </c>
      <c r="T381" s="10" t="inlineStr"/>
      <c r="U381" s="7" t="inlineStr">
        <is>
          <t>4217680</t>
        </is>
      </c>
      <c r="V381" s="7" t="inlineStr">
        <is>
          <t>FINALIZADO</t>
        </is>
      </c>
      <c r="W381" s="7" t="inlineStr"/>
      <c r="X381" s="7" t="inlineStr">
        <is>
          <t>MEDIÇÃO CONCLUÍDA</t>
        </is>
      </c>
      <c r="Y381" s="11">
        <f>IF(AND(L381&lt;&gt;"", S381&lt;&gt;""), S381-L381, IF(L381&lt;&gt;"", TODAY()-L381, ""))</f>
        <v/>
      </c>
      <c r="Z381" s="7">
        <f>IF(Y381="", "", IF(Y381&lt;=3, "NO PRAZO", "ATRASADO"))</f>
        <v/>
      </c>
      <c r="AA381" s="8" t="inlineStr">
        <is>
          <t>100% - OK</t>
        </is>
      </c>
    </row>
    <row r="382" ht="20" customHeight="1">
      <c r="A382" s="7" t="inlineStr">
        <is>
          <t>RSCLER0380</t>
        </is>
      </c>
      <c r="B382" s="8" t="inlineStr">
        <is>
          <t>PORTO ALEGRE</t>
        </is>
      </c>
      <c r="C382" s="7" t="inlineStr">
        <is>
          <t>BVSAB</t>
        </is>
      </c>
      <c r="D382" s="7" t="inlineStr">
        <is>
          <t>PETAAA</t>
        </is>
      </c>
      <c r="E382" s="7" t="inlineStr">
        <is>
          <t>PAENR</t>
        </is>
      </c>
      <c r="F382" s="8" t="inlineStr">
        <is>
          <t>Condomínio Edifício Toulouse</t>
        </is>
      </c>
      <c r="G382" s="8" t="inlineStr">
        <is>
          <t>R. Prof. Langendonck, 47</t>
        </is>
      </c>
      <c r="H382" s="7" t="inlineStr">
        <is>
          <t>BVSAB.111M090</t>
        </is>
      </c>
      <c r="I382" s="8" t="inlineStr">
        <is>
          <t>FOI LANÇADO 768 METROS DE CABO DE 12FO, 4 ABERTURA E FECHAMENTO,1 CX NOVA, 2 TESTE, 1 DERIVAÇÃO, 7 FUSÃO</t>
        </is>
      </c>
      <c r="J382" s="8" t="inlineStr">
        <is>
          <t>UBIRATAN</t>
        </is>
      </c>
      <c r="K382" s="8" t="inlineStr">
        <is>
          <t>ANDERSON</t>
        </is>
      </c>
      <c r="L382" s="9" t="n">
        <v>45518</v>
      </c>
      <c r="M382" s="9" t="n">
        <v>45519</v>
      </c>
      <c r="N382" s="9" t="n">
        <v>45520</v>
      </c>
      <c r="O382" s="9" t="n">
        <v>45520</v>
      </c>
      <c r="P382" s="7" t="inlineStr">
        <is>
          <t>NÃO PRECISA</t>
        </is>
      </c>
      <c r="Q382" s="9" t="n">
        <v>45532</v>
      </c>
      <c r="R382" s="7" t="inlineStr">
        <is>
          <t>Concluído Campo</t>
        </is>
      </c>
      <c r="S382" s="9" t="n">
        <v>45532</v>
      </c>
      <c r="T382" s="10" t="inlineStr"/>
      <c r="U382" s="7" t="inlineStr">
        <is>
          <t>4272170</t>
        </is>
      </c>
      <c r="V382" s="7" t="inlineStr">
        <is>
          <t>FINALIZADO</t>
        </is>
      </c>
      <c r="W382" s="7" t="inlineStr"/>
      <c r="X382" s="7" t="inlineStr">
        <is>
          <t>MEDIÇÃO CONCLUÍDA</t>
        </is>
      </c>
      <c r="Y382" s="11">
        <f>IF(AND(L382&lt;&gt;"", S382&lt;&gt;""), S382-L382, IF(L382&lt;&gt;"", TODAY()-L382, ""))</f>
        <v/>
      </c>
      <c r="Z382" s="7">
        <f>IF(Y382="", "", IF(Y382&lt;=3, "NO PRAZO", "ATRASADO"))</f>
        <v/>
      </c>
      <c r="AA382" s="8" t="inlineStr">
        <is>
          <t>100% - OK</t>
        </is>
      </c>
    </row>
    <row r="383" ht="20" customHeight="1">
      <c r="A383" s="7" t="inlineStr">
        <is>
          <t>RSCLER0381</t>
        </is>
      </c>
      <c r="B383" s="8" t="inlineStr">
        <is>
          <t>PORTO ALEGRE</t>
        </is>
      </c>
      <c r="C383" s="7" t="inlineStr">
        <is>
          <t>MNDAC</t>
        </is>
      </c>
      <c r="D383" s="7" t="inlineStr">
        <is>
          <t>MNDAK</t>
        </is>
      </c>
      <c r="E383" s="7" t="inlineStr">
        <is>
          <t>RSPSU02</t>
        </is>
      </c>
      <c r="F383" s="8" t="inlineStr">
        <is>
          <t>Condomínio Edificio Residencial Torre de Vincennes</t>
        </is>
      </c>
      <c r="G383" s="8" t="inlineStr">
        <is>
          <t>R. Ribeiro Cancela, 55</t>
        </is>
      </c>
      <c r="H383" s="7" t="inlineStr">
        <is>
          <t>MNDAC.054.M070</t>
        </is>
      </c>
      <c r="I383" s="8" t="inlineStr">
        <is>
          <t>FOI LANÇADO 362 METROS DE CABO DE 12FO, 8 ABERTURA E FECHAMENTO, 10 FUSÃO, 2 DERIVAÇÃO, 1 CX NOVA, 2 TESTE</t>
        </is>
      </c>
      <c r="J383" s="8" t="inlineStr">
        <is>
          <t>VICTOR</t>
        </is>
      </c>
      <c r="K383" s="8" t="inlineStr">
        <is>
          <t>ANDERSON</t>
        </is>
      </c>
      <c r="L383" s="9" t="n">
        <v>45518</v>
      </c>
      <c r="M383" s="9" t="n">
        <v>45519</v>
      </c>
      <c r="N383" s="9" t="n">
        <v>45520</v>
      </c>
      <c r="O383" s="9" t="n">
        <v>45520</v>
      </c>
      <c r="P383" s="7" t="inlineStr">
        <is>
          <t>NÃO PRECISA</t>
        </is>
      </c>
      <c r="Q383" s="9" t="n">
        <v>45532</v>
      </c>
      <c r="R383" s="7" t="inlineStr">
        <is>
          <t>Concluído Campo</t>
        </is>
      </c>
      <c r="S383" s="9" t="n">
        <v>45525</v>
      </c>
      <c r="T383" s="10" t="inlineStr"/>
      <c r="U383" s="7" t="inlineStr">
        <is>
          <t>4217680</t>
        </is>
      </c>
      <c r="V383" s="7" t="inlineStr">
        <is>
          <t>FINALIZADO</t>
        </is>
      </c>
      <c r="W383" s="7" t="inlineStr"/>
      <c r="X383" s="7" t="inlineStr">
        <is>
          <t>MEDIÇÃO CONCLUÍDA</t>
        </is>
      </c>
      <c r="Y383" s="11">
        <f>IF(AND(L383&lt;&gt;"", S383&lt;&gt;""), S383-L383, IF(L383&lt;&gt;"", TODAY()-L383, ""))</f>
        <v/>
      </c>
      <c r="Z383" s="7">
        <f>IF(Y383="", "", IF(Y383&lt;=3, "NO PRAZO", "ATRASADO"))</f>
        <v/>
      </c>
      <c r="AA383" s="8" t="inlineStr">
        <is>
          <t>100% - OK</t>
        </is>
      </c>
    </row>
    <row r="384" ht="20" customHeight="1">
      <c r="A384" s="7" t="inlineStr">
        <is>
          <t>RSCLER0382</t>
        </is>
      </c>
      <c r="B384" s="8" t="inlineStr">
        <is>
          <t>PORTO ALEGRE</t>
        </is>
      </c>
      <c r="C384" s="7" t="inlineStr">
        <is>
          <t>PETAA</t>
        </is>
      </c>
      <c r="D384" s="7" t="inlineStr">
        <is>
          <t>PETAO</t>
        </is>
      </c>
      <c r="E384" s="7" t="inlineStr">
        <is>
          <t>RSPLE11</t>
        </is>
      </c>
      <c r="F384" s="8" t="inlineStr">
        <is>
          <t>VÉRTICE</t>
        </is>
      </c>
      <c r="G384" s="8" t="inlineStr">
        <is>
          <t>Av Ijuí, 259</t>
        </is>
      </c>
      <c r="H384" s="7" t="inlineStr">
        <is>
          <t>PETAA.132.M050</t>
        </is>
      </c>
      <c r="I384" s="8" t="inlineStr">
        <is>
          <t>FOI LANÇADO 280 METROS DE CABO DE 12FO, 3 ABERTURA E FECHAMENTO, 4 FUSÃO, 2 DERIVAÇÃO, 1 CX NOVA, 1 TESTE</t>
        </is>
      </c>
      <c r="J384" s="8" t="inlineStr">
        <is>
          <t>TIAGO FERREIRA</t>
        </is>
      </c>
      <c r="K384" s="8" t="inlineStr">
        <is>
          <t>ANDERSON</t>
        </is>
      </c>
      <c r="L384" s="9" t="n">
        <v>45520</v>
      </c>
      <c r="M384" s="9" t="n">
        <v>45523</v>
      </c>
      <c r="N384" s="9" t="n">
        <v>45523</v>
      </c>
      <c r="O384" s="9" t="n">
        <v>45523</v>
      </c>
      <c r="P384" s="7" t="inlineStr">
        <is>
          <t>NÃO PRECISA</t>
        </is>
      </c>
      <c r="Q384" s="9" t="n">
        <v>45532</v>
      </c>
      <c r="R384" s="7" t="inlineStr">
        <is>
          <t>Concluído Campo</t>
        </is>
      </c>
      <c r="S384" s="9" t="n">
        <v>45525</v>
      </c>
      <c r="T384" s="10" t="inlineStr"/>
      <c r="U384" s="7" t="inlineStr">
        <is>
          <t>4217680</t>
        </is>
      </c>
      <c r="V384" s="7" t="inlineStr">
        <is>
          <t>FINALIZADO</t>
        </is>
      </c>
      <c r="W384" s="7" t="inlineStr"/>
      <c r="X384" s="7" t="inlineStr">
        <is>
          <t>MEDIÇÃO CONCLUÍDA</t>
        </is>
      </c>
      <c r="Y384" s="11">
        <f>IF(AND(L384&lt;&gt;"", S384&lt;&gt;""), S384-L384, IF(L384&lt;&gt;"", TODAY()-L384, ""))</f>
        <v/>
      </c>
      <c r="Z384" s="7">
        <f>IF(Y384="", "", IF(Y384&lt;=3, "NO PRAZO", "ATRASADO"))</f>
        <v/>
      </c>
      <c r="AA384" s="8" t="inlineStr">
        <is>
          <t>100% - OK</t>
        </is>
      </c>
    </row>
    <row r="385" ht="20" customHeight="1">
      <c r="A385" s="7" t="inlineStr">
        <is>
          <t>RSCLER0383</t>
        </is>
      </c>
      <c r="B385" s="8" t="inlineStr">
        <is>
          <t>GRAVATAI</t>
        </is>
      </c>
      <c r="C385" s="7" t="inlineStr">
        <is>
          <t>CNTAA</t>
        </is>
      </c>
      <c r="D385" s="7" t="inlineStr">
        <is>
          <t>CNT10A</t>
        </is>
      </c>
      <c r="E385" s="7" t="inlineStr">
        <is>
          <t>RSGTI08</t>
        </is>
      </c>
      <c r="F385" s="8" t="inlineStr">
        <is>
          <t>Condomínio Solar da Figueira Gravataí</t>
        </is>
      </c>
      <c r="G385" s="8" t="inlineStr">
        <is>
          <t>Rua Ferdinando Costa, 80</t>
        </is>
      </c>
      <c r="H385" s="7" t="inlineStr">
        <is>
          <t>CNTAA.011.M040</t>
        </is>
      </c>
      <c r="I385" s="8" t="inlineStr">
        <is>
          <t>FOI LANÇADO 1475 METROS DE CABO DE 36FO, FOI REPUXADO 220 METROS DE CABO DE 12FO, 1 CX NOVA, 5 DERIVAÇÃO, 2 TESTE, 10FUSÃO, 4 ABERTURA E FECHAMENTO</t>
        </is>
      </c>
      <c r="J385" s="8" t="inlineStr">
        <is>
          <t>GIOVANE</t>
        </is>
      </c>
      <c r="K385" s="8" t="inlineStr">
        <is>
          <t>FABIO AMARILIO / ANDERSON</t>
        </is>
      </c>
      <c r="L385" s="9" t="n">
        <v>45523</v>
      </c>
      <c r="M385" s="9" t="n">
        <v>45524</v>
      </c>
      <c r="N385" s="9" t="n">
        <v>45526</v>
      </c>
      <c r="O385" s="9" t="n">
        <v>45529</v>
      </c>
      <c r="P385" s="7" t="inlineStr">
        <is>
          <t>NÃO PRECISA</t>
        </is>
      </c>
      <c r="Q385" s="9" t="n">
        <v>45545</v>
      </c>
      <c r="R385" s="7" t="inlineStr">
        <is>
          <t>Concluído Campo</t>
        </is>
      </c>
      <c r="S385" s="9" t="n">
        <v>45537</v>
      </c>
      <c r="T385" s="10" t="inlineStr"/>
      <c r="U385" s="7" t="inlineStr">
        <is>
          <t>4272170</t>
        </is>
      </c>
      <c r="V385" s="7" t="inlineStr">
        <is>
          <t>FINALIZADO</t>
        </is>
      </c>
      <c r="W385" s="7" t="inlineStr"/>
      <c r="X385" s="7" t="inlineStr">
        <is>
          <t>MEDIÇÃO CONCLUÍDA</t>
        </is>
      </c>
      <c r="Y385" s="11">
        <f>IF(AND(L385&lt;&gt;"", S385&lt;&gt;""), S385-L385, IF(L385&lt;&gt;"", TODAY()-L385, ""))</f>
        <v/>
      </c>
      <c r="Z385" s="7">
        <f>IF(Y385="", "", IF(Y385&lt;=3, "NO PRAZO", "ATRASADO"))</f>
        <v/>
      </c>
      <c r="AA385" s="8" t="inlineStr">
        <is>
          <t>100% - OK</t>
        </is>
      </c>
    </row>
    <row r="386" ht="20" customHeight="1">
      <c r="A386" s="7" t="inlineStr">
        <is>
          <t>RSCLER0384</t>
        </is>
      </c>
      <c r="B386" s="8" t="inlineStr">
        <is>
          <t>PORTO ALEGRE</t>
        </is>
      </c>
      <c r="C386" s="7" t="inlineStr">
        <is>
          <t>BVSAB</t>
        </is>
      </c>
      <c r="D386" s="7" t="inlineStr">
        <is>
          <t>BVSALA</t>
        </is>
      </c>
      <c r="E386" s="7" t="inlineStr">
        <is>
          <t>PAE NR</t>
        </is>
      </c>
      <c r="F386" s="8" t="inlineStr">
        <is>
          <t>VERTE SOLEDADE</t>
        </is>
      </c>
      <c r="G386" s="8" t="inlineStr">
        <is>
          <t>AV SOLEDADE 440</t>
        </is>
      </c>
      <c r="H386" s="7" t="inlineStr">
        <is>
          <t>BVSAB.222.M100</t>
        </is>
      </c>
      <c r="I386" s="8" t="inlineStr">
        <is>
          <t>FOI LANÇADO 576 METROS DE CABO DE 12FO, 5 ABERTURA E FECHAMENTO, 15 FUSÃO, 1 DERIVAÇÃO, 1 CX NOVA, 3 TESTE</t>
        </is>
      </c>
      <c r="J386" s="8" t="inlineStr">
        <is>
          <t>UBIRATAN</t>
        </is>
      </c>
      <c r="K386" s="8" t="inlineStr">
        <is>
          <t>MARCOS EMILIANO / ANDERSON</t>
        </is>
      </c>
      <c r="L386" s="9" t="n">
        <v>45524</v>
      </c>
      <c r="M386" s="9" t="n">
        <v>45528</v>
      </c>
      <c r="N386" s="9" t="n">
        <v>45532</v>
      </c>
      <c r="O386" s="9" t="n">
        <v>45532</v>
      </c>
      <c r="P386" s="7" t="inlineStr">
        <is>
          <t>NÃO PRECISA</t>
        </is>
      </c>
      <c r="Q386" s="9" t="n">
        <v>45545</v>
      </c>
      <c r="R386" s="7" t="inlineStr">
        <is>
          <t>Concluído Campo</t>
        </is>
      </c>
      <c r="S386" s="9" t="n">
        <v>45546</v>
      </c>
      <c r="T386" s="10" t="inlineStr"/>
      <c r="U386" s="7" t="inlineStr">
        <is>
          <t>4272183</t>
        </is>
      </c>
      <c r="V386" s="7" t="inlineStr">
        <is>
          <t>FINALIZADO</t>
        </is>
      </c>
      <c r="W386" s="7" t="inlineStr"/>
      <c r="X386" s="7" t="inlineStr">
        <is>
          <t>MEDIÇÃO CONCLUÍDA</t>
        </is>
      </c>
      <c r="Y386" s="11">
        <f>IF(AND(L386&lt;&gt;"", S386&lt;&gt;""), S386-L386, IF(L386&lt;&gt;"", TODAY()-L386, ""))</f>
        <v/>
      </c>
      <c r="Z386" s="7">
        <f>IF(Y386="", "", IF(Y386&lt;=3, "NO PRAZO", "ATRASADO"))</f>
        <v/>
      </c>
      <c r="AA386" s="8" t="inlineStr">
        <is>
          <t>100% - OK</t>
        </is>
      </c>
    </row>
    <row r="387" ht="20" customHeight="1">
      <c r="A387" s="7" t="inlineStr">
        <is>
          <t>RSCLER0385</t>
        </is>
      </c>
      <c r="B387" s="8" t="inlineStr">
        <is>
          <t>PORTO ALEGRE</t>
        </is>
      </c>
      <c r="C387" s="7" t="inlineStr">
        <is>
          <t>TRZAA</t>
        </is>
      </c>
      <c r="D387" s="7" t="inlineStr">
        <is>
          <t>TRZABB</t>
        </is>
      </c>
      <c r="E387" s="7" t="inlineStr">
        <is>
          <t>RSPSU11</t>
        </is>
      </c>
      <c r="F387" s="8" t="inlineStr">
        <is>
          <t>Varanda Zona Sul</t>
        </is>
      </c>
      <c r="G387" s="8" t="inlineStr">
        <is>
          <t>R. Nossa Sra. de Lourdes, 230</t>
        </is>
      </c>
      <c r="H387" s="7" t="inlineStr">
        <is>
          <t>TRZAA.061.M020</t>
        </is>
      </c>
      <c r="I387" s="8" t="inlineStr">
        <is>
          <t>2 ABERTURA E FECHAMENTO, 2 FUSÃO, 1 TESTE</t>
        </is>
      </c>
      <c r="J387" s="8" t="inlineStr"/>
      <c r="K387" s="8" t="inlineStr">
        <is>
          <t>ANDERSON</t>
        </is>
      </c>
      <c r="L387" s="9" t="n">
        <v>45524</v>
      </c>
      <c r="M387" s="9" t="n">
        <v>45525</v>
      </c>
      <c r="N387" s="9" t="n">
        <v>45525</v>
      </c>
      <c r="O387" s="9" t="n">
        <v>45525</v>
      </c>
      <c r="P387" s="7" t="inlineStr">
        <is>
          <t>NÃO PRECISA</t>
        </is>
      </c>
      <c r="Q387" s="9" t="n">
        <v>45545</v>
      </c>
      <c r="R387" s="7" t="inlineStr">
        <is>
          <t>Concluído Campo</t>
        </is>
      </c>
      <c r="S387" s="9" t="n">
        <v>45532</v>
      </c>
      <c r="T387" s="10" t="inlineStr"/>
      <c r="U387" s="7" t="inlineStr">
        <is>
          <t>4272170</t>
        </is>
      </c>
      <c r="V387" s="7" t="inlineStr">
        <is>
          <t>FINALIZADO</t>
        </is>
      </c>
      <c r="W387" s="7" t="inlineStr"/>
      <c r="X387" s="7" t="inlineStr">
        <is>
          <t>MEDIÇÃO CONCLUÍDA</t>
        </is>
      </c>
      <c r="Y387" s="11">
        <f>IF(AND(L387&lt;&gt;"", S387&lt;&gt;""), S387-L387, IF(L387&lt;&gt;"", TODAY()-L387, ""))</f>
        <v/>
      </c>
      <c r="Z387" s="7">
        <f>IF(Y387="", "", IF(Y387&lt;=3, "NO PRAZO", "ATRASADO"))</f>
        <v/>
      </c>
      <c r="AA387" s="8" t="inlineStr">
        <is>
          <t>100% - OK</t>
        </is>
      </c>
    </row>
    <row r="388" ht="20" customHeight="1">
      <c r="A388" s="7" t="inlineStr">
        <is>
          <t>RSCLER0386</t>
        </is>
      </c>
      <c r="B388" s="8" t="inlineStr">
        <is>
          <t>PORTO ALEGRE</t>
        </is>
      </c>
      <c r="C388" s="7" t="inlineStr">
        <is>
          <t>CTLAA</t>
        </is>
      </c>
      <c r="D388" s="7" t="inlineStr">
        <is>
          <t>CTLAE</t>
        </is>
      </c>
      <c r="E388" s="7" t="inlineStr">
        <is>
          <t>RSPSU07</t>
        </is>
      </c>
      <c r="F388" s="8" t="inlineStr">
        <is>
          <t>Condomínio Edificio Bois de Boulogne</t>
        </is>
      </c>
      <c r="G388" s="8" t="inlineStr">
        <is>
          <t>Av. Padre Cacique, 1900</t>
        </is>
      </c>
      <c r="H388" s="7" t="inlineStr">
        <is>
          <t>CTLAA.053.M070.</t>
        </is>
      </c>
      <c r="I388" s="8" t="inlineStr">
        <is>
          <t>3 ABERTURA E FECHAMENTO, 4 FUSÃO, 2 TESTE</t>
        </is>
      </c>
      <c r="J388" s="8" t="inlineStr"/>
      <c r="K388" s="8" t="inlineStr">
        <is>
          <t>ANDERSON</t>
        </is>
      </c>
      <c r="L388" s="9" t="n">
        <v>45524</v>
      </c>
      <c r="M388" s="9" t="n">
        <v>45525</v>
      </c>
      <c r="N388" s="9" t="n">
        <v>45525</v>
      </c>
      <c r="O388" s="9" t="n">
        <v>45525</v>
      </c>
      <c r="P388" s="7" t="inlineStr">
        <is>
          <t>NÃO PRECISA</t>
        </is>
      </c>
      <c r="Q388" s="9" t="n">
        <v>45532</v>
      </c>
      <c r="R388" s="7" t="inlineStr">
        <is>
          <t>Concluído Campo</t>
        </is>
      </c>
      <c r="S388" s="9" t="n">
        <v>45553</v>
      </c>
      <c r="T388" s="10" t="inlineStr"/>
      <c r="U388" s="7" t="inlineStr">
        <is>
          <t>4272183</t>
        </is>
      </c>
      <c r="V388" s="7" t="inlineStr">
        <is>
          <t>FINALIZADO</t>
        </is>
      </c>
      <c r="W388" s="7" t="inlineStr"/>
      <c r="X388" s="7" t="inlineStr">
        <is>
          <t>MEDIÇÃO CONCLUÍDA</t>
        </is>
      </c>
      <c r="Y388" s="11">
        <f>IF(AND(L388&lt;&gt;"", S388&lt;&gt;""), S388-L388, IF(L388&lt;&gt;"", TODAY()-L388, ""))</f>
        <v/>
      </c>
      <c r="Z388" s="7">
        <f>IF(Y388="", "", IF(Y388&lt;=3, "NO PRAZO", "ATRASADO"))</f>
        <v/>
      </c>
      <c r="AA388" s="8" t="inlineStr">
        <is>
          <t>100% - OK</t>
        </is>
      </c>
    </row>
    <row r="389" ht="20" customHeight="1">
      <c r="A389" s="7" t="inlineStr">
        <is>
          <t>RSCLER0387</t>
        </is>
      </c>
      <c r="B389" s="8" t="inlineStr">
        <is>
          <t>PORTO ALEGRE</t>
        </is>
      </c>
      <c r="C389" s="7" t="inlineStr">
        <is>
          <t>MTSAA</t>
        </is>
      </c>
      <c r="D389" s="7" t="inlineStr">
        <is>
          <t>MTSAOB</t>
        </is>
      </c>
      <c r="E389" s="7" t="inlineStr">
        <is>
          <t>PAE BV</t>
        </is>
      </c>
      <c r="F389" s="8" t="inlineStr">
        <is>
          <t>Condomínio Edifício Bellevue Platz</t>
        </is>
      </c>
      <c r="G389" s="8" t="inlineStr">
        <is>
          <t>R. Regente, 248</t>
        </is>
      </c>
      <c r="H389" s="7" t="inlineStr">
        <is>
          <t>MTSAA.151.M090</t>
        </is>
      </c>
      <c r="I389" s="8" t="inlineStr">
        <is>
          <t>FOI LANÇADO 369 METROS DE CABO DE 12FO, 3 ABERTURA E FECHAMENTO, 9 FUSÃO, 3 DERIVAÇÃO, 3 TESTE, 1 CX NOVA</t>
        </is>
      </c>
      <c r="J389" s="8" t="inlineStr">
        <is>
          <t>GIOVANE</t>
        </is>
      </c>
      <c r="K389" s="8" t="inlineStr">
        <is>
          <t>ANDERSON</t>
        </is>
      </c>
      <c r="L389" s="9" t="n">
        <v>45524</v>
      </c>
      <c r="M389" s="9" t="n">
        <v>45537</v>
      </c>
      <c r="N389" s="9" t="n">
        <v>45537</v>
      </c>
      <c r="O389" s="9" t="n">
        <v>45537</v>
      </c>
      <c r="P389" s="7" t="inlineStr">
        <is>
          <t>NÃO PRECISA</t>
        </is>
      </c>
      <c r="Q389" s="9" t="n">
        <v>45545</v>
      </c>
      <c r="R389" s="7" t="inlineStr">
        <is>
          <t>Concluído Campo</t>
        </is>
      </c>
      <c r="S389" s="9" t="n">
        <v>45540</v>
      </c>
      <c r="T389" s="10" t="inlineStr"/>
      <c r="U389" s="7" t="inlineStr">
        <is>
          <t>4272170</t>
        </is>
      </c>
      <c r="V389" s="7" t="inlineStr">
        <is>
          <t>FINALIZADO</t>
        </is>
      </c>
      <c r="W389" s="7" t="inlineStr"/>
      <c r="X389" s="7" t="inlineStr">
        <is>
          <t>MEDIÇÃO CONCLUÍDA</t>
        </is>
      </c>
      <c r="Y389" s="11">
        <f>IF(AND(L389&lt;&gt;"", S389&lt;&gt;""), S389-L389, IF(L389&lt;&gt;"", TODAY()-L389, ""))</f>
        <v/>
      </c>
      <c r="Z389" s="7">
        <f>IF(Y389="", "", IF(Y389&lt;=3, "NO PRAZO", "ATRASADO"))</f>
        <v/>
      </c>
      <c r="AA389" s="8" t="inlineStr">
        <is>
          <t>100% - OK</t>
        </is>
      </c>
    </row>
    <row r="390" ht="20" customHeight="1">
      <c r="A390" s="7" t="inlineStr">
        <is>
          <t>RSCLER0388</t>
        </is>
      </c>
      <c r="B390" s="8" t="inlineStr">
        <is>
          <t>PORTO ALEGRE</t>
        </is>
      </c>
      <c r="C390" s="7" t="inlineStr">
        <is>
          <t>PRTAA</t>
        </is>
      </c>
      <c r="D390" s="7" t="inlineStr">
        <is>
          <t>PRTANA</t>
        </is>
      </c>
      <c r="E390" s="7" t="inlineStr">
        <is>
          <t>RSPLE26</t>
        </is>
      </c>
      <c r="F390" s="8" t="inlineStr">
        <is>
          <t>Reserva Piatelli</t>
        </is>
      </c>
      <c r="G390" s="8" t="inlineStr">
        <is>
          <t>Rua dos Burgueses 295 - DIRETORIA</t>
        </is>
      </c>
      <c r="H390" s="7" t="inlineStr">
        <is>
          <t>PRTAA.001.M120</t>
        </is>
      </c>
      <c r="I390" s="8" t="inlineStr">
        <is>
          <t>FOI LANÇADO 211  METROS DE CABO DE 12 FO, 4 ABERTURA E FECHAMENTO, 10 FUSÃO, 1 DERIVAÇÃO, 1 CX NOVA, 2 TESTE</t>
        </is>
      </c>
      <c r="J390" s="8" t="inlineStr">
        <is>
          <t>THIAGO LAMBRETA</t>
        </is>
      </c>
      <c r="K390" s="8" t="inlineStr">
        <is>
          <t>ANDERSON</t>
        </is>
      </c>
      <c r="L390" s="9" t="n">
        <v>45524</v>
      </c>
      <c r="M390" s="9" t="n">
        <v>45542</v>
      </c>
      <c r="N390" s="9" t="n">
        <v>45542</v>
      </c>
      <c r="O390" s="9" t="n">
        <v>45544</v>
      </c>
      <c r="P390" s="7" t="inlineStr">
        <is>
          <t>NÃO PRECISA</t>
        </is>
      </c>
      <c r="Q390" s="9" t="n">
        <v>45549</v>
      </c>
      <c r="R390" s="7" t="inlineStr">
        <is>
          <t>Concluído Campo</t>
        </is>
      </c>
      <c r="S390" s="7" t="inlineStr"/>
      <c r="T390" s="10" t="inlineStr"/>
      <c r="U390" s="7" t="inlineStr"/>
      <c r="V390" s="7" t="inlineStr"/>
      <c r="W390" s="7" t="inlineStr"/>
      <c r="X390" s="7" t="inlineStr">
        <is>
          <t>AG. MEDIÇÃO</t>
        </is>
      </c>
      <c r="Y390" s="11">
        <f>IF(AND(L390&lt;&gt;"", S390&lt;&gt;""), S390-L390, IF(L390&lt;&gt;"", TODAY()-L390, ""))</f>
        <v/>
      </c>
      <c r="Z390" s="7">
        <f>IF(Y390="", "", IF(Y390&lt;=3, "NO PRAZO", "ATRASADO"))</f>
        <v/>
      </c>
      <c r="AA390" s="8" t="inlineStr">
        <is>
          <t>100% - OK</t>
        </is>
      </c>
    </row>
    <row r="391" ht="20" customHeight="1">
      <c r="A391" s="7" t="inlineStr">
        <is>
          <t>RSCLER0389</t>
        </is>
      </c>
      <c r="B391" s="8" t="inlineStr">
        <is>
          <t>PORTO ALEGRE</t>
        </is>
      </c>
      <c r="C391" s="7" t="inlineStr">
        <is>
          <t>BVSAB</t>
        </is>
      </c>
      <c r="D391" s="7" t="inlineStr">
        <is>
          <t>BVSALA</t>
        </is>
      </c>
      <c r="E391" s="7" t="inlineStr">
        <is>
          <t>PAE NR</t>
        </is>
      </c>
      <c r="F391" s="8" t="inlineStr">
        <is>
          <t>Cond Ed Resid Puerto Madero</t>
        </is>
      </c>
      <c r="G391" s="8" t="inlineStr">
        <is>
          <t>Av. Bagé, 1352</t>
        </is>
      </c>
      <c r="H391" s="7" t="inlineStr">
        <is>
          <t>BVSAB.222.M090.</t>
        </is>
      </c>
      <c r="I391" s="8" t="inlineStr">
        <is>
          <t>5 ABERTURA E FECHAMENTO, 10 FUSÃO, 2 TESTE</t>
        </is>
      </c>
      <c r="J391" s="8" t="inlineStr"/>
      <c r="K391" s="8" t="inlineStr">
        <is>
          <t>MARCOS EMILIANO / ANDERSON</t>
        </is>
      </c>
      <c r="L391" s="9" t="n">
        <v>45524</v>
      </c>
      <c r="M391" s="9" t="n">
        <v>45528</v>
      </c>
      <c r="N391" s="9" t="n">
        <v>45532</v>
      </c>
      <c r="O391" s="9" t="n">
        <v>45532</v>
      </c>
      <c r="P391" s="7" t="inlineStr">
        <is>
          <t>NÃO PRECISA</t>
        </is>
      </c>
      <c r="Q391" s="9" t="n">
        <v>45545</v>
      </c>
      <c r="R391" s="7" t="inlineStr">
        <is>
          <t>Concluído Campo</t>
        </is>
      </c>
      <c r="S391" s="9" t="n">
        <v>45541</v>
      </c>
      <c r="T391" s="10" t="inlineStr"/>
      <c r="U391" s="7" t="inlineStr">
        <is>
          <t>4272170</t>
        </is>
      </c>
      <c r="V391" s="7" t="inlineStr">
        <is>
          <t>FINALIZADO</t>
        </is>
      </c>
      <c r="W391" s="7" t="inlineStr"/>
      <c r="X391" s="7" t="inlineStr">
        <is>
          <t>MEDIÇÃO CONCLUÍDA</t>
        </is>
      </c>
      <c r="Y391" s="11">
        <f>IF(AND(L391&lt;&gt;"", S391&lt;&gt;""), S391-L391, IF(L391&lt;&gt;"", TODAY()-L391, ""))</f>
        <v/>
      </c>
      <c r="Z391" s="7">
        <f>IF(Y391="", "", IF(Y391&lt;=3, "NO PRAZO", "ATRASADO"))</f>
        <v/>
      </c>
      <c r="AA391" s="8" t="inlineStr">
        <is>
          <t>100% - OK</t>
        </is>
      </c>
    </row>
    <row r="392" ht="20" customHeight="1">
      <c r="A392" s="7" t="inlineStr">
        <is>
          <t>RSCLER0390</t>
        </is>
      </c>
      <c r="B392" s="8" t="inlineStr">
        <is>
          <t>PORTO ALEGRE</t>
        </is>
      </c>
      <c r="C392" s="7" t="inlineStr">
        <is>
          <t>BVSAB</t>
        </is>
      </c>
      <c r="D392" s="7" t="inlineStr">
        <is>
          <t>BVSAR</t>
        </is>
      </c>
      <c r="E392" s="7" t="inlineStr">
        <is>
          <t>PAE NR</t>
        </is>
      </c>
      <c r="F392" s="8" t="inlineStr">
        <is>
          <t>Carlos Gomes Square Office</t>
        </is>
      </c>
      <c r="G392" s="8" t="inlineStr">
        <is>
          <t>Av Carlos Gomes 1130</t>
        </is>
      </c>
      <c r="H392" s="7" t="inlineStr">
        <is>
          <t>BVSAB.041.M010</t>
        </is>
      </c>
      <c r="I392" s="8" t="inlineStr">
        <is>
          <t>FOI LANÇADO 70 METROS DE CABO DE 12FO, 1 ABERTURA E FECHAMENTO, 2 DERIVAÇÃO, 8 FUSÃO, 1 CX NOVA, 4 TESTE</t>
        </is>
      </c>
      <c r="J392" s="8" t="inlineStr">
        <is>
          <t>FABIO AMARILIO</t>
        </is>
      </c>
      <c r="K392" s="8" t="inlineStr">
        <is>
          <t>FABIO AMARILIO</t>
        </is>
      </c>
      <c r="L392" s="9" t="n">
        <v>45524</v>
      </c>
      <c r="M392" s="9" t="n">
        <v>45526</v>
      </c>
      <c r="N392" s="9" t="n">
        <v>45538</v>
      </c>
      <c r="O392" s="9" t="n">
        <v>45546</v>
      </c>
      <c r="P392" s="7" t="inlineStr">
        <is>
          <t>NÃO PRECISA</t>
        </is>
      </c>
      <c r="Q392" s="9" t="n">
        <v>45549</v>
      </c>
      <c r="R392" s="7" t="inlineStr">
        <is>
          <t>Concluído Campo</t>
        </is>
      </c>
      <c r="S392" s="9" t="n">
        <v>45540</v>
      </c>
      <c r="T392" s="10" t="inlineStr"/>
      <c r="U392" s="7" t="inlineStr">
        <is>
          <t>4272170</t>
        </is>
      </c>
      <c r="V392" s="7" t="inlineStr">
        <is>
          <t>FINALIZADO</t>
        </is>
      </c>
      <c r="W392" s="7" t="inlineStr"/>
      <c r="X392" s="7" t="inlineStr">
        <is>
          <t>MEDIÇÃO CONCLUÍDA</t>
        </is>
      </c>
      <c r="Y392" s="11">
        <f>IF(AND(L392&lt;&gt;"", S392&lt;&gt;""), S392-L392, IF(L392&lt;&gt;"", TODAY()-L392, ""))</f>
        <v/>
      </c>
      <c r="Z392" s="7">
        <f>IF(Y392="", "", IF(Y392&lt;=3, "NO PRAZO", "ATRASADO"))</f>
        <v/>
      </c>
      <c r="AA392" s="8" t="inlineStr">
        <is>
          <t>100% - OK</t>
        </is>
      </c>
    </row>
    <row r="393" ht="20" customHeight="1">
      <c r="A393" s="7" t="inlineStr">
        <is>
          <t>RSCLER0391</t>
        </is>
      </c>
      <c r="B393" s="8" t="inlineStr">
        <is>
          <t>PORTO ALEGRE</t>
        </is>
      </c>
      <c r="C393" s="7" t="inlineStr">
        <is>
          <t>BVSAB</t>
        </is>
      </c>
      <c r="D393" s="7" t="inlineStr">
        <is>
          <t>PETAU</t>
        </is>
      </c>
      <c r="E393" s="7" t="inlineStr">
        <is>
          <t>PAE NR</t>
        </is>
      </c>
      <c r="F393" s="8" t="inlineStr"/>
      <c r="G393" s="8" t="inlineStr">
        <is>
          <t>Rua Mário Antunes da Cunha, 116 e 511</t>
        </is>
      </c>
      <c r="H393" s="7" t="inlineStr">
        <is>
          <t>BVSAB.081.M040</t>
        </is>
      </c>
      <c r="I393" s="8" t="inlineStr">
        <is>
          <t>FOI LANÇADO 621  METROS DE CABO DE 36FO, FOI LANÇADO 620 METROS DE CABO DE 12FO, 3 ABERTURA E FECHAMENTO, 4 DERIVAÇÃO, 37 FUSÃO, 3 CX NOVA, 8 TESTE</t>
        </is>
      </c>
      <c r="J393" s="8" t="inlineStr">
        <is>
          <t>UBIRATAN / VICTOR</t>
        </is>
      </c>
      <c r="K393" s="8" t="inlineStr">
        <is>
          <t>FABIO AMARILIO</t>
        </is>
      </c>
      <c r="L393" s="9" t="n">
        <v>45524</v>
      </c>
      <c r="M393" s="9" t="n">
        <v>45528</v>
      </c>
      <c r="N393" s="9" t="n">
        <v>45538</v>
      </c>
      <c r="O393" s="9" t="n">
        <v>45540</v>
      </c>
      <c r="P393" s="7" t="inlineStr">
        <is>
          <t>NÃO PRECISA</t>
        </is>
      </c>
      <c r="Q393" s="9" t="n">
        <v>45545</v>
      </c>
      <c r="R393" s="7" t="inlineStr">
        <is>
          <t>Concluído Campo</t>
        </is>
      </c>
      <c r="S393" s="9" t="n">
        <v>45531</v>
      </c>
      <c r="T393" s="10" t="inlineStr"/>
      <c r="U393" s="7" t="inlineStr">
        <is>
          <t>4272170</t>
        </is>
      </c>
      <c r="V393" s="7" t="inlineStr">
        <is>
          <t>FINALIZADO</t>
        </is>
      </c>
      <c r="W393" s="7" t="inlineStr"/>
      <c r="X393" s="7" t="inlineStr">
        <is>
          <t>MEDIÇÃO CONCLUÍDA</t>
        </is>
      </c>
      <c r="Y393" s="11">
        <f>IF(AND(L393&lt;&gt;"", S393&lt;&gt;""), S393-L393, IF(L393&lt;&gt;"", TODAY()-L393, ""))</f>
        <v/>
      </c>
      <c r="Z393" s="7">
        <f>IF(Y393="", "", IF(Y393&lt;=3, "NO PRAZO", "ATRASADO"))</f>
        <v/>
      </c>
      <c r="AA393" s="8" t="inlineStr">
        <is>
          <t>100% - OK</t>
        </is>
      </c>
    </row>
    <row r="394" ht="20" customHeight="1">
      <c r="A394" s="7" t="inlineStr">
        <is>
          <t>RSCLER0392</t>
        </is>
      </c>
      <c r="B394" s="8" t="inlineStr">
        <is>
          <t>PORTO ALEGRE</t>
        </is>
      </c>
      <c r="C394" s="7" t="inlineStr">
        <is>
          <t>BVSAB</t>
        </is>
      </c>
      <c r="D394" s="7" t="inlineStr">
        <is>
          <t>PETAU</t>
        </is>
      </c>
      <c r="E394" s="7" t="inlineStr">
        <is>
          <t>PAE NR</t>
        </is>
      </c>
      <c r="F394" s="8" t="inlineStr"/>
      <c r="G394" s="8" t="inlineStr">
        <is>
          <t>Rua Mário Antunes da Cunha, 185</t>
        </is>
      </c>
      <c r="H394" s="7" t="inlineStr">
        <is>
          <t>BVSAB.081.M060</t>
        </is>
      </c>
      <c r="I394" s="8" t="inlineStr">
        <is>
          <t>ESTA SENDO COBRADA JUNTA A OS RSCLER0387</t>
        </is>
      </c>
      <c r="J394" s="8" t="inlineStr"/>
      <c r="K394" s="8" t="inlineStr">
        <is>
          <t>FABIO AMARILIO</t>
        </is>
      </c>
      <c r="L394" s="9" t="n">
        <v>45524</v>
      </c>
      <c r="M394" s="7" t="inlineStr"/>
      <c r="N394" s="9" t="n">
        <v>45538</v>
      </c>
      <c r="O394" s="9" t="n">
        <v>45540</v>
      </c>
      <c r="P394" s="7" t="inlineStr">
        <is>
          <t>NÃO PRECISA</t>
        </is>
      </c>
      <c r="Q394" s="9" t="n">
        <v>45545</v>
      </c>
      <c r="R394" s="7" t="inlineStr">
        <is>
          <t>Concluído Campo</t>
        </is>
      </c>
      <c r="S394" s="9" t="n">
        <v>45538</v>
      </c>
      <c r="T394" s="10" t="inlineStr"/>
      <c r="U394" s="7" t="inlineStr">
        <is>
          <t>4272170</t>
        </is>
      </c>
      <c r="V394" s="7" t="inlineStr">
        <is>
          <t>FINALIZADO</t>
        </is>
      </c>
      <c r="W394" s="7" t="inlineStr"/>
      <c r="X394" s="7" t="inlineStr">
        <is>
          <t>MEDIÇÃO CONCLUÍDA</t>
        </is>
      </c>
      <c r="Y394" s="11">
        <f>IF(AND(L394&lt;&gt;"", S394&lt;&gt;""), S394-L394, IF(L394&lt;&gt;"", TODAY()-L394, ""))</f>
        <v/>
      </c>
      <c r="Z394" s="7">
        <f>IF(Y394="", "", IF(Y394&lt;=3, "NO PRAZO", "ATRASADO"))</f>
        <v/>
      </c>
      <c r="AA394" s="8" t="inlineStr">
        <is>
          <t>100% - OK</t>
        </is>
      </c>
    </row>
    <row r="395" ht="20" customHeight="1">
      <c r="A395" s="7" t="inlineStr">
        <is>
          <t>RSCLER0393</t>
        </is>
      </c>
      <c r="B395" s="8" t="inlineStr">
        <is>
          <t>PORTO ALEGRE</t>
        </is>
      </c>
      <c r="C395" s="7" t="inlineStr">
        <is>
          <t>NAVAA</t>
        </is>
      </c>
      <c r="D395" s="7" t="inlineStr">
        <is>
          <t>BVSAB</t>
        </is>
      </c>
      <c r="E395" s="7" t="inlineStr">
        <is>
          <t>RSPNO05</t>
        </is>
      </c>
      <c r="F395" s="8" t="inlineStr">
        <is>
          <t>Condomínio Supreme</t>
        </is>
      </c>
      <c r="G395" s="8" t="inlineStr">
        <is>
          <t>Tv. Jaguarão, 60</t>
        </is>
      </c>
      <c r="H395" s="7" t="inlineStr">
        <is>
          <t>NAVAA.145.M060.</t>
        </is>
      </c>
      <c r="I395" s="8" t="inlineStr">
        <is>
          <t>4 ABERTURA E FECHAMENTO, 6 FUSÃO, 2 TESTE</t>
        </is>
      </c>
      <c r="J395" s="8" t="inlineStr"/>
      <c r="K395" s="8" t="inlineStr">
        <is>
          <t>MARCOS EMILIANO</t>
        </is>
      </c>
      <c r="L395" s="9" t="n">
        <v>45525</v>
      </c>
      <c r="M395" s="9" t="n">
        <v>45540</v>
      </c>
      <c r="N395" s="9" t="n">
        <v>45540</v>
      </c>
      <c r="O395" s="9" t="n">
        <v>45541</v>
      </c>
      <c r="P395" s="7" t="inlineStr">
        <is>
          <t>NÃO PRECISA</t>
        </is>
      </c>
      <c r="Q395" s="9" t="n">
        <v>45545</v>
      </c>
      <c r="R395" s="7" t="inlineStr">
        <is>
          <t>Concluído Campo</t>
        </is>
      </c>
      <c r="S395" s="9" t="n">
        <v>45535</v>
      </c>
      <c r="T395" s="10" t="inlineStr"/>
      <c r="U395" s="7" t="inlineStr">
        <is>
          <t>4272170</t>
        </is>
      </c>
      <c r="V395" s="7" t="inlineStr">
        <is>
          <t>FINALIZADO</t>
        </is>
      </c>
      <c r="W395" s="7" t="inlineStr"/>
      <c r="X395" s="7" t="inlineStr">
        <is>
          <t>MEDIÇÃO CONCLUÍDA</t>
        </is>
      </c>
      <c r="Y395" s="11">
        <f>IF(AND(L395&lt;&gt;"", S395&lt;&gt;""), S395-L395, IF(L395&lt;&gt;"", TODAY()-L395, ""))</f>
        <v/>
      </c>
      <c r="Z395" s="7">
        <f>IF(Y395="", "", IF(Y395&lt;=3, "NO PRAZO", "ATRASADO"))</f>
        <v/>
      </c>
      <c r="AA395" s="8" t="inlineStr">
        <is>
          <t>100% - OK</t>
        </is>
      </c>
    </row>
    <row r="396" ht="20" customHeight="1">
      <c r="A396" s="7" t="inlineStr">
        <is>
          <t>RSCLER0394</t>
        </is>
      </c>
      <c r="B396" s="8" t="inlineStr">
        <is>
          <t>PORTO ALEGRE</t>
        </is>
      </c>
      <c r="C396" s="7" t="inlineStr">
        <is>
          <t>PDRAA</t>
        </is>
      </c>
      <c r="D396" s="7" t="inlineStr">
        <is>
          <t>VIPAF</t>
        </is>
      </c>
      <c r="E396" s="7" t="inlineStr">
        <is>
          <t>RSPNO17</t>
        </is>
      </c>
      <c r="F396" s="8" t="inlineStr">
        <is>
          <t>Condomínio Edificio Greenview</t>
        </is>
      </c>
      <c r="G396" s="8" t="inlineStr">
        <is>
          <t>R. Roque Calage, 870 - DIRETORIA</t>
        </is>
      </c>
      <c r="H396" s="7" t="inlineStr">
        <is>
          <t>PDRAA.125.M040</t>
        </is>
      </c>
      <c r="I396" s="8" t="inlineStr">
        <is>
          <t>FOI LANÇADO 451 METROS DE CABO DE 12FO, 1 ABERTURA E FECHAMENTO, 1 CX NOVA, 1 FUSÃO, 1 TESTE</t>
        </is>
      </c>
      <c r="J396" s="8" t="inlineStr">
        <is>
          <t>GIOVANE</t>
        </is>
      </c>
      <c r="K396" s="8" t="inlineStr">
        <is>
          <t>ANDERSON</t>
        </is>
      </c>
      <c r="L396" s="9" t="n">
        <v>45530</v>
      </c>
      <c r="M396" s="9" t="n">
        <v>45539</v>
      </c>
      <c r="N396" s="9" t="n">
        <v>45541</v>
      </c>
      <c r="O396" s="9" t="n">
        <v>45540</v>
      </c>
      <c r="P396" s="7" t="inlineStr">
        <is>
          <t>NÃO PRECISA</t>
        </is>
      </c>
      <c r="Q396" s="9" t="n">
        <v>45545</v>
      </c>
      <c r="R396" s="7" t="inlineStr">
        <is>
          <t>Concluído Campo</t>
        </is>
      </c>
      <c r="S396" s="9" t="n">
        <v>45536</v>
      </c>
      <c r="T396" s="10" t="inlineStr"/>
      <c r="U396" s="7" t="inlineStr">
        <is>
          <t>4272170</t>
        </is>
      </c>
      <c r="V396" s="7" t="inlineStr">
        <is>
          <t>FINALIZADO</t>
        </is>
      </c>
      <c r="W396" s="7" t="inlineStr"/>
      <c r="X396" s="7" t="inlineStr">
        <is>
          <t>MEDIÇÃO CONCLUÍDA</t>
        </is>
      </c>
      <c r="Y396" s="11">
        <f>IF(AND(L396&lt;&gt;"", S396&lt;&gt;""), S396-L396, IF(L396&lt;&gt;"", TODAY()-L396, ""))</f>
        <v/>
      </c>
      <c r="Z396" s="7">
        <f>IF(Y396="", "", IF(Y396&lt;=3, "NO PRAZO", "ATRASADO"))</f>
        <v/>
      </c>
      <c r="AA396" s="8" t="inlineStr">
        <is>
          <t>100% - OK</t>
        </is>
      </c>
    </row>
    <row r="397" ht="20" customHeight="1">
      <c r="A397" s="7" t="inlineStr">
        <is>
          <t>RSCLER0395</t>
        </is>
      </c>
      <c r="B397" s="8" t="inlineStr">
        <is>
          <t>PORTO ALEGRE</t>
        </is>
      </c>
      <c r="C397" s="7" t="inlineStr">
        <is>
          <t>RBRAA</t>
        </is>
      </c>
      <c r="D397" s="7" t="inlineStr">
        <is>
          <t>RBRAO</t>
        </is>
      </c>
      <c r="E397" s="7" t="inlineStr">
        <is>
          <t>RSPLE08</t>
        </is>
      </c>
      <c r="F397" s="8" t="inlineStr">
        <is>
          <t>ARCOVERDE</t>
        </is>
      </c>
      <c r="G397" s="8" t="inlineStr">
        <is>
          <t>R SANTA CECILIA 2118</t>
        </is>
      </c>
      <c r="H397" s="7" t="inlineStr">
        <is>
          <t>RBRAA.125.M050</t>
        </is>
      </c>
      <c r="I397" s="8" t="inlineStr">
        <is>
          <t>FOI LANÇADO 240 METROS DE CABO DE 12FO, 4 ABERTURA E FECHAMENTO, 8 FUSÃO, 1 DERIVAÇÃO, 1 CX NOVA , 2 TESTE</t>
        </is>
      </c>
      <c r="J397" s="8" t="inlineStr">
        <is>
          <t>THIAGO LAMBRETA</t>
        </is>
      </c>
      <c r="K397" s="8" t="inlineStr">
        <is>
          <t>LUCAS HOBERT</t>
        </is>
      </c>
      <c r="L397" s="9" t="n">
        <v>45530</v>
      </c>
      <c r="M397" s="9" t="n">
        <v>45531</v>
      </c>
      <c r="N397" s="9" t="n">
        <v>45531</v>
      </c>
      <c r="O397" s="9" t="n">
        <v>45531</v>
      </c>
      <c r="P397" s="7" t="inlineStr">
        <is>
          <t>NÃO PRECISA</t>
        </is>
      </c>
      <c r="Q397" s="9" t="n">
        <v>45545</v>
      </c>
      <c r="R397" s="7" t="inlineStr">
        <is>
          <t>Concluído Campo</t>
        </is>
      </c>
      <c r="S397" s="9" t="n">
        <v>45540</v>
      </c>
      <c r="T397" s="10" t="inlineStr"/>
      <c r="U397" s="7" t="inlineStr">
        <is>
          <t>4272170</t>
        </is>
      </c>
      <c r="V397" s="7" t="inlineStr">
        <is>
          <t>FINALIZADO</t>
        </is>
      </c>
      <c r="W397" s="7" t="inlineStr"/>
      <c r="X397" s="7" t="inlineStr">
        <is>
          <t>MEDIÇÃO CONCLUÍDA</t>
        </is>
      </c>
      <c r="Y397" s="11">
        <f>IF(AND(L397&lt;&gt;"", S397&lt;&gt;""), S397-L397, IF(L397&lt;&gt;"", TODAY()-L397, ""))</f>
        <v/>
      </c>
      <c r="Z397" s="7">
        <f>IF(Y397="", "", IF(Y397&lt;=3, "NO PRAZO", "ATRASADO"))</f>
        <v/>
      </c>
      <c r="AA397" s="8" t="inlineStr">
        <is>
          <t>100% - OK</t>
        </is>
      </c>
    </row>
    <row r="398" ht="20" customHeight="1">
      <c r="A398" s="7" t="inlineStr">
        <is>
          <t>RSCLER0396</t>
        </is>
      </c>
      <c r="B398" s="8" t="inlineStr">
        <is>
          <t>PORTO ALEGRE</t>
        </is>
      </c>
      <c r="C398" s="7" t="inlineStr">
        <is>
          <t>PDRAA</t>
        </is>
      </c>
      <c r="D398" s="7" t="inlineStr">
        <is>
          <t>SPEAG</t>
        </is>
      </c>
      <c r="E398" s="7" t="inlineStr">
        <is>
          <t>RSPNO17</t>
        </is>
      </c>
      <c r="F398" s="8" t="inlineStr">
        <is>
          <t>DIRETORIA</t>
        </is>
      </c>
      <c r="G398" s="8" t="inlineStr">
        <is>
          <t>Av. Grécia, 1050 - 1000 - 1100</t>
        </is>
      </c>
      <c r="H398" s="7" t="inlineStr">
        <is>
          <t>PDRAA.101.M030</t>
        </is>
      </c>
      <c r="I398" s="8" t="inlineStr">
        <is>
          <t>FOI LANÇADO 134 METROS DE CABO DE 12FO , 3 ABERTURA E FECHAMENTO, 1 CX FOSC, 1 DERIVAÇÃO, 12 FUSÃO, 6 TESTE</t>
        </is>
      </c>
      <c r="J398" s="8" t="inlineStr">
        <is>
          <t>GIOVANE</t>
        </is>
      </c>
      <c r="K398" s="8" t="inlineStr">
        <is>
          <t>LUCAS HOBERT</t>
        </is>
      </c>
      <c r="L398" s="9" t="n">
        <v>45530</v>
      </c>
      <c r="M398" s="9" t="n">
        <v>45537</v>
      </c>
      <c r="N398" s="9" t="n">
        <v>45538</v>
      </c>
      <c r="O398" s="9" t="n">
        <v>45538</v>
      </c>
      <c r="P398" s="7" t="inlineStr">
        <is>
          <t>NÃO PRECISA</t>
        </is>
      </c>
      <c r="Q398" s="9" t="n">
        <v>45545</v>
      </c>
      <c r="R398" s="7" t="inlineStr">
        <is>
          <t>Concluído Campo</t>
        </is>
      </c>
      <c r="S398" s="9" t="n">
        <v>45541</v>
      </c>
      <c r="T398" s="10" t="inlineStr"/>
      <c r="U398" s="7" t="inlineStr">
        <is>
          <t>4272183</t>
        </is>
      </c>
      <c r="V398" s="7" t="inlineStr">
        <is>
          <t>FINALIZADO</t>
        </is>
      </c>
      <c r="W398" s="7" t="inlineStr"/>
      <c r="X398" s="7" t="inlineStr">
        <is>
          <t>MEDIÇÃO CONCLUÍDA</t>
        </is>
      </c>
      <c r="Y398" s="11">
        <f>IF(AND(L398&lt;&gt;"", S398&lt;&gt;""), S398-L398, IF(L398&lt;&gt;"", TODAY()-L398, ""))</f>
        <v/>
      </c>
      <c r="Z398" s="7">
        <f>IF(Y398="", "", IF(Y398&lt;=3, "NO PRAZO", "ATRASADO"))</f>
        <v/>
      </c>
      <c r="AA398" s="8" t="inlineStr">
        <is>
          <t>100% - OK</t>
        </is>
      </c>
    </row>
    <row r="399" ht="20" customHeight="1">
      <c r="A399" s="7" t="inlineStr">
        <is>
          <t>RSCLER0397</t>
        </is>
      </c>
      <c r="B399" s="8" t="inlineStr">
        <is>
          <t>PORTO ALEGRE</t>
        </is>
      </c>
      <c r="C399" s="7" t="inlineStr">
        <is>
          <t>PDRAA</t>
        </is>
      </c>
      <c r="D399" s="7" t="inlineStr">
        <is>
          <t>PDRAHA</t>
        </is>
      </c>
      <c r="E399" s="7" t="inlineStr">
        <is>
          <t>RSPNO17</t>
        </is>
      </c>
      <c r="F399" s="8" t="inlineStr">
        <is>
          <t>DIRETORIA</t>
        </is>
      </c>
      <c r="G399" s="8" t="inlineStr">
        <is>
          <t>R Jari 619</t>
        </is>
      </c>
      <c r="H399" s="7" t="inlineStr">
        <is>
          <t>PDRAA.062.M090</t>
        </is>
      </c>
      <c r="I399" s="8" t="inlineStr">
        <is>
          <t>FOI LANÇADO 510 METROS DE CABO DE 12 FO, 1 DERIVAÇÃO, 1 CX NOVA, 1 ABERTURA, 9 FUÃO, 7 TESTE</t>
        </is>
      </c>
      <c r="J399" s="8" t="inlineStr">
        <is>
          <t>TIAGO FERREIRA</t>
        </is>
      </c>
      <c r="K399" s="8" t="inlineStr">
        <is>
          <t>LUCAS HOBERT</t>
        </is>
      </c>
      <c r="L399" s="9" t="n">
        <v>45531</v>
      </c>
      <c r="M399" s="9" t="n">
        <v>45534</v>
      </c>
      <c r="N399" s="7" t="inlineStr">
        <is>
          <t>31/09/2024</t>
        </is>
      </c>
      <c r="O399" s="9" t="n">
        <v>45535</v>
      </c>
      <c r="P399" s="7" t="inlineStr">
        <is>
          <t>NÃO PRECISA</t>
        </is>
      </c>
      <c r="Q399" s="9" t="n">
        <v>45545</v>
      </c>
      <c r="R399" s="7" t="inlineStr">
        <is>
          <t>Concluído Campo</t>
        </is>
      </c>
      <c r="S399" s="9" t="n">
        <v>45553</v>
      </c>
      <c r="T399" s="10" t="inlineStr"/>
      <c r="U399" s="7" t="inlineStr">
        <is>
          <t>4272183</t>
        </is>
      </c>
      <c r="V399" s="7" t="inlineStr">
        <is>
          <t>FINALIZADO</t>
        </is>
      </c>
      <c r="W399" s="7" t="inlineStr"/>
      <c r="X399" s="7" t="inlineStr">
        <is>
          <t>MEDIÇÃO CONCLUÍDA</t>
        </is>
      </c>
      <c r="Y399" s="11">
        <f>IF(AND(L399&lt;&gt;"", S399&lt;&gt;""), S399-L399, IF(L399&lt;&gt;"", TODAY()-L399, ""))</f>
        <v/>
      </c>
      <c r="Z399" s="7">
        <f>IF(Y399="", "", IF(Y399&lt;=3, "NO PRAZO", "ATRASADO"))</f>
        <v/>
      </c>
      <c r="AA399" s="8" t="inlineStr">
        <is>
          <t>100% - OK</t>
        </is>
      </c>
    </row>
    <row r="400" ht="20" customHeight="1">
      <c r="A400" s="7" t="inlineStr">
        <is>
          <t>RSCLER0398</t>
        </is>
      </c>
      <c r="B400" s="8" t="inlineStr">
        <is>
          <t>PORTO ALEGRE</t>
        </is>
      </c>
      <c r="C400" s="7" t="inlineStr">
        <is>
          <t>PDRAA</t>
        </is>
      </c>
      <c r="D400" s="7" t="inlineStr">
        <is>
          <t>PDRAHA</t>
        </is>
      </c>
      <c r="E400" s="7" t="inlineStr">
        <is>
          <t>RSPNO17</t>
        </is>
      </c>
      <c r="F400" s="8" t="inlineStr">
        <is>
          <t>DIRETORIA</t>
        </is>
      </c>
      <c r="G400" s="8" t="inlineStr">
        <is>
          <t>R Jari 740, 735</t>
        </is>
      </c>
      <c r="H400" s="7" t="inlineStr">
        <is>
          <t>PDRAA.062.M100</t>
        </is>
      </c>
      <c r="I400" s="8" t="inlineStr">
        <is>
          <t>FOI LANÇADO 118 METROS DE CABO DE 24FO, 1 ABERTURA E FECHAMENTO, 1 DERIVAÇÃO, 2 FUSÃO, 1 CX NOVA, 2 TESTE</t>
        </is>
      </c>
      <c r="J400" s="8" t="inlineStr">
        <is>
          <t>TIAGO FERREIRA</t>
        </is>
      </c>
      <c r="K400" s="8" t="inlineStr">
        <is>
          <t>LUCAS HOBERT</t>
        </is>
      </c>
      <c r="L400" s="9" t="n">
        <v>45531</v>
      </c>
      <c r="M400" s="9" t="n">
        <v>45536</v>
      </c>
      <c r="N400" s="9" t="n">
        <v>45536</v>
      </c>
      <c r="O400" s="9" t="n">
        <v>45536</v>
      </c>
      <c r="P400" s="7" t="inlineStr">
        <is>
          <t>NÃO PRECISA</t>
        </is>
      </c>
      <c r="Q400" s="9" t="n">
        <v>45545</v>
      </c>
      <c r="R400" s="7" t="inlineStr">
        <is>
          <t>Concluído Campo</t>
        </is>
      </c>
      <c r="S400" s="9" t="n">
        <v>45540</v>
      </c>
      <c r="T400" s="10" t="inlineStr"/>
      <c r="U400" s="7" t="inlineStr">
        <is>
          <t>4272183</t>
        </is>
      </c>
      <c r="V400" s="7" t="inlineStr">
        <is>
          <t>FINALIZADO</t>
        </is>
      </c>
      <c r="W400" s="7" t="inlineStr"/>
      <c r="X400" s="7" t="inlineStr">
        <is>
          <t>MEDIÇÃO CONCLUÍDA</t>
        </is>
      </c>
      <c r="Y400" s="11">
        <f>IF(AND(L400&lt;&gt;"", S400&lt;&gt;""), S400-L400, IF(L400&lt;&gt;"", TODAY()-L400, ""))</f>
        <v/>
      </c>
      <c r="Z400" s="7">
        <f>IF(Y400="", "", IF(Y400&lt;=3, "NO PRAZO", "ATRASADO"))</f>
        <v/>
      </c>
      <c r="AA400" s="8" t="inlineStr">
        <is>
          <t>100% - OK</t>
        </is>
      </c>
    </row>
    <row r="401" ht="20" customHeight="1">
      <c r="A401" s="7" t="inlineStr">
        <is>
          <t>RSCLER0399</t>
        </is>
      </c>
      <c r="B401" s="8" t="inlineStr">
        <is>
          <t>ALVORADA</t>
        </is>
      </c>
      <c r="C401" s="7" t="inlineStr">
        <is>
          <t>UMBAA</t>
        </is>
      </c>
      <c r="D401" s="7" t="inlineStr"/>
      <c r="E401" s="7" t="inlineStr">
        <is>
          <t>RSAVA05</t>
        </is>
      </c>
      <c r="F401" s="8" t="inlineStr">
        <is>
          <t>Cond. Residencial dos Passaros</t>
        </is>
      </c>
      <c r="G401" s="8" t="inlineStr">
        <is>
          <t>R Papagaios 786</t>
        </is>
      </c>
      <c r="H401" s="7" t="inlineStr">
        <is>
          <t>UMBAA.011.M030</t>
        </is>
      </c>
      <c r="I401" s="8" t="inlineStr">
        <is>
          <t>FOI LANÇADO 40 METROS DE CABO DE 12FO, 2 ABERTURA E FECHAMENTO, 1 CX NOVA, 1 DERIVAÇÃO, 4 FUSÃO, 2 TESTE</t>
        </is>
      </c>
      <c r="J401" s="8" t="inlineStr">
        <is>
          <t>LUCAS HOBERT</t>
        </is>
      </c>
      <c r="K401" s="8" t="inlineStr">
        <is>
          <t>LUCAS HOBERT</t>
        </is>
      </c>
      <c r="L401" s="9" t="n">
        <v>45531</v>
      </c>
      <c r="M401" s="9" t="n">
        <v>45540</v>
      </c>
      <c r="N401" s="9" t="n">
        <v>45540</v>
      </c>
      <c r="O401" s="9" t="n">
        <v>45540</v>
      </c>
      <c r="P401" s="7" t="inlineStr">
        <is>
          <t>NÃO PRECISA</t>
        </is>
      </c>
      <c r="Q401" s="9" t="n">
        <v>45545</v>
      </c>
      <c r="R401" s="7" t="inlineStr">
        <is>
          <t>Concluído Campo</t>
        </is>
      </c>
      <c r="S401" s="9" t="n">
        <v>45534</v>
      </c>
      <c r="T401" s="10" t="inlineStr"/>
      <c r="U401" s="7" t="inlineStr">
        <is>
          <t>4272183</t>
        </is>
      </c>
      <c r="V401" s="7" t="inlineStr">
        <is>
          <t>FINALIZADO</t>
        </is>
      </c>
      <c r="W401" s="7" t="inlineStr"/>
      <c r="X401" s="7" t="inlineStr">
        <is>
          <t>MEDIÇÃO CONCLUÍDA</t>
        </is>
      </c>
      <c r="Y401" s="11">
        <f>IF(AND(L401&lt;&gt;"", S401&lt;&gt;""), S401-L401, IF(L401&lt;&gt;"", TODAY()-L401, ""))</f>
        <v/>
      </c>
      <c r="Z401" s="7">
        <f>IF(Y401="", "", IF(Y401&lt;=3, "NO PRAZO", "ATRASADO"))</f>
        <v/>
      </c>
      <c r="AA401" s="8" t="inlineStr">
        <is>
          <t>100% - OK</t>
        </is>
      </c>
    </row>
    <row r="402" ht="20" customHeight="1">
      <c r="A402" s="7" t="inlineStr">
        <is>
          <t>RSCLER0400</t>
        </is>
      </c>
      <c r="B402" s="8" t="inlineStr">
        <is>
          <t>PORTO ALEGRE</t>
        </is>
      </c>
      <c r="C402" s="7" t="inlineStr">
        <is>
          <t>NAVAA</t>
        </is>
      </c>
      <c r="D402" s="7" t="inlineStr">
        <is>
          <t>BVSAE</t>
        </is>
      </c>
      <c r="E402" s="7" t="inlineStr">
        <is>
          <t>RSPNO05</t>
        </is>
      </c>
      <c r="F402" s="8" t="inlineStr">
        <is>
          <t>RESID SONNEN</t>
        </is>
      </c>
      <c r="G402" s="8" t="inlineStr">
        <is>
          <t>Rua Carlos Von Koseritz 1322 - DIRETORIA</t>
        </is>
      </c>
      <c r="H402" s="7" t="inlineStr">
        <is>
          <t>NAVAA.132.M090</t>
        </is>
      </c>
      <c r="I402" s="8" t="inlineStr">
        <is>
          <t>FOI LANÇADO 430 METROS DE CABO DE 12FO, 2 ABERTURA E FECHAMENTO, 1 CX NOVA, 1 DERIVAÇÃO, 8 FUSÃO, 2 TESTE</t>
        </is>
      </c>
      <c r="J402" s="8" t="inlineStr">
        <is>
          <t>UBIRATAN</t>
        </is>
      </c>
      <c r="K402" s="8" t="inlineStr">
        <is>
          <t>LUCAS HOBERT</t>
        </is>
      </c>
      <c r="L402" s="9" t="n">
        <v>45531</v>
      </c>
      <c r="M402" s="9" t="n">
        <v>45533</v>
      </c>
      <c r="N402" s="9" t="n">
        <v>45538</v>
      </c>
      <c r="O402" s="9" t="n">
        <v>45541</v>
      </c>
      <c r="P402" s="7" t="inlineStr">
        <is>
          <t>NÃO PRECISA</t>
        </is>
      </c>
      <c r="Q402" s="9" t="n">
        <v>45545</v>
      </c>
      <c r="R402" s="7" t="inlineStr">
        <is>
          <t>Concluído Campo</t>
        </is>
      </c>
      <c r="S402" s="9" t="n">
        <v>45546</v>
      </c>
      <c r="T402" s="10" t="inlineStr"/>
      <c r="U402" s="7" t="inlineStr">
        <is>
          <t>4272203</t>
        </is>
      </c>
      <c r="V402" s="7" t="inlineStr">
        <is>
          <t>FINALIZADO</t>
        </is>
      </c>
      <c r="W402" s="7" t="inlineStr"/>
      <c r="X402" s="7" t="inlineStr">
        <is>
          <t>MEDIÇÃO CONCLUÍDA</t>
        </is>
      </c>
      <c r="Y402" s="11">
        <f>IF(AND(L402&lt;&gt;"", S402&lt;&gt;""), S402-L402, IF(L402&lt;&gt;"", TODAY()-L402, ""))</f>
        <v/>
      </c>
      <c r="Z402" s="7">
        <f>IF(Y402="", "", IF(Y402&lt;=3, "NO PRAZO", "ATRASADO"))</f>
        <v/>
      </c>
      <c r="AA402" s="8" t="inlineStr">
        <is>
          <t>100% - OK</t>
        </is>
      </c>
    </row>
    <row r="403" ht="20" customHeight="1">
      <c r="A403" s="7" t="inlineStr">
        <is>
          <t>RSCLER0401</t>
        </is>
      </c>
      <c r="B403" s="8" t="inlineStr">
        <is>
          <t>PORTO ALEGRE</t>
        </is>
      </c>
      <c r="C403" s="7" t="inlineStr">
        <is>
          <t>RBTAA</t>
        </is>
      </c>
      <c r="D403" s="7" t="inlineStr">
        <is>
          <t>RBTAKB</t>
        </is>
      </c>
      <c r="E403" s="7" t="inlineStr">
        <is>
          <t>PAE ARY</t>
        </is>
      </c>
      <c r="F403" s="8" t="inlineStr"/>
      <c r="G403" s="8" t="inlineStr">
        <is>
          <t>Rua ENG. Ubatuba de faria, 295</t>
        </is>
      </c>
      <c r="H403" s="7" t="inlineStr">
        <is>
          <t>RBTAA.042.M010</t>
        </is>
      </c>
      <c r="I403" s="8" t="inlineStr">
        <is>
          <t>FOI LANÇADO 276 METROS DE CABO DE 12FO, 5 ABERTURA E FECHAMENTO, 10 FUSÃO, 1 DERIVAÇÃO, 1 CX NOVA</t>
        </is>
      </c>
      <c r="J403" s="8" t="inlineStr">
        <is>
          <t>GIOVANE</t>
        </is>
      </c>
      <c r="K403" s="8" t="inlineStr">
        <is>
          <t>PAULO GOMES</t>
        </is>
      </c>
      <c r="L403" s="9" t="n">
        <v>45531</v>
      </c>
      <c r="M403" s="9" t="n">
        <v>45545</v>
      </c>
      <c r="N403" s="9" t="n">
        <v>45546</v>
      </c>
      <c r="O403" s="9" t="n">
        <v>45546</v>
      </c>
      <c r="P403" s="7" t="inlineStr">
        <is>
          <t>NÃO PRECISA</t>
        </is>
      </c>
      <c r="Q403" s="9" t="n">
        <v>45549</v>
      </c>
      <c r="R403" s="7" t="inlineStr">
        <is>
          <t>Concluído Campo</t>
        </is>
      </c>
      <c r="S403" s="9" t="n">
        <v>45541</v>
      </c>
      <c r="T403" s="10" t="inlineStr"/>
      <c r="U403" s="7" t="inlineStr">
        <is>
          <t>4272183</t>
        </is>
      </c>
      <c r="V403" s="7" t="inlineStr">
        <is>
          <t>FINALIZADO</t>
        </is>
      </c>
      <c r="W403" s="7" t="inlineStr"/>
      <c r="X403" s="7" t="inlineStr">
        <is>
          <t>MEDIÇÃO CONCLUÍDA</t>
        </is>
      </c>
      <c r="Y403" s="11">
        <f>IF(AND(L403&lt;&gt;"", S403&lt;&gt;""), S403-L403, IF(L403&lt;&gt;"", TODAY()-L403, ""))</f>
        <v/>
      </c>
      <c r="Z403" s="7">
        <f>IF(Y403="", "", IF(Y403&lt;=3, "NO PRAZO", "ATRASADO"))</f>
        <v/>
      </c>
      <c r="AA403" s="8" t="inlineStr">
        <is>
          <t>100% - OK</t>
        </is>
      </c>
    </row>
    <row r="404" ht="20" customHeight="1">
      <c r="A404" s="7" t="inlineStr">
        <is>
          <t>RSCLER0402</t>
        </is>
      </c>
      <c r="B404" s="8" t="inlineStr">
        <is>
          <t>PORTO ALEGRE</t>
        </is>
      </c>
      <c r="C404" s="7" t="inlineStr">
        <is>
          <t>RBRAA</t>
        </is>
      </c>
      <c r="D404" s="7" t="inlineStr">
        <is>
          <t>RBRAK</t>
        </is>
      </c>
      <c r="E404" s="7" t="inlineStr">
        <is>
          <t>RSPLE08</t>
        </is>
      </c>
      <c r="F404" s="8" t="inlineStr">
        <is>
          <t>Villagio</t>
        </is>
      </c>
      <c r="G404" s="8" t="inlineStr">
        <is>
          <t>Rua Cônego Viana, 240 - DIRETORIA</t>
        </is>
      </c>
      <c r="H404" s="7" t="inlineStr">
        <is>
          <t>RBRAA.042.M050</t>
        </is>
      </c>
      <c r="I404" s="8" t="inlineStr">
        <is>
          <t>FOI LANÇADO 298 METROS DE CABO DE 12FO, 4 ABERTURA E FECHAMENTO, 1 CX NOVA, 3 DERIVAÇÃO, 10 FUSÃO, 2 TESTE</t>
        </is>
      </c>
      <c r="J404" s="8" t="inlineStr">
        <is>
          <t>GIOVANE / LUCAS HOBERT</t>
        </is>
      </c>
      <c r="K404" s="8" t="inlineStr">
        <is>
          <t>LUCAS HOBERT</t>
        </is>
      </c>
      <c r="L404" s="9" t="n">
        <v>45531</v>
      </c>
      <c r="M404" s="9" t="n">
        <v>45538</v>
      </c>
      <c r="N404" s="9" t="n">
        <v>45540</v>
      </c>
      <c r="O404" s="9" t="n">
        <v>45540</v>
      </c>
      <c r="P404" s="7" t="inlineStr">
        <is>
          <t>NÃO PRECISA</t>
        </is>
      </c>
      <c r="Q404" s="9" t="n">
        <v>45545</v>
      </c>
      <c r="R404" s="7" t="inlineStr">
        <is>
          <t>Concluído Campo</t>
        </is>
      </c>
      <c r="S404" s="9" t="n">
        <v>45540</v>
      </c>
      <c r="T404" s="10" t="inlineStr"/>
      <c r="U404" s="7" t="inlineStr">
        <is>
          <t>4272183</t>
        </is>
      </c>
      <c r="V404" s="7" t="inlineStr">
        <is>
          <t>FINALIZADO</t>
        </is>
      </c>
      <c r="W404" s="7" t="inlineStr"/>
      <c r="X404" s="7" t="inlineStr">
        <is>
          <t>MEDIÇÃO CONCLUÍDA</t>
        </is>
      </c>
      <c r="Y404" s="11">
        <f>IF(AND(L404&lt;&gt;"", S404&lt;&gt;""), S404-L404, IF(L404&lt;&gt;"", TODAY()-L404, ""))</f>
        <v/>
      </c>
      <c r="Z404" s="7">
        <f>IF(Y404="", "", IF(Y404&lt;=3, "NO PRAZO", "ATRASADO"))</f>
        <v/>
      </c>
      <c r="AA404" s="8" t="inlineStr">
        <is>
          <t>100% - OK</t>
        </is>
      </c>
    </row>
    <row r="405" ht="20" customHeight="1">
      <c r="A405" s="7" t="inlineStr">
        <is>
          <t>RSCLER0403</t>
        </is>
      </c>
      <c r="B405" s="8" t="inlineStr">
        <is>
          <t>PORTO ALEGRE</t>
        </is>
      </c>
      <c r="C405" s="7" t="inlineStr">
        <is>
          <t>JITAB</t>
        </is>
      </c>
      <c r="D405" s="7" t="inlineStr">
        <is>
          <t>JITAIA</t>
        </is>
      </c>
      <c r="E405" s="7" t="inlineStr">
        <is>
          <t>RSPNO75</t>
        </is>
      </c>
      <c r="F405" s="8" t="inlineStr">
        <is>
          <t>Condomínio Edificio Passarela</t>
        </is>
      </c>
      <c r="G405" s="8" t="inlineStr">
        <is>
          <t>Adda Mascarenhas de Moraes, 955</t>
        </is>
      </c>
      <c r="H405" s="7" t="inlineStr">
        <is>
          <t>JITAB.125.02.08</t>
        </is>
      </c>
      <c r="I405" s="8" t="inlineStr">
        <is>
          <t>FOI LANÇADO 80 METROS DE CABO, 4 ABERTURA E FECHAMENTO, 5 FUSÃO, 1 DERIVAÇÃO, 1 NAP NOVA, 1 TESTE</t>
        </is>
      </c>
      <c r="J405" s="8" t="inlineStr">
        <is>
          <t>LUCAS HOBERT</t>
        </is>
      </c>
      <c r="K405" s="8" t="inlineStr">
        <is>
          <t>LUCAS HOBERT</t>
        </is>
      </c>
      <c r="L405" s="9" t="n">
        <v>45532</v>
      </c>
      <c r="M405" s="9" t="n">
        <v>45532</v>
      </c>
      <c r="N405" s="9" t="n">
        <v>45534</v>
      </c>
      <c r="O405" s="9" t="n">
        <v>45534</v>
      </c>
      <c r="P405" s="7" t="inlineStr">
        <is>
          <t>NÃO PRECISA</t>
        </is>
      </c>
      <c r="Q405" s="9" t="n">
        <v>45545</v>
      </c>
      <c r="R405" s="7" t="inlineStr">
        <is>
          <t>Concluído Campo</t>
        </is>
      </c>
      <c r="S405" s="9" t="n">
        <v>45544</v>
      </c>
      <c r="T405" s="10" t="inlineStr"/>
      <c r="U405" s="7" t="inlineStr">
        <is>
          <t>4272203</t>
        </is>
      </c>
      <c r="V405" s="7" t="inlineStr">
        <is>
          <t>FINALIZADO</t>
        </is>
      </c>
      <c r="W405" s="7" t="inlineStr"/>
      <c r="X405" s="7" t="inlineStr">
        <is>
          <t>MEDIÇÃO CONCLUÍDA</t>
        </is>
      </c>
      <c r="Y405" s="11">
        <f>IF(AND(L405&lt;&gt;"", S405&lt;&gt;""), S405-L405, IF(L405&lt;&gt;"", TODAY()-L405, ""))</f>
        <v/>
      </c>
      <c r="Z405" s="7">
        <f>IF(Y405="", "", IF(Y405&lt;=3, "NO PRAZO", "ATRASADO"))</f>
        <v/>
      </c>
      <c r="AA405" s="8" t="inlineStr">
        <is>
          <t>100% - OK</t>
        </is>
      </c>
    </row>
    <row r="406" ht="20" customHeight="1">
      <c r="A406" s="7" t="inlineStr">
        <is>
          <t>RSCLER0404</t>
        </is>
      </c>
      <c r="B406" s="8" t="inlineStr">
        <is>
          <t>PORTO ALEGRE</t>
        </is>
      </c>
      <c r="C406" s="7" t="inlineStr">
        <is>
          <t>BVSAB</t>
        </is>
      </c>
      <c r="D406" s="7" t="inlineStr">
        <is>
          <t>BVSALA</t>
        </is>
      </c>
      <c r="E406" s="7" t="inlineStr">
        <is>
          <t>PAE NR</t>
        </is>
      </c>
      <c r="F406" s="8" t="inlineStr">
        <is>
          <t>Condomínio Villa Toscana</t>
        </is>
      </c>
      <c r="G406" s="8" t="inlineStr">
        <is>
          <t>R. São Marcos, 251 - DIRETORIA</t>
        </is>
      </c>
      <c r="H406" s="7" t="inlineStr">
        <is>
          <t>BVSAB.223.M040</t>
        </is>
      </c>
      <c r="I406" s="8" t="inlineStr">
        <is>
          <t>FOI LANÇADO 401 METROS DE CABO DE 12FO E FOI LANÇADO 168 METROS DE CABO DE 24FO, 3 ABERTURA E FECHAMENTO, 2 DERIVAÇÃO, 10 FUSÃO, 1 CX NOVA, 8 TESTE</t>
        </is>
      </c>
      <c r="J406" s="8" t="inlineStr">
        <is>
          <t>GIOVANE / VICTOR</t>
        </is>
      </c>
      <c r="K406" s="8" t="inlineStr">
        <is>
          <t>ALANO</t>
        </is>
      </c>
      <c r="L406" s="9" t="n">
        <v>45533</v>
      </c>
      <c r="M406" s="9" t="n">
        <v>45538</v>
      </c>
      <c r="N406" s="9" t="n">
        <v>45546</v>
      </c>
      <c r="O406" s="9" t="n">
        <v>45546</v>
      </c>
      <c r="P406" s="7" t="inlineStr">
        <is>
          <t>NÃO PRECISA</t>
        </is>
      </c>
      <c r="Q406" s="9" t="n">
        <v>45555</v>
      </c>
      <c r="R406" s="7" t="inlineStr">
        <is>
          <t>Concluído Campo</t>
        </is>
      </c>
      <c r="S406" s="9" t="n">
        <v>45553</v>
      </c>
      <c r="T406" s="10" t="inlineStr"/>
      <c r="U406" s="7" t="inlineStr">
        <is>
          <t>4272183</t>
        </is>
      </c>
      <c r="V406" s="7" t="inlineStr">
        <is>
          <t>FINALIZADO</t>
        </is>
      </c>
      <c r="W406" s="7" t="inlineStr"/>
      <c r="X406" s="7" t="inlineStr">
        <is>
          <t>MEDIÇÃO CONCLUÍDA</t>
        </is>
      </c>
      <c r="Y406" s="11">
        <f>IF(AND(L406&lt;&gt;"", S406&lt;&gt;""), S406-L406, IF(L406&lt;&gt;"", TODAY()-L406, ""))</f>
        <v/>
      </c>
      <c r="Z406" s="7">
        <f>IF(Y406="", "", IF(Y406&lt;=3, "NO PRAZO", "ATRASADO"))</f>
        <v/>
      </c>
      <c r="AA406" s="8" t="inlineStr">
        <is>
          <t>100% - OK</t>
        </is>
      </c>
    </row>
    <row r="407" ht="20" customHeight="1">
      <c r="A407" s="7" t="inlineStr">
        <is>
          <t>RSCLER0405</t>
        </is>
      </c>
      <c r="B407" s="8" t="inlineStr">
        <is>
          <t>PORTO ALEGRE</t>
        </is>
      </c>
      <c r="C407" s="7" t="inlineStr">
        <is>
          <t>BVSAB</t>
        </is>
      </c>
      <c r="D407" s="7" t="inlineStr">
        <is>
          <t>BVSALA</t>
        </is>
      </c>
      <c r="E407" s="7" t="inlineStr">
        <is>
          <t>PAE NR</t>
        </is>
      </c>
      <c r="F407" s="8" t="inlineStr">
        <is>
          <t>Cond Resid Manhattan</t>
        </is>
      </c>
      <c r="G407" s="8" t="inlineStr">
        <is>
          <t>R. João Paetzel, 964 - DIRETORIA</t>
        </is>
      </c>
      <c r="H407" s="7" t="inlineStr">
        <is>
          <t>BVSAB.221.M040</t>
        </is>
      </c>
      <c r="I407" s="8" t="inlineStr">
        <is>
          <t>FOI LANÇADO 993 METROS DE CABO DE 12FO, 3 ABERTURA E FECHAMENTO, 6 FUSÃO, 1 CX NOVA, 1 DERIVAÇÃO, 2 TESTE</t>
        </is>
      </c>
      <c r="J407" s="8" t="inlineStr">
        <is>
          <t>GIOVANE</t>
        </is>
      </c>
      <c r="K407" s="8" t="inlineStr">
        <is>
          <t>MARCOS EMILIANO</t>
        </is>
      </c>
      <c r="L407" s="9" t="n">
        <v>45533</v>
      </c>
      <c r="M407" s="9" t="n">
        <v>45538</v>
      </c>
      <c r="N407" s="9" t="n">
        <v>45541</v>
      </c>
      <c r="O407" s="9" t="n">
        <v>45541</v>
      </c>
      <c r="P407" s="7" t="inlineStr">
        <is>
          <t>NÃO PRECISA</t>
        </is>
      </c>
      <c r="Q407" s="9" t="n">
        <v>45545</v>
      </c>
      <c r="R407" s="7" t="inlineStr">
        <is>
          <t>Concluído Campo</t>
        </is>
      </c>
      <c r="S407" s="7" t="inlineStr"/>
      <c r="T407" s="10" t="inlineStr"/>
      <c r="U407" s="7" t="inlineStr"/>
      <c r="V407" s="7" t="inlineStr"/>
      <c r="W407" s="7" t="inlineStr"/>
      <c r="X407" s="7" t="inlineStr">
        <is>
          <t>AG. MEDIÇÃO</t>
        </is>
      </c>
      <c r="Y407" s="11">
        <f>IF(AND(L407&lt;&gt;"", S407&lt;&gt;""), S407-L407, IF(L407&lt;&gt;"", TODAY()-L407, ""))</f>
        <v/>
      </c>
      <c r="Z407" s="7">
        <f>IF(Y407="", "", IF(Y407&lt;=3, "NO PRAZO", "ATRASADO"))</f>
        <v/>
      </c>
      <c r="AA407" s="8" t="inlineStr">
        <is>
          <t>100% - OK</t>
        </is>
      </c>
    </row>
    <row r="408" ht="20" customHeight="1">
      <c r="A408" s="7" t="inlineStr">
        <is>
          <t>RSCLER0406</t>
        </is>
      </c>
      <c r="B408" s="8" t="inlineStr">
        <is>
          <t>PORTO ALEGRE</t>
        </is>
      </c>
      <c r="C408" s="7" t="inlineStr">
        <is>
          <t>MTSAA</t>
        </is>
      </c>
      <c r="D408" s="7" t="inlineStr">
        <is>
          <t>MTSAOB</t>
        </is>
      </c>
      <c r="E408" s="7" t="inlineStr">
        <is>
          <t>PAE BV</t>
        </is>
      </c>
      <c r="F408" s="8" t="inlineStr">
        <is>
          <t>Condomínio Residencial Bellagio</t>
        </is>
      </c>
      <c r="G408" s="8" t="inlineStr">
        <is>
          <t>R. Des. Alves Nogueira, 150 - DIRETORIA</t>
        </is>
      </c>
      <c r="H408" s="7" t="inlineStr">
        <is>
          <t>MTSAA.152.M0100</t>
        </is>
      </c>
      <c r="I408" s="8" t="inlineStr">
        <is>
          <t>FOI LANÇADO 444 METROS DE CABO DE 12FO, 6 ABERTURA E FECHAMENTO,6 FUSÃO, 1 CX NOVA, 1 DERIVAÇÃO, 1 TESTE</t>
        </is>
      </c>
      <c r="J408" s="8" t="inlineStr">
        <is>
          <t>GIOVANE</t>
        </is>
      </c>
      <c r="K408" s="8" t="inlineStr">
        <is>
          <t>ANDERSON</t>
        </is>
      </c>
      <c r="L408" s="9" t="n">
        <v>45533</v>
      </c>
      <c r="M408" s="9" t="n">
        <v>45538</v>
      </c>
      <c r="N408" s="9" t="n">
        <v>45541</v>
      </c>
      <c r="O408" s="9" t="n">
        <v>45540</v>
      </c>
      <c r="P408" s="7" t="inlineStr">
        <is>
          <t>NÃO PRECISA</t>
        </is>
      </c>
      <c r="Q408" s="9" t="n">
        <v>45545</v>
      </c>
      <c r="R408" s="7" t="inlineStr">
        <is>
          <t>Concluído Campo</t>
        </is>
      </c>
      <c r="S408" s="9" t="n">
        <v>45545</v>
      </c>
      <c r="T408" s="10" t="inlineStr"/>
      <c r="U408" s="7" t="inlineStr">
        <is>
          <t>4272203</t>
        </is>
      </c>
      <c r="V408" s="7" t="inlineStr">
        <is>
          <t>FINALIZADO</t>
        </is>
      </c>
      <c r="W408" s="7" t="inlineStr"/>
      <c r="X408" s="7" t="inlineStr">
        <is>
          <t>MEDIÇÃO CONCLUÍDA</t>
        </is>
      </c>
      <c r="Y408" s="11">
        <f>IF(AND(L408&lt;&gt;"", S408&lt;&gt;""), S408-L408, IF(L408&lt;&gt;"", TODAY()-L408, ""))</f>
        <v/>
      </c>
      <c r="Z408" s="7">
        <f>IF(Y408="", "", IF(Y408&lt;=3, "NO PRAZO", "ATRASADO"))</f>
        <v/>
      </c>
      <c r="AA408" s="8" t="inlineStr">
        <is>
          <t>100% - OK</t>
        </is>
      </c>
    </row>
    <row r="409" ht="20" customHeight="1">
      <c r="A409" s="7" t="inlineStr">
        <is>
          <t>RSCLER0407</t>
        </is>
      </c>
      <c r="B409" s="8" t="inlineStr">
        <is>
          <t>PORTO ALEGRE</t>
        </is>
      </c>
      <c r="C409" s="7" t="inlineStr">
        <is>
          <t>RBRAA</t>
        </is>
      </c>
      <c r="D409" s="7" t="inlineStr">
        <is>
          <t>RBRAA</t>
        </is>
      </c>
      <c r="E409" s="7" t="inlineStr">
        <is>
          <t>RSPLE08</t>
        </is>
      </c>
      <c r="F409" s="8" t="inlineStr">
        <is>
          <t>DIRETORIA</t>
        </is>
      </c>
      <c r="G409" s="8" t="inlineStr">
        <is>
          <t>Rua Eça de Queiroz, 194 - DIRETORIA</t>
        </is>
      </c>
      <c r="H409" s="7" t="inlineStr">
        <is>
          <t>RBRAA.093.M010</t>
        </is>
      </c>
      <c r="I409" s="8" t="inlineStr">
        <is>
          <t>FOI LANÇADO 195 METROS DE CABO DE 12FO, 7 ABERTURA E FECHAMENTO, 1 CX NOVA, 1 DERIVAÇÃO, 7 FUSÃO, 1 TESTE</t>
        </is>
      </c>
      <c r="J409" s="8" t="inlineStr">
        <is>
          <t>THIAGO LAMBRETA</t>
        </is>
      </c>
      <c r="K409" s="8" t="inlineStr">
        <is>
          <t>MARCOS EMILIANO</t>
        </is>
      </c>
      <c r="L409" s="9" t="n">
        <v>45533</v>
      </c>
      <c r="M409" s="9" t="n">
        <v>45537</v>
      </c>
      <c r="N409" s="9" t="n">
        <v>45540</v>
      </c>
      <c r="O409" s="9" t="n">
        <v>45544</v>
      </c>
      <c r="P409" s="7" t="inlineStr">
        <is>
          <t>NÃO PRECISA</t>
        </is>
      </c>
      <c r="Q409" s="9" t="n">
        <v>45555</v>
      </c>
      <c r="R409" s="7" t="inlineStr">
        <is>
          <t>Concluído Campo</t>
        </is>
      </c>
      <c r="S409" s="9" t="n">
        <v>45540</v>
      </c>
      <c r="T409" s="10" t="inlineStr"/>
      <c r="U409" s="7" t="inlineStr">
        <is>
          <t>4272183</t>
        </is>
      </c>
      <c r="V409" s="7" t="inlineStr">
        <is>
          <t>FINALIZADO</t>
        </is>
      </c>
      <c r="W409" s="7" t="inlineStr"/>
      <c r="X409" s="7" t="inlineStr">
        <is>
          <t>MEDIÇÃO CONCLUÍDA</t>
        </is>
      </c>
      <c r="Y409" s="11">
        <f>IF(AND(L409&lt;&gt;"", S409&lt;&gt;""), S409-L409, IF(L409&lt;&gt;"", TODAY()-L409, ""))</f>
        <v/>
      </c>
      <c r="Z409" s="7">
        <f>IF(Y409="", "", IF(Y409&lt;=3, "NO PRAZO", "ATRASADO"))</f>
        <v/>
      </c>
      <c r="AA409" s="8" t="inlineStr">
        <is>
          <t>100% - OK</t>
        </is>
      </c>
    </row>
    <row r="410" ht="20" customHeight="1">
      <c r="A410" s="7" t="inlineStr">
        <is>
          <t>RSCLER0408</t>
        </is>
      </c>
      <c r="B410" s="8" t="inlineStr">
        <is>
          <t>PORTO ALEGRE</t>
        </is>
      </c>
      <c r="C410" s="7" t="inlineStr">
        <is>
          <t>BVSAB</t>
        </is>
      </c>
      <c r="D410" s="7" t="inlineStr">
        <is>
          <t>PETAU</t>
        </is>
      </c>
      <c r="E410" s="7" t="inlineStr">
        <is>
          <t>PAE NR</t>
        </is>
      </c>
      <c r="F410" s="8" t="inlineStr">
        <is>
          <t>DIRETORIA</t>
        </is>
      </c>
      <c r="G410" s="8" t="inlineStr">
        <is>
          <t>Rua Curvelo 100</t>
        </is>
      </c>
      <c r="H410" s="7" t="inlineStr">
        <is>
          <t>BVSAB.081.M070</t>
        </is>
      </c>
      <c r="I410" s="8" t="inlineStr">
        <is>
          <t>FOI LANÇADO 293 METROS DE CABO DE 12FO, 3 ABERTURA E FECHAMENTO, 2 CX NOVA, 2 DERIVAÇÃO, 12 FUSÃO, 6 TESTE</t>
        </is>
      </c>
      <c r="J410" s="8" t="inlineStr">
        <is>
          <t>UBIRATAN</t>
        </is>
      </c>
      <c r="K410" s="8" t="inlineStr">
        <is>
          <t>LUCAS HOBERT</t>
        </is>
      </c>
      <c r="L410" s="9" t="n">
        <v>45533</v>
      </c>
      <c r="M410" s="9" t="n">
        <v>45537</v>
      </c>
      <c r="N410" s="9" t="n">
        <v>45540</v>
      </c>
      <c r="O410" s="9" t="n">
        <v>45544</v>
      </c>
      <c r="P410" s="7" t="inlineStr">
        <is>
          <t>NÃO PRECISA</t>
        </is>
      </c>
      <c r="Q410" s="9" t="n">
        <v>45549</v>
      </c>
      <c r="R410" s="7" t="inlineStr">
        <is>
          <t>Concluído Campo</t>
        </is>
      </c>
      <c r="S410" s="9" t="n">
        <v>45546</v>
      </c>
      <c r="T410" s="10" t="inlineStr"/>
      <c r="U410" s="7" t="inlineStr">
        <is>
          <t>4272183</t>
        </is>
      </c>
      <c r="V410" s="7" t="inlineStr">
        <is>
          <t>FINALIZADO</t>
        </is>
      </c>
      <c r="W410" s="7" t="inlineStr"/>
      <c r="X410" s="7" t="inlineStr">
        <is>
          <t>MEDIÇÃO CONCLUÍDA</t>
        </is>
      </c>
      <c r="Y410" s="11">
        <f>IF(AND(L410&lt;&gt;"", S410&lt;&gt;""), S410-L410, IF(L410&lt;&gt;"", TODAY()-L410, ""))</f>
        <v/>
      </c>
      <c r="Z410" s="7">
        <f>IF(Y410="", "", IF(Y410&lt;=3, "NO PRAZO", "ATRASADO"))</f>
        <v/>
      </c>
      <c r="AA410" s="8" t="inlineStr">
        <is>
          <t>100% - OK</t>
        </is>
      </c>
    </row>
    <row r="411" ht="20" customHeight="1">
      <c r="A411" s="7" t="inlineStr">
        <is>
          <t>RSCLER0409</t>
        </is>
      </c>
      <c r="B411" s="8" t="inlineStr">
        <is>
          <t>PORTO ALEGRE</t>
        </is>
      </c>
      <c r="C411" s="7" t="inlineStr">
        <is>
          <t>BVSAB</t>
        </is>
      </c>
      <c r="D411" s="7" t="inlineStr">
        <is>
          <t>PETAU</t>
        </is>
      </c>
      <c r="E411" s="7" t="inlineStr">
        <is>
          <t>PAE NR</t>
        </is>
      </c>
      <c r="F411" s="8" t="inlineStr">
        <is>
          <t>DIRETORIA</t>
        </is>
      </c>
      <c r="G411" s="8" t="inlineStr">
        <is>
          <t>Rua Curvelo 130, 200</t>
        </is>
      </c>
      <c r="H411" s="7" t="inlineStr">
        <is>
          <t>BVSAB.081.M080</t>
        </is>
      </c>
      <c r="I411" s="8" t="inlineStr">
        <is>
          <t>FOI LANÇADO 263 METROS DE CABO DE 12FO, COBRAR JUNTO COM A RSCLER0404</t>
        </is>
      </c>
      <c r="J411" s="8" t="inlineStr">
        <is>
          <t>UBIRATAN</t>
        </is>
      </c>
      <c r="K411" s="8" t="inlineStr">
        <is>
          <t>LUCAS HOBERT</t>
        </is>
      </c>
      <c r="L411" s="9" t="n">
        <v>45533</v>
      </c>
      <c r="M411" s="9" t="n">
        <v>45537</v>
      </c>
      <c r="N411" s="9" t="n">
        <v>45540</v>
      </c>
      <c r="O411" s="9" t="n">
        <v>45541</v>
      </c>
      <c r="P411" s="7" t="inlineStr">
        <is>
          <t>NÃO PRECISA</t>
        </is>
      </c>
      <c r="Q411" s="9" t="n">
        <v>45549</v>
      </c>
      <c r="R411" s="7" t="inlineStr">
        <is>
          <t>Concluído Campo</t>
        </is>
      </c>
      <c r="S411" s="9" t="n">
        <v>45547</v>
      </c>
      <c r="T411" s="10" t="inlineStr"/>
      <c r="U411" s="7" t="inlineStr">
        <is>
          <t>4272183</t>
        </is>
      </c>
      <c r="V411" s="7" t="inlineStr">
        <is>
          <t>FINALIZADO</t>
        </is>
      </c>
      <c r="W411" s="7" t="inlineStr"/>
      <c r="X411" s="7" t="inlineStr">
        <is>
          <t>MEDIÇÃO CONCLUÍDA</t>
        </is>
      </c>
      <c r="Y411" s="11">
        <f>IF(AND(L411&lt;&gt;"", S411&lt;&gt;""), S411-L411, IF(L411&lt;&gt;"", TODAY()-L411, ""))</f>
        <v/>
      </c>
      <c r="Z411" s="7">
        <f>IF(Y411="", "", IF(Y411&lt;=3, "NO PRAZO", "ATRASADO"))</f>
        <v/>
      </c>
      <c r="AA411" s="8" t="inlineStr">
        <is>
          <t>100% - OK</t>
        </is>
      </c>
    </row>
    <row r="412" ht="20" customHeight="1">
      <c r="A412" s="7" t="inlineStr">
        <is>
          <t>RSCLER0410</t>
        </is>
      </c>
      <c r="B412" s="8" t="inlineStr">
        <is>
          <t>PORTO ALEGRE</t>
        </is>
      </c>
      <c r="C412" s="7" t="inlineStr">
        <is>
          <t>BVSAB</t>
        </is>
      </c>
      <c r="D412" s="7" t="inlineStr">
        <is>
          <t>BVSAHA</t>
        </is>
      </c>
      <c r="E412" s="7" t="inlineStr">
        <is>
          <t>PAE NR</t>
        </is>
      </c>
      <c r="F412" s="8" t="inlineStr">
        <is>
          <t>Condomínio Palladio</t>
        </is>
      </c>
      <c r="G412" s="8" t="inlineStr">
        <is>
          <t>Av. Luiz Manoel Gonzaga, 58 - DIRETORIA</t>
        </is>
      </c>
      <c r="H412" s="7" t="inlineStr">
        <is>
          <t>BVSAB.033.M060</t>
        </is>
      </c>
      <c r="I412" s="8" t="inlineStr">
        <is>
          <t>FOI LANÇADO 542 METROS DE CABO DE 12FO, 5 ABERTURA E FECHAMENTO, 3 DERIVAÇÃO, 1 CX NOVA, 12 FUSÃO,</t>
        </is>
      </c>
      <c r="J412" s="8" t="inlineStr">
        <is>
          <t>THIAGO LAMBRETA</t>
        </is>
      </c>
      <c r="K412" s="8" t="inlineStr">
        <is>
          <t>ALANO</t>
        </is>
      </c>
      <c r="L412" s="9" t="n">
        <v>45533</v>
      </c>
      <c r="M412" s="9" t="n">
        <v>45542</v>
      </c>
      <c r="N412" s="9" t="n">
        <v>45541</v>
      </c>
      <c r="O412" s="9" t="n">
        <v>45545</v>
      </c>
      <c r="P412" s="7" t="inlineStr">
        <is>
          <t>NÃO PRECISA</t>
        </is>
      </c>
      <c r="Q412" s="9" t="n">
        <v>45555</v>
      </c>
      <c r="R412" s="7" t="inlineStr">
        <is>
          <t>Concluído Campo</t>
        </is>
      </c>
      <c r="S412" s="9" t="n">
        <v>45545</v>
      </c>
      <c r="T412" s="10" t="inlineStr"/>
      <c r="U412" s="7" t="inlineStr">
        <is>
          <t>4272183</t>
        </is>
      </c>
      <c r="V412" s="7" t="inlineStr">
        <is>
          <t>FINALIZADO</t>
        </is>
      </c>
      <c r="W412" s="7" t="inlineStr"/>
      <c r="X412" s="7" t="inlineStr">
        <is>
          <t>MEDIÇÃO CONCLUÍDA</t>
        </is>
      </c>
      <c r="Y412" s="11">
        <f>IF(AND(L412&lt;&gt;"", S412&lt;&gt;""), S412-L412, IF(L412&lt;&gt;"", TODAY()-L412, ""))</f>
        <v/>
      </c>
      <c r="Z412" s="7">
        <f>IF(Y412="", "", IF(Y412&lt;=3, "NO PRAZO", "ATRASADO"))</f>
        <v/>
      </c>
      <c r="AA412" s="8" t="inlineStr">
        <is>
          <t>100% - OK</t>
        </is>
      </c>
    </row>
    <row r="413" ht="20" customHeight="1">
      <c r="A413" s="7" t="inlineStr">
        <is>
          <t>RSCLER0411</t>
        </is>
      </c>
      <c r="B413" s="8" t="inlineStr">
        <is>
          <t>PORTO ALEGRE</t>
        </is>
      </c>
      <c r="C413" s="7" t="inlineStr">
        <is>
          <t>MNDAA</t>
        </is>
      </c>
      <c r="D413" s="7" t="inlineStr">
        <is>
          <t>MNDAS</t>
        </is>
      </c>
      <c r="E413" s="7" t="inlineStr">
        <is>
          <t>PAE MAD</t>
        </is>
      </c>
      <c r="F413" s="8" t="inlineStr">
        <is>
          <t>Cond Ed Liberty Plaza</t>
        </is>
      </c>
      <c r="G413" s="8" t="inlineStr">
        <is>
          <t>R. Visc. do Herval, 850 - DIRETORIA</t>
        </is>
      </c>
      <c r="H413" s="7" t="inlineStr">
        <is>
          <t>MNDAA.131.M030</t>
        </is>
      </c>
      <c r="I413" s="8" t="inlineStr">
        <is>
          <t>7 ABERTURA E FECHAMENTO, 6 FUSÃO, 1 TESTE</t>
        </is>
      </c>
      <c r="J413" s="8" t="inlineStr"/>
      <c r="K413" s="8" t="inlineStr">
        <is>
          <t>ANDERSON</t>
        </is>
      </c>
      <c r="L413" s="9" t="n">
        <v>45538</v>
      </c>
      <c r="M413" s="9" t="n">
        <v>45540</v>
      </c>
      <c r="N413" s="9" t="n">
        <v>45540</v>
      </c>
      <c r="O413" s="9" t="n">
        <v>45540</v>
      </c>
      <c r="P413" s="7" t="inlineStr">
        <is>
          <t>NÃO PRECISA</t>
        </is>
      </c>
      <c r="Q413" s="9" t="n">
        <v>45545</v>
      </c>
      <c r="R413" s="7" t="inlineStr">
        <is>
          <t>Concluído Campo</t>
        </is>
      </c>
      <c r="S413" s="9" t="n">
        <v>45546</v>
      </c>
      <c r="T413" s="10" t="inlineStr"/>
      <c r="U413" s="7" t="inlineStr">
        <is>
          <t>4272183</t>
        </is>
      </c>
      <c r="V413" s="7" t="inlineStr">
        <is>
          <t>FINALIZADO</t>
        </is>
      </c>
      <c r="W413" s="7" t="inlineStr"/>
      <c r="X413" s="7" t="inlineStr">
        <is>
          <t>MEDIÇÃO CONCLUÍDA</t>
        </is>
      </c>
      <c r="Y413" s="11">
        <f>IF(AND(L413&lt;&gt;"", S413&lt;&gt;""), S413-L413, IF(L413&lt;&gt;"", TODAY()-L413, ""))</f>
        <v/>
      </c>
      <c r="Z413" s="7">
        <f>IF(Y413="", "", IF(Y413&lt;=3, "NO PRAZO", "ATRASADO"))</f>
        <v/>
      </c>
      <c r="AA413" s="8" t="inlineStr">
        <is>
          <t>100% - OK</t>
        </is>
      </c>
    </row>
    <row r="414" ht="20" customHeight="1">
      <c r="A414" s="7" t="inlineStr">
        <is>
          <t>RSCLER0412</t>
        </is>
      </c>
      <c r="B414" s="8" t="inlineStr">
        <is>
          <t>PORTO ALEGRE</t>
        </is>
      </c>
      <c r="C414" s="7" t="inlineStr">
        <is>
          <t>MNDAA</t>
        </is>
      </c>
      <c r="D414" s="7" t="inlineStr">
        <is>
          <t>MNDAQB</t>
        </is>
      </c>
      <c r="E414" s="7" t="inlineStr">
        <is>
          <t>PAE MAD</t>
        </is>
      </c>
      <c r="F414" s="8" t="inlineStr">
        <is>
          <t>Edf Quality</t>
        </is>
      </c>
      <c r="G414" s="8" t="inlineStr">
        <is>
          <t>R. Gonçalves Dias 1075 - DIRETORIA</t>
        </is>
      </c>
      <c r="H414" s="7" t="inlineStr">
        <is>
          <t>MNDAA.141.M060</t>
        </is>
      </c>
      <c r="I414" s="8" t="inlineStr">
        <is>
          <t>FOI LANÇADO 350 METROS DE CABO DE 12FO, 8 ABERTURA E FECHAMENTO, 7 FUSÃO, 1 DERIVAÇÃO, 1 CX NOVA, 1 TESTE</t>
        </is>
      </c>
      <c r="J414" s="8" t="inlineStr">
        <is>
          <t>UBIRATAN</t>
        </is>
      </c>
      <c r="K414" s="8" t="inlineStr">
        <is>
          <t>ANDERSON</t>
        </is>
      </c>
      <c r="L414" s="9" t="n">
        <v>45538</v>
      </c>
      <c r="M414" s="9" t="n">
        <v>45542</v>
      </c>
      <c r="N414" s="9" t="n">
        <v>45542</v>
      </c>
      <c r="O414" s="9" t="n">
        <v>45546</v>
      </c>
      <c r="P414" s="7" t="inlineStr">
        <is>
          <t>NÃO PRECISA</t>
        </is>
      </c>
      <c r="Q414" s="9" t="n">
        <v>45549</v>
      </c>
      <c r="R414" s="7" t="inlineStr">
        <is>
          <t>Concluído Campo</t>
        </is>
      </c>
      <c r="S414" s="9" t="n">
        <v>45546</v>
      </c>
      <c r="T414" s="10" t="inlineStr"/>
      <c r="U414" s="7" t="inlineStr">
        <is>
          <t>4272183</t>
        </is>
      </c>
      <c r="V414" s="7" t="inlineStr">
        <is>
          <t>FINALIZADO</t>
        </is>
      </c>
      <c r="W414" s="7" t="inlineStr"/>
      <c r="X414" s="7" t="inlineStr">
        <is>
          <t>MEDIÇÃO CONCLUÍDA</t>
        </is>
      </c>
      <c r="Y414" s="11">
        <f>IF(AND(L414&lt;&gt;"", S414&lt;&gt;""), S414-L414, IF(L414&lt;&gt;"", TODAY()-L414, ""))</f>
        <v/>
      </c>
      <c r="Z414" s="7">
        <f>IF(Y414="", "", IF(Y414&lt;=3, "NO PRAZO", "ATRASADO"))</f>
        <v/>
      </c>
      <c r="AA414" s="8" t="inlineStr">
        <is>
          <t>100% - OK</t>
        </is>
      </c>
    </row>
    <row r="415" ht="20" customHeight="1">
      <c r="A415" s="7" t="inlineStr">
        <is>
          <t>RSCLER0413</t>
        </is>
      </c>
      <c r="B415" s="8" t="inlineStr">
        <is>
          <t>PORTO ALEGRE</t>
        </is>
      </c>
      <c r="C415" s="7" t="inlineStr">
        <is>
          <t>BVSAB</t>
        </is>
      </c>
      <c r="D415" s="7" t="inlineStr">
        <is>
          <t>BVSALA</t>
        </is>
      </c>
      <c r="E415" s="7" t="inlineStr">
        <is>
          <t>PAE NR</t>
        </is>
      </c>
      <c r="F415" s="8" t="inlineStr">
        <is>
          <t>Cond Las Piedras</t>
        </is>
      </c>
      <c r="G415" s="8" t="inlineStr">
        <is>
          <t>R. Ana Maltz Knijnik, 101 - DIRETORIA</t>
        </is>
      </c>
      <c r="H415" s="7" t="inlineStr">
        <is>
          <t>BVSAB.221.M050</t>
        </is>
      </c>
      <c r="I415" s="8" t="inlineStr">
        <is>
          <t>FOI LANÇADO 734 METROS DE CABO DE 12FO, 2 ABERTURA E FECHAMENTO, 1 CX NOVA, 1 DERIVAÇÃO, 6 FUSÃO,3 TESTE</t>
        </is>
      </c>
      <c r="J415" s="8" t="inlineStr">
        <is>
          <t>GIOVANE</t>
        </is>
      </c>
      <c r="K415" s="8" t="inlineStr">
        <is>
          <t>MARCOS EMILIANO</t>
        </is>
      </c>
      <c r="L415" s="9" t="n">
        <v>45538</v>
      </c>
      <c r="M415" s="9" t="n">
        <v>45541</v>
      </c>
      <c r="N415" s="9" t="n">
        <v>45546</v>
      </c>
      <c r="O415" s="9" t="n">
        <v>45547</v>
      </c>
      <c r="P415" s="7" t="inlineStr">
        <is>
          <t>NÃO PRECISA</t>
        </is>
      </c>
      <c r="Q415" s="9" t="n">
        <v>45549</v>
      </c>
      <c r="R415" s="7" t="inlineStr">
        <is>
          <t>Concluído Campo</t>
        </is>
      </c>
      <c r="S415" s="9" t="n">
        <v>45552</v>
      </c>
      <c r="T415" s="10" t="inlineStr"/>
      <c r="U415" s="7" t="inlineStr">
        <is>
          <t>4272203</t>
        </is>
      </c>
      <c r="V415" s="7" t="inlineStr">
        <is>
          <t>FINALIZADO</t>
        </is>
      </c>
      <c r="W415" s="7" t="inlineStr"/>
      <c r="X415" s="7" t="inlineStr">
        <is>
          <t>MEDIÇÃO CONCLUÍDA</t>
        </is>
      </c>
      <c r="Y415" s="11">
        <f>IF(AND(L415&lt;&gt;"", S415&lt;&gt;""), S415-L415, IF(L415&lt;&gt;"", TODAY()-L415, ""))</f>
        <v/>
      </c>
      <c r="Z415" s="7">
        <f>IF(Y415="", "", IF(Y415&lt;=3, "NO PRAZO", "ATRASADO"))</f>
        <v/>
      </c>
      <c r="AA415" s="8" t="inlineStr">
        <is>
          <t>100% - OK</t>
        </is>
      </c>
    </row>
    <row r="416" ht="20" customHeight="1">
      <c r="A416" s="7" t="inlineStr">
        <is>
          <t>RSCLER0414</t>
        </is>
      </c>
      <c r="B416" s="8" t="inlineStr">
        <is>
          <t>PORTO ALEGRE</t>
        </is>
      </c>
      <c r="C416" s="7" t="inlineStr">
        <is>
          <t>RBRAA</t>
        </is>
      </c>
      <c r="D416" s="7" t="inlineStr">
        <is>
          <t>RBRAGA</t>
        </is>
      </c>
      <c r="E416" s="7" t="inlineStr">
        <is>
          <t>RSPLE08</t>
        </is>
      </c>
      <c r="F416" s="8" t="inlineStr">
        <is>
          <t>Cond Ed Cinco Estrelas</t>
        </is>
      </c>
      <c r="G416" s="8" t="inlineStr">
        <is>
          <t>Rua Fernandes Vieira, 634 - DIRETORIA</t>
        </is>
      </c>
      <c r="H416" s="7" t="inlineStr">
        <is>
          <t>RBRAA.017.M050</t>
        </is>
      </c>
      <c r="I416" s="8" t="inlineStr">
        <is>
          <t>FOI LANÇADO 565 METROS DE CABO DE 12FO, 3 ABERTURA E FECHAMENTO, 7 FUSÃO, 1 DERIVAÇÃO,1 CX NOVA, 3 TESTE</t>
        </is>
      </c>
      <c r="J416" s="8" t="inlineStr">
        <is>
          <t>TIAGO FERREIRA</t>
        </is>
      </c>
      <c r="K416" s="8" t="inlineStr">
        <is>
          <t>ANDERSON</t>
        </is>
      </c>
      <c r="L416" s="9" t="n">
        <v>45538</v>
      </c>
      <c r="M416" s="9" t="n">
        <v>45542</v>
      </c>
      <c r="N416" s="9" t="n">
        <v>45546</v>
      </c>
      <c r="O416" s="9" t="n">
        <v>45545</v>
      </c>
      <c r="P416" s="7" t="inlineStr">
        <is>
          <t>NÃO PRECISA</t>
        </is>
      </c>
      <c r="Q416" s="9" t="n">
        <v>45549</v>
      </c>
      <c r="R416" s="7" t="inlineStr">
        <is>
          <t>Concluído Campo</t>
        </is>
      </c>
      <c r="S416" s="7" t="inlineStr"/>
      <c r="T416" s="10" t="inlineStr"/>
      <c r="U416" s="7" t="inlineStr"/>
      <c r="V416" s="7" t="inlineStr"/>
      <c r="W416" s="7" t="inlineStr"/>
      <c r="X416" s="7" t="inlineStr">
        <is>
          <t>AG. MEDIÇÃO</t>
        </is>
      </c>
      <c r="Y416" s="11">
        <f>IF(AND(L416&lt;&gt;"", S416&lt;&gt;""), S416-L416, IF(L416&lt;&gt;"", TODAY()-L416, ""))</f>
        <v/>
      </c>
      <c r="Z416" s="7">
        <f>IF(Y416="", "", IF(Y416&lt;=3, "NO PRAZO", "ATRASADO"))</f>
        <v/>
      </c>
      <c r="AA416" s="8" t="inlineStr">
        <is>
          <t>100% - OK</t>
        </is>
      </c>
    </row>
    <row r="417" ht="20" customHeight="1">
      <c r="A417" s="7" t="inlineStr">
        <is>
          <t>RSCLER0415</t>
        </is>
      </c>
      <c r="B417" s="8" t="inlineStr">
        <is>
          <t>PORTO ALEGRE</t>
        </is>
      </c>
      <c r="C417" s="7" t="inlineStr">
        <is>
          <t>VIPAA</t>
        </is>
      </c>
      <c r="D417" s="7" t="inlineStr">
        <is>
          <t>VIPAJ</t>
        </is>
      </c>
      <c r="E417" s="7" t="inlineStr">
        <is>
          <t>RSPNO19</t>
        </is>
      </c>
      <c r="F417" s="8" t="inlineStr">
        <is>
          <t>Cond Edificio Ponaim</t>
        </is>
      </c>
      <c r="G417" s="8" t="inlineStr">
        <is>
          <t>R. Bogotá, 22 - DIRETORIA</t>
        </is>
      </c>
      <c r="H417" s="7" t="inlineStr">
        <is>
          <t>VIPAA.002.M050</t>
        </is>
      </c>
      <c r="I417" s="8" t="inlineStr">
        <is>
          <t>FOI LANÇADO 160 METROS DE CABO DE 12FO, 4 ABERTURA E FECHAMENTO, 1 CX NOVA, 1 DERIVAÇÃO, 17 FUSÃO, 5 TESTE</t>
        </is>
      </c>
      <c r="J417" s="8" t="inlineStr">
        <is>
          <t>GIOVANE</t>
        </is>
      </c>
      <c r="K417" s="8" t="inlineStr">
        <is>
          <t>LUCAS HOBERT</t>
        </is>
      </c>
      <c r="L417" s="9" t="n">
        <v>45541</v>
      </c>
      <c r="M417" s="9" t="n">
        <v>45545</v>
      </c>
      <c r="N417" s="9" t="n">
        <v>45547</v>
      </c>
      <c r="O417" s="9" t="n">
        <v>45546</v>
      </c>
      <c r="P417" s="7" t="inlineStr">
        <is>
          <t>NÃO PRECISA</t>
        </is>
      </c>
      <c r="Q417" s="9" t="n">
        <v>45549</v>
      </c>
      <c r="R417" s="7" t="inlineStr">
        <is>
          <t>Concluído Campo</t>
        </is>
      </c>
      <c r="S417" s="9" t="n">
        <v>45553</v>
      </c>
      <c r="T417" s="10" t="inlineStr"/>
      <c r="U417" s="7" t="inlineStr">
        <is>
          <t>4272203</t>
        </is>
      </c>
      <c r="V417" s="7" t="inlineStr">
        <is>
          <t>FINALIZADO</t>
        </is>
      </c>
      <c r="W417" s="7" t="inlineStr"/>
      <c r="X417" s="7" t="inlineStr">
        <is>
          <t>MEDIÇÃO CONCLUÍDA</t>
        </is>
      </c>
      <c r="Y417" s="11">
        <f>IF(AND(L417&lt;&gt;"", S417&lt;&gt;""), S417-L417, IF(L417&lt;&gt;"", TODAY()-L417, ""))</f>
        <v/>
      </c>
      <c r="Z417" s="7">
        <f>IF(Y417="", "", IF(Y417&lt;=3, "NO PRAZO", "ATRASADO"))</f>
        <v/>
      </c>
      <c r="AA417" s="8" t="inlineStr">
        <is>
          <t>100% - OK</t>
        </is>
      </c>
    </row>
    <row r="418" ht="20" customHeight="1">
      <c r="A418" s="7" t="inlineStr">
        <is>
          <t>RSCLER0416</t>
        </is>
      </c>
      <c r="B418" s="8" t="inlineStr">
        <is>
          <t>PORTO ALEGRE</t>
        </is>
      </c>
      <c r="C418" s="7" t="inlineStr">
        <is>
          <t>SANAB</t>
        </is>
      </c>
      <c r="D418" s="7" t="inlineStr">
        <is>
          <t>PRTAB</t>
        </is>
      </c>
      <c r="E418" s="7" t="inlineStr">
        <is>
          <t>RSPCE27</t>
        </is>
      </c>
      <c r="F418" s="8" t="inlineStr">
        <is>
          <t>Cond Ed Solar Firenze</t>
        </is>
      </c>
      <c r="G418" s="8" t="inlineStr">
        <is>
          <t>R. São Manoel, 2022 - DIRETORIA</t>
        </is>
      </c>
      <c r="H418" s="7" t="inlineStr">
        <is>
          <t>SANAB.012.M050</t>
        </is>
      </c>
      <c r="I418" s="8" t="inlineStr">
        <is>
          <t>4 ABERTURA E FECHAMENTO, 7 FUSÃO, 4 TESTE</t>
        </is>
      </c>
      <c r="J418" s="8" t="inlineStr"/>
      <c r="K418" s="8" t="inlineStr">
        <is>
          <t>MARCOS EMILIANO</t>
        </is>
      </c>
      <c r="L418" s="9" t="n">
        <v>45541</v>
      </c>
      <c r="M418" s="9" t="n">
        <v>45544</v>
      </c>
      <c r="N418" s="9" t="n">
        <v>45547</v>
      </c>
      <c r="O418" s="9" t="n">
        <v>45546</v>
      </c>
      <c r="P418" s="7" t="inlineStr">
        <is>
          <t>NÃO PRECISA</t>
        </is>
      </c>
      <c r="Q418" s="9" t="n">
        <v>45549</v>
      </c>
      <c r="R418" s="7" t="inlineStr">
        <is>
          <t>Concluído Campo</t>
        </is>
      </c>
      <c r="S418" s="9" t="n">
        <v>45548</v>
      </c>
      <c r="T418" s="10" t="inlineStr"/>
      <c r="U418" s="7" t="inlineStr">
        <is>
          <t>4272183</t>
        </is>
      </c>
      <c r="V418" s="7" t="inlineStr">
        <is>
          <t>FINALIZADO</t>
        </is>
      </c>
      <c r="W418" s="7" t="inlineStr"/>
      <c r="X418" s="7" t="inlineStr">
        <is>
          <t>MEDIÇÃO CONCLUÍDA</t>
        </is>
      </c>
      <c r="Y418" s="11">
        <f>IF(AND(L418&lt;&gt;"", S418&lt;&gt;""), S418-L418, IF(L418&lt;&gt;"", TODAY()-L418, ""))</f>
        <v/>
      </c>
      <c r="Z418" s="7">
        <f>IF(Y418="", "", IF(Y418&lt;=3, "NO PRAZO", "ATRASADO"))</f>
        <v/>
      </c>
      <c r="AA418" s="8" t="inlineStr">
        <is>
          <t>100% - OK</t>
        </is>
      </c>
    </row>
    <row r="419" ht="20" customHeight="1">
      <c r="A419" s="7" t="inlineStr">
        <is>
          <t>RSCLER0417</t>
        </is>
      </c>
      <c r="B419" s="8" t="inlineStr">
        <is>
          <t>PORTO ALEGRE</t>
        </is>
      </c>
      <c r="C419" s="7" t="inlineStr">
        <is>
          <t>FLOAA</t>
        </is>
      </c>
      <c r="D419" s="7" t="inlineStr"/>
      <c r="E419" s="7" t="inlineStr">
        <is>
          <t>RSPNO11</t>
        </is>
      </c>
      <c r="F419" s="8" t="inlineStr">
        <is>
          <t>Cond Ed Trocadero</t>
        </is>
      </c>
      <c r="G419" s="8" t="inlineStr">
        <is>
          <t>R. Hilário Ribeiro, 354 - DIRETORIA</t>
        </is>
      </c>
      <c r="H419" s="7" t="inlineStr">
        <is>
          <t>FLOAA.112.M040</t>
        </is>
      </c>
      <c r="I419" s="8" t="inlineStr">
        <is>
          <t>FOI LANÇADO 532 METROS DE CABO DE 12FO, 4 ABERTURA E FECHAMENTO, 4 DERIVAÇÃO, 1 CX NOVA, 8 FUSÃO, 2 TESTE</t>
        </is>
      </c>
      <c r="J419" s="8" t="inlineStr">
        <is>
          <t>UBIRATAN / VICTOR / LAMBRETA</t>
        </is>
      </c>
      <c r="K419" s="8" t="inlineStr">
        <is>
          <t>MARCOS EMILIANO</t>
        </is>
      </c>
      <c r="L419" s="9" t="n">
        <v>45541</v>
      </c>
      <c r="M419" s="9" t="n">
        <v>45544</v>
      </c>
      <c r="N419" s="9" t="n">
        <v>45547</v>
      </c>
      <c r="O419" s="9" t="n">
        <v>45552</v>
      </c>
      <c r="P419" s="7" t="inlineStr">
        <is>
          <t>NÃO PRECISA</t>
        </is>
      </c>
      <c r="Q419" s="9" t="n">
        <v>45555</v>
      </c>
      <c r="R419" s="7" t="inlineStr">
        <is>
          <t>Concluído Campo</t>
        </is>
      </c>
      <c r="S419" s="9" t="n">
        <v>45554</v>
      </c>
      <c r="T419" s="10" t="inlineStr"/>
      <c r="U419" s="7" t="inlineStr">
        <is>
          <t>4272203</t>
        </is>
      </c>
      <c r="V419" s="7" t="inlineStr">
        <is>
          <t>FINALIZADO</t>
        </is>
      </c>
      <c r="W419" s="7" t="inlineStr"/>
      <c r="X419" s="7" t="inlineStr">
        <is>
          <t>MEDIÇÃO CONCLUÍDA</t>
        </is>
      </c>
      <c r="Y419" s="11">
        <f>IF(AND(L419&lt;&gt;"", S419&lt;&gt;""), S419-L419, IF(L419&lt;&gt;"", TODAY()-L419, ""))</f>
        <v/>
      </c>
      <c r="Z419" s="7">
        <f>IF(Y419="", "", IF(Y419&lt;=3, "NO PRAZO", "ATRASADO"))</f>
        <v/>
      </c>
      <c r="AA419" s="8" t="inlineStr">
        <is>
          <t>100% - OK</t>
        </is>
      </c>
    </row>
    <row r="420" ht="20" customHeight="1">
      <c r="A420" s="7" t="inlineStr">
        <is>
          <t>RSCLER0418</t>
        </is>
      </c>
      <c r="B420" s="8" t="inlineStr">
        <is>
          <t>PORTO ALEGRE</t>
        </is>
      </c>
      <c r="C420" s="7" t="inlineStr">
        <is>
          <t>BVSAB</t>
        </is>
      </c>
      <c r="D420" s="7" t="inlineStr">
        <is>
          <t>BVSALA</t>
        </is>
      </c>
      <c r="E420" s="7" t="inlineStr">
        <is>
          <t>PAE NR</t>
        </is>
      </c>
      <c r="F420" s="8" t="inlineStr">
        <is>
          <t>São Marcos Cond Res</t>
        </is>
      </c>
      <c r="G420" s="8" t="inlineStr">
        <is>
          <t>R. São Marcos, 210 - DIRETORIA</t>
        </is>
      </c>
      <c r="H420" s="7" t="inlineStr">
        <is>
          <t>BVSAB.223.M040.</t>
        </is>
      </c>
      <c r="I420" s="8" t="inlineStr">
        <is>
          <t>COBRAR JUNTO COM A OS RSCLER0400</t>
        </is>
      </c>
      <c r="J420" s="8" t="inlineStr"/>
      <c r="K420" s="8" t="inlineStr">
        <is>
          <t>ALANO</t>
        </is>
      </c>
      <c r="L420" s="9" t="n">
        <v>45541</v>
      </c>
      <c r="M420" s="9" t="n">
        <v>45544</v>
      </c>
      <c r="N420" s="9" t="n">
        <v>45547</v>
      </c>
      <c r="O420" s="9" t="n">
        <v>45546</v>
      </c>
      <c r="P420" s="7" t="inlineStr">
        <is>
          <t>NÃO PRECISA</t>
        </is>
      </c>
      <c r="Q420" s="9" t="n">
        <v>45549</v>
      </c>
      <c r="R420" s="7" t="inlineStr">
        <is>
          <t>Concluído Campo</t>
        </is>
      </c>
      <c r="S420" s="9" t="n">
        <v>45547</v>
      </c>
      <c r="T420" s="10" t="inlineStr"/>
      <c r="U420" s="7" t="inlineStr">
        <is>
          <t>4272183</t>
        </is>
      </c>
      <c r="V420" s="7" t="inlineStr">
        <is>
          <t>FINALIZADO</t>
        </is>
      </c>
      <c r="W420" s="7" t="inlineStr"/>
      <c r="X420" s="7" t="inlineStr">
        <is>
          <t>MEDIÇÃO CONCLUÍDA</t>
        </is>
      </c>
      <c r="Y420" s="11">
        <f>IF(AND(L420&lt;&gt;"", S420&lt;&gt;""), S420-L420, IF(L420&lt;&gt;"", TODAY()-L420, ""))</f>
        <v/>
      </c>
      <c r="Z420" s="7">
        <f>IF(Y420="", "", IF(Y420&lt;=3, "NO PRAZO", "ATRASADO"))</f>
        <v/>
      </c>
      <c r="AA420" s="8" t="inlineStr">
        <is>
          <t>100% - OK</t>
        </is>
      </c>
    </row>
    <row r="421" ht="20" customHeight="1">
      <c r="A421" s="7" t="inlineStr">
        <is>
          <t>RSCLER0419</t>
        </is>
      </c>
      <c r="B421" s="8" t="inlineStr">
        <is>
          <t>PORTO ALEGRE</t>
        </is>
      </c>
      <c r="C421" s="7" t="inlineStr">
        <is>
          <t>VNVAA</t>
        </is>
      </c>
      <c r="D421" s="7" t="inlineStr"/>
      <c r="E421" s="7" t="inlineStr">
        <is>
          <t>RSPSU13</t>
        </is>
      </c>
      <c r="F421" s="8" t="inlineStr">
        <is>
          <t>Cond Village Center Zona Sul</t>
        </is>
      </c>
      <c r="G421" s="8" t="inlineStr">
        <is>
          <t>Av. da Cavalhada, 4760 - DIRETORIA</t>
        </is>
      </c>
      <c r="H421" s="7" t="inlineStr">
        <is>
          <t>VNVAA.131.M040 / VNVAA.131.M060</t>
        </is>
      </c>
      <c r="I421" s="8" t="inlineStr">
        <is>
          <t>FOI LANÇADO 400 METROS DE CABO DE 12FO E 490 METROS DE CABO DE 24FO, FOI LANÇADO 461 DE CABO DE 36FO, 6 ABERTURA E FECHAMENTO, 2 DERIVAÇÃO, 55 FUSÃO, 5 CX NOVA, 8 TESTE</t>
        </is>
      </c>
      <c r="J421" s="8" t="inlineStr">
        <is>
          <t>TIAGO FERREIRA / UBIRATAN</t>
        </is>
      </c>
      <c r="K421" s="8" t="inlineStr">
        <is>
          <t>ALANO</t>
        </is>
      </c>
      <c r="L421" s="9" t="n">
        <v>45541</v>
      </c>
      <c r="M421" s="9" t="n">
        <v>45544</v>
      </c>
      <c r="N421" s="9" t="n">
        <v>45547</v>
      </c>
      <c r="O421" s="9" t="n">
        <v>45553</v>
      </c>
      <c r="P421" s="7" t="inlineStr">
        <is>
          <t>NÃO PRECISA</t>
        </is>
      </c>
      <c r="Q421" s="9" t="n">
        <v>45555</v>
      </c>
      <c r="R421" s="7" t="inlineStr">
        <is>
          <t>Concluído Campo</t>
        </is>
      </c>
      <c r="S421" s="9" t="n">
        <v>45547</v>
      </c>
      <c r="T421" s="10" t="inlineStr"/>
      <c r="U421" s="7" t="inlineStr">
        <is>
          <t>4272183</t>
        </is>
      </c>
      <c r="V421" s="7" t="inlineStr">
        <is>
          <t>FINALIZADO</t>
        </is>
      </c>
      <c r="W421" s="7" t="inlineStr"/>
      <c r="X421" s="7" t="inlineStr">
        <is>
          <t>MEDIÇÃO CONCLUÍDA</t>
        </is>
      </c>
      <c r="Y421" s="11">
        <f>IF(AND(L421&lt;&gt;"", S421&lt;&gt;""), S421-L421, IF(L421&lt;&gt;"", TODAY()-L421, ""))</f>
        <v/>
      </c>
      <c r="Z421" s="7">
        <f>IF(Y421="", "", IF(Y421&lt;=3, "NO PRAZO", "ATRASADO"))</f>
        <v/>
      </c>
      <c r="AA421" s="8" t="inlineStr">
        <is>
          <t>100% - OK</t>
        </is>
      </c>
    </row>
    <row r="422" ht="20" customHeight="1">
      <c r="A422" s="7" t="inlineStr">
        <is>
          <t>RSCLER0420</t>
        </is>
      </c>
      <c r="B422" s="8" t="inlineStr">
        <is>
          <t>PORTO ALEGRE</t>
        </is>
      </c>
      <c r="C422" s="7" t="inlineStr">
        <is>
          <t>VJDAB</t>
        </is>
      </c>
      <c r="D422" s="7" t="inlineStr">
        <is>
          <t>VJDAH</t>
        </is>
      </c>
      <c r="E422" s="7" t="inlineStr">
        <is>
          <t>RSPNO21</t>
        </is>
      </c>
      <c r="F422" s="8" t="inlineStr">
        <is>
          <t>Condomínio Villa Brindisi</t>
        </is>
      </c>
      <c r="G422" s="8" t="inlineStr">
        <is>
          <t>Rua Manoel Lopes Meirelles, 287 - DIRETORIA</t>
        </is>
      </c>
      <c r="H422" s="7" t="inlineStr">
        <is>
          <t>VJDAB.111.M050</t>
        </is>
      </c>
      <c r="I422" s="8" t="inlineStr">
        <is>
          <t>FOI LANÇADO 203 METROS DE CABO DE 12FO, 2 ABERTURA E FECHAMENTO, 1 CX NOVA, 1 DERIVAÇÃO, 9 FUSÃO, 4 TESTE</t>
        </is>
      </c>
      <c r="J422" s="8" t="inlineStr">
        <is>
          <t>GIOVANE</t>
        </is>
      </c>
      <c r="K422" s="8" t="inlineStr">
        <is>
          <t>ANDERSON/ LUCAS HOBERT</t>
        </is>
      </c>
      <c r="L422" s="9" t="n">
        <v>45541</v>
      </c>
      <c r="M422" s="9" t="n">
        <v>45544</v>
      </c>
      <c r="N422" s="9" t="n">
        <v>45547</v>
      </c>
      <c r="O422" s="9" t="n">
        <v>45548</v>
      </c>
      <c r="P422" s="7" t="inlineStr">
        <is>
          <t>NÃO PRECISA</t>
        </is>
      </c>
      <c r="Q422" s="9" t="n">
        <v>45549</v>
      </c>
      <c r="R422" s="7" t="inlineStr">
        <is>
          <t>Concluído Campo</t>
        </is>
      </c>
      <c r="S422" s="9" t="n">
        <v>45552</v>
      </c>
      <c r="T422" s="10" t="inlineStr"/>
      <c r="U422" s="7" t="inlineStr">
        <is>
          <t>4272203</t>
        </is>
      </c>
      <c r="V422" s="7" t="inlineStr">
        <is>
          <t>FINALIZADO</t>
        </is>
      </c>
      <c r="W422" s="7" t="inlineStr"/>
      <c r="X422" s="7" t="inlineStr">
        <is>
          <t>MEDIÇÃO CONCLUÍDA</t>
        </is>
      </c>
      <c r="Y422" s="11">
        <f>IF(AND(L422&lt;&gt;"", S422&lt;&gt;""), S422-L422, IF(L422&lt;&gt;"", TODAY()-L422, ""))</f>
        <v/>
      </c>
      <c r="Z422" s="7">
        <f>IF(Y422="", "", IF(Y422&lt;=3, "NO PRAZO", "ATRASADO"))</f>
        <v/>
      </c>
      <c r="AA422" s="8" t="inlineStr">
        <is>
          <t>100% - OK</t>
        </is>
      </c>
    </row>
    <row r="423" ht="20" customHeight="1">
      <c r="A423" s="7" t="inlineStr">
        <is>
          <t>RSCLER0421</t>
        </is>
      </c>
      <c r="B423" s="8" t="inlineStr">
        <is>
          <t>PORTO ALEGRE</t>
        </is>
      </c>
      <c r="C423" s="7" t="inlineStr">
        <is>
          <t>GUAAA</t>
        </is>
      </c>
      <c r="D423" s="7" t="inlineStr">
        <is>
          <t>GUAAD</t>
        </is>
      </c>
      <c r="E423" s="7" t="inlineStr">
        <is>
          <t>RSPSU21</t>
        </is>
      </c>
      <c r="F423" s="8" t="inlineStr">
        <is>
          <t>Condomínio Jardim Vitória Régia</t>
        </is>
      </c>
      <c r="G423" s="8" t="inlineStr">
        <is>
          <t>Av. Juca Batista, 1200</t>
        </is>
      </c>
      <c r="H423" s="7" t="inlineStr">
        <is>
          <t>GUAAA.051.04.08 ATÉ GUAAA.051.04.01</t>
        </is>
      </c>
      <c r="I423" s="8" t="inlineStr">
        <is>
          <t>FOI LANÇADO 1350 METROS DE CABO DE 12FO, 5 ABERTURA E FECHAMENTO, 8 NAP NOVA, 1 DERIVAÇÃO, 36 FUSÃO, 8 TESTE</t>
        </is>
      </c>
      <c r="J423" s="8" t="inlineStr">
        <is>
          <t>JUNIOR</t>
        </is>
      </c>
      <c r="K423" s="8" t="inlineStr">
        <is>
          <t>MARCOS EMILIANO</t>
        </is>
      </c>
      <c r="L423" s="9" t="n">
        <v>45545</v>
      </c>
      <c r="M423" s="9" t="n">
        <v>45546</v>
      </c>
      <c r="N423" s="9" t="n">
        <v>45549</v>
      </c>
      <c r="O423" s="9" t="n">
        <v>45554</v>
      </c>
      <c r="P423" s="7" t="inlineStr">
        <is>
          <t>NÃO PRECISA</t>
        </is>
      </c>
      <c r="Q423" s="9" t="n">
        <v>45575</v>
      </c>
      <c r="R423" s="7" t="inlineStr">
        <is>
          <t>Concluído Campo</t>
        </is>
      </c>
      <c r="S423" s="7" t="inlineStr"/>
      <c r="T423" s="10" t="inlineStr"/>
      <c r="U423" s="7" t="inlineStr"/>
      <c r="V423" s="7" t="inlineStr"/>
      <c r="W423" s="7" t="inlineStr"/>
      <c r="X423" s="7" t="inlineStr">
        <is>
          <t>AG. MEDIÇÃO</t>
        </is>
      </c>
      <c r="Y423" s="11">
        <f>IF(AND(L423&lt;&gt;"", S423&lt;&gt;""), S423-L423, IF(L423&lt;&gt;"", TODAY()-L423, ""))</f>
        <v/>
      </c>
      <c r="Z423" s="7">
        <f>IF(Y423="", "", IF(Y423&lt;=3, "NO PRAZO", "ATRASADO"))</f>
        <v/>
      </c>
      <c r="AA423" s="8" t="inlineStr">
        <is>
          <t>100% - OK</t>
        </is>
      </c>
    </row>
    <row r="424" ht="20" customHeight="1">
      <c r="A424" s="7" t="inlineStr">
        <is>
          <t>RSCLER0422</t>
        </is>
      </c>
      <c r="B424" s="8" t="inlineStr">
        <is>
          <t>PORTO ALEGRE</t>
        </is>
      </c>
      <c r="C424" s="7" t="inlineStr">
        <is>
          <t>CNTAA</t>
        </is>
      </c>
      <c r="D424" s="7" t="inlineStr">
        <is>
          <t>CNTAEA</t>
        </is>
      </c>
      <c r="E424" s="7" t="inlineStr">
        <is>
          <t>PAE MF</t>
        </is>
      </c>
      <c r="F424" s="8" t="inlineStr">
        <is>
          <t>Cond Edf Ana Terra</t>
        </is>
      </c>
      <c r="G424" s="8" t="inlineStr">
        <is>
          <t>R. Cel. Fernando Machado, 561</t>
        </is>
      </c>
      <c r="H424" s="7" t="inlineStr">
        <is>
          <t>CNTAA.171.M030</t>
        </is>
      </c>
      <c r="I424" s="8" t="inlineStr">
        <is>
          <t>FOI LANÇADO 260 METROS DE CABO DE 12FO, 3 ABERTURA E FECHAMENTO,3 DERIVAÇÃO, 6 FUSÃO, 1 CX NOVA, 2 TESTE</t>
        </is>
      </c>
      <c r="J424" s="8" t="inlineStr">
        <is>
          <t>MARCOS EMILIANO</t>
        </is>
      </c>
      <c r="K424" s="8" t="inlineStr">
        <is>
          <t>MARCOS EMILIANO</t>
        </is>
      </c>
      <c r="L424" s="9" t="n">
        <v>45545</v>
      </c>
      <c r="M424" s="9" t="n">
        <v>45546</v>
      </c>
      <c r="N424" s="9" t="n">
        <v>45549</v>
      </c>
      <c r="O424" s="9" t="n">
        <v>45547</v>
      </c>
      <c r="P424" s="7" t="inlineStr">
        <is>
          <t>NÃO PRECISA</t>
        </is>
      </c>
      <c r="Q424" s="9" t="n">
        <v>45549</v>
      </c>
      <c r="R424" s="7" t="inlineStr">
        <is>
          <t>Concluído Campo</t>
        </is>
      </c>
      <c r="S424" s="9" t="n">
        <v>45548</v>
      </c>
      <c r="T424" s="10" t="inlineStr"/>
      <c r="U424" s="7" t="inlineStr">
        <is>
          <t>4272203</t>
        </is>
      </c>
      <c r="V424" s="7" t="inlineStr">
        <is>
          <t>FINALIZADO</t>
        </is>
      </c>
      <c r="W424" s="7" t="inlineStr"/>
      <c r="X424" s="7" t="inlineStr">
        <is>
          <t>MEDIÇÃO CONCLUÍDA</t>
        </is>
      </c>
      <c r="Y424" s="11">
        <f>IF(AND(L424&lt;&gt;"", S424&lt;&gt;""), S424-L424, IF(L424&lt;&gt;"", TODAY()-L424, ""))</f>
        <v/>
      </c>
      <c r="Z424" s="7">
        <f>IF(Y424="", "", IF(Y424&lt;=3, "NO PRAZO", "ATRASADO"))</f>
        <v/>
      </c>
      <c r="AA424" s="8" t="inlineStr">
        <is>
          <t>100% - OK</t>
        </is>
      </c>
    </row>
    <row r="425" ht="20" customHeight="1">
      <c r="A425" s="7" t="inlineStr">
        <is>
          <t>RSCLER0423</t>
        </is>
      </c>
      <c r="B425" s="8" t="inlineStr">
        <is>
          <t>PORTO ALEGRE</t>
        </is>
      </c>
      <c r="C425" s="7" t="inlineStr">
        <is>
          <t>BVSAA</t>
        </is>
      </c>
      <c r="D425" s="7" t="inlineStr">
        <is>
          <t>VJDAKA</t>
        </is>
      </c>
      <c r="E425" s="7" t="inlineStr">
        <is>
          <t>RSPLE07</t>
        </is>
      </c>
      <c r="F425" s="8" t="inlineStr">
        <is>
          <t>Condomínio Villa Inglesa</t>
        </is>
      </c>
      <c r="G425" s="8" t="inlineStr">
        <is>
          <t>R. Germano Gundlach, 127</t>
        </is>
      </c>
      <c r="H425" s="7" t="inlineStr">
        <is>
          <t>BVSAA.121.M050</t>
        </is>
      </c>
      <c r="I425" s="8" t="inlineStr">
        <is>
          <t>FOI LANÇADO 273 METROS DE CABO DE 12FO, 2 ABERTURA E FECHAMENTO, 1 DERIVAÇÃO, 1CX NOVA, 3 FUSÃO, 3 TESTE</t>
        </is>
      </c>
      <c r="J425" s="8" t="inlineStr">
        <is>
          <t>JUNIOR</t>
        </is>
      </c>
      <c r="K425" s="8" t="inlineStr">
        <is>
          <t>MARCOS EMILIANO</t>
        </is>
      </c>
      <c r="L425" s="9" t="n">
        <v>45545</v>
      </c>
      <c r="M425" s="9" t="n">
        <v>45546</v>
      </c>
      <c r="N425" s="9" t="n">
        <v>45549</v>
      </c>
      <c r="O425" s="9" t="n">
        <v>45547</v>
      </c>
      <c r="P425" s="7" t="inlineStr">
        <is>
          <t>NÃO PRECISA</t>
        </is>
      </c>
      <c r="Q425" s="9" t="n">
        <v>45549</v>
      </c>
      <c r="R425" s="7" t="inlineStr">
        <is>
          <t>Concluído Campo</t>
        </is>
      </c>
      <c r="S425" s="9" t="n">
        <v>45553</v>
      </c>
      <c r="T425" s="10" t="inlineStr"/>
      <c r="U425" s="7" t="inlineStr">
        <is>
          <t>4272203</t>
        </is>
      </c>
      <c r="V425" s="7" t="inlineStr">
        <is>
          <t>FINALIZADO</t>
        </is>
      </c>
      <c r="W425" s="7" t="inlineStr"/>
      <c r="X425" s="7" t="inlineStr">
        <is>
          <t>MEDIÇÃO CONCLUÍDA</t>
        </is>
      </c>
      <c r="Y425" s="11">
        <f>IF(AND(L425&lt;&gt;"", S425&lt;&gt;""), S425-L425, IF(L425&lt;&gt;"", TODAY()-L425, ""))</f>
        <v/>
      </c>
      <c r="Z425" s="7">
        <f>IF(Y425="", "", IF(Y425&lt;=3, "NO PRAZO", "ATRASADO"))</f>
        <v/>
      </c>
      <c r="AA425" s="8" t="inlineStr">
        <is>
          <t>100% - OK</t>
        </is>
      </c>
    </row>
    <row r="426" ht="20" customHeight="1">
      <c r="A426" s="7" t="inlineStr">
        <is>
          <t>RSCLER0424</t>
        </is>
      </c>
      <c r="B426" s="8" t="inlineStr">
        <is>
          <t>PORTO ALEGRE</t>
        </is>
      </c>
      <c r="C426" s="7" t="inlineStr">
        <is>
          <t>FLOAA</t>
        </is>
      </c>
      <c r="D426" s="7" t="inlineStr">
        <is>
          <t>FLOAB</t>
        </is>
      </c>
      <c r="E426" s="7" t="inlineStr">
        <is>
          <t>RSPNO11</t>
        </is>
      </c>
      <c r="F426" s="8" t="inlineStr">
        <is>
          <t>Condomínio Edificio Plaza San Carlos</t>
        </is>
      </c>
      <c r="G426" s="8" t="inlineStr">
        <is>
          <t>R. Sete de Abril, 285</t>
        </is>
      </c>
      <c r="H426" s="7" t="inlineStr">
        <is>
          <t>FLOAA.104.M030</t>
        </is>
      </c>
      <c r="I426" s="8" t="inlineStr">
        <is>
          <t>FOI LANÇADO 1114 METROS DE CABO DE 12FO, 3 ABERTURA E FECHAMENTO, 2 CX NOVAS, 1 DERIVAÇÃO, 17 FUSÃO, 5 TESTE</t>
        </is>
      </c>
      <c r="J426" s="8" t="inlineStr">
        <is>
          <t>JUNIOR</t>
        </is>
      </c>
      <c r="K426" s="8" t="inlineStr">
        <is>
          <t>ALANO</t>
        </is>
      </c>
      <c r="L426" s="9" t="n">
        <v>45546</v>
      </c>
      <c r="M426" s="9" t="n">
        <v>45547</v>
      </c>
      <c r="N426" s="9" t="n">
        <v>45550</v>
      </c>
      <c r="O426" s="9" t="n">
        <v>45552</v>
      </c>
      <c r="P426" s="7" t="inlineStr">
        <is>
          <t>NÃO PRECISA</t>
        </is>
      </c>
      <c r="Q426" s="9" t="n">
        <v>45555</v>
      </c>
      <c r="R426" s="7" t="inlineStr">
        <is>
          <t>Concluído Campo</t>
        </is>
      </c>
      <c r="S426" s="9" t="n">
        <v>45569</v>
      </c>
      <c r="T426" s="10" t="inlineStr"/>
      <c r="U426" s="7" t="inlineStr">
        <is>
          <t>4307235</t>
        </is>
      </c>
      <c r="V426" s="7" t="inlineStr">
        <is>
          <t>FINALIZADO</t>
        </is>
      </c>
      <c r="W426" s="7" t="inlineStr"/>
      <c r="X426" s="7" t="inlineStr">
        <is>
          <t>MEDIÇÃO CONCLUÍDA</t>
        </is>
      </c>
      <c r="Y426" s="11">
        <f>IF(AND(L426&lt;&gt;"", S426&lt;&gt;""), S426-L426, IF(L426&lt;&gt;"", TODAY()-L426, ""))</f>
        <v/>
      </c>
      <c r="Z426" s="7">
        <f>IF(Y426="", "", IF(Y426&lt;=3, "NO PRAZO", "ATRASADO"))</f>
        <v/>
      </c>
      <c r="AA426" s="8" t="inlineStr">
        <is>
          <t>100% - OK</t>
        </is>
      </c>
    </row>
    <row r="427" ht="20" customHeight="1">
      <c r="A427" s="7" t="inlineStr">
        <is>
          <t>RSCLER0425</t>
        </is>
      </c>
      <c r="B427" s="8" t="inlineStr">
        <is>
          <t>PORTO ALEGRE</t>
        </is>
      </c>
      <c r="C427" s="7" t="inlineStr">
        <is>
          <t>MNDAA</t>
        </is>
      </c>
      <c r="D427" s="7" t="inlineStr">
        <is>
          <t>MNDAS</t>
        </is>
      </c>
      <c r="E427" s="7" t="inlineStr">
        <is>
          <t>PAE MAD</t>
        </is>
      </c>
      <c r="F427" s="8" t="inlineStr">
        <is>
          <t>Condomínio Edificio Life Square</t>
        </is>
      </c>
      <c r="G427" s="8" t="inlineStr">
        <is>
          <t>Av. Getúlio Vargas, 1271</t>
        </is>
      </c>
      <c r="H427" s="7" t="inlineStr">
        <is>
          <t>MNDAA.133.M060</t>
        </is>
      </c>
      <c r="I427" s="8" t="inlineStr">
        <is>
          <t>FOI LANÇADO 157 METROS DE CABO DE 12FO, 6 ABERTURA E FECHAMENTO, 1 CX NOVA, 1 DERIVAÇÃO, 8 FUSÃO, 3 TESTE</t>
        </is>
      </c>
      <c r="J427" s="8" t="inlineStr">
        <is>
          <t>JUNIOR</t>
        </is>
      </c>
      <c r="K427" s="8" t="inlineStr">
        <is>
          <t>MARCOS EMILIANO</t>
        </is>
      </c>
      <c r="L427" s="9" t="n">
        <v>45546</v>
      </c>
      <c r="M427" s="9" t="n">
        <v>45547</v>
      </c>
      <c r="N427" s="9" t="n">
        <v>45550</v>
      </c>
      <c r="O427" s="9" t="n">
        <v>45548</v>
      </c>
      <c r="P427" s="7" t="inlineStr">
        <is>
          <t>NÃO PRECISA</t>
        </is>
      </c>
      <c r="Q427" s="9" t="n">
        <v>45555</v>
      </c>
      <c r="R427" s="7" t="inlineStr">
        <is>
          <t>Concluído Campo</t>
        </is>
      </c>
      <c r="S427" s="9" t="n">
        <v>45565</v>
      </c>
      <c r="T427" s="10" t="inlineStr"/>
      <c r="U427" s="7" t="inlineStr">
        <is>
          <t>4307235</t>
        </is>
      </c>
      <c r="V427" s="7" t="inlineStr">
        <is>
          <t>FINALIZADO</t>
        </is>
      </c>
      <c r="W427" s="7" t="inlineStr"/>
      <c r="X427" s="7" t="inlineStr">
        <is>
          <t>MEDIÇÃO CONCLUÍDA</t>
        </is>
      </c>
      <c r="Y427" s="11">
        <f>IF(AND(L427&lt;&gt;"", S427&lt;&gt;""), S427-L427, IF(L427&lt;&gt;"", TODAY()-L427, ""))</f>
        <v/>
      </c>
      <c r="Z427" s="7">
        <f>IF(Y427="", "", IF(Y427&lt;=3, "NO PRAZO", "ATRASADO"))</f>
        <v/>
      </c>
      <c r="AA427" s="8" t="inlineStr">
        <is>
          <t>100% - OK</t>
        </is>
      </c>
    </row>
    <row r="428" ht="20" customHeight="1">
      <c r="A428" s="7" t="inlineStr">
        <is>
          <t>RSCLER0426</t>
        </is>
      </c>
      <c r="B428" s="8" t="inlineStr">
        <is>
          <t>PORTO ALEGRE</t>
        </is>
      </c>
      <c r="C428" s="7" t="inlineStr">
        <is>
          <t>MTSAA</t>
        </is>
      </c>
      <c r="D428" s="7" t="inlineStr">
        <is>
          <t>MTSAE</t>
        </is>
      </c>
      <c r="E428" s="7" t="inlineStr">
        <is>
          <t>PAE BV</t>
        </is>
      </c>
      <c r="F428" s="8" t="inlineStr">
        <is>
          <t>Cond Ed Vivendas de Mont Serrat</t>
        </is>
      </c>
      <c r="G428" s="8" t="inlineStr">
        <is>
          <t>R Anita Garibaldi, 336</t>
        </is>
      </c>
      <c r="H428" s="7" t="inlineStr">
        <is>
          <t>MTSAA.091.M020</t>
        </is>
      </c>
      <c r="I428" s="8" t="inlineStr">
        <is>
          <t>3 ABERTURA E FECHAMENTO, 2 FUSÃO, 1 TESTE</t>
        </is>
      </c>
      <c r="J428" s="8" t="inlineStr"/>
      <c r="K428" s="8" t="inlineStr">
        <is>
          <t>MARCOS EMILIANO</t>
        </is>
      </c>
      <c r="L428" s="9" t="n">
        <v>45547</v>
      </c>
      <c r="M428" s="9" t="n">
        <v>45548</v>
      </c>
      <c r="N428" s="9" t="n">
        <v>45553</v>
      </c>
      <c r="O428" s="9" t="n">
        <v>45553</v>
      </c>
      <c r="P428" s="7" t="inlineStr">
        <is>
          <t>NÃO PRECISA</t>
        </is>
      </c>
      <c r="Q428" s="9" t="n">
        <v>45555</v>
      </c>
      <c r="R428" s="7" t="inlineStr">
        <is>
          <t>Concluído Campo</t>
        </is>
      </c>
      <c r="S428" s="9" t="n">
        <v>45558</v>
      </c>
      <c r="T428" s="10" t="inlineStr"/>
      <c r="U428" s="7" t="inlineStr">
        <is>
          <t>4307235</t>
        </is>
      </c>
      <c r="V428" s="7" t="inlineStr">
        <is>
          <t>FINALIZADO</t>
        </is>
      </c>
      <c r="W428" s="7" t="inlineStr"/>
      <c r="X428" s="7" t="inlineStr">
        <is>
          <t>MEDIÇÃO CONCLUÍDA</t>
        </is>
      </c>
      <c r="Y428" s="11">
        <f>IF(AND(L428&lt;&gt;"", S428&lt;&gt;""), S428-L428, IF(L428&lt;&gt;"", TODAY()-L428, ""))</f>
        <v/>
      </c>
      <c r="Z428" s="7">
        <f>IF(Y428="", "", IF(Y428&lt;=3, "NO PRAZO", "ATRASADO"))</f>
        <v/>
      </c>
      <c r="AA428" s="8" t="inlineStr">
        <is>
          <t>100% - OK</t>
        </is>
      </c>
    </row>
    <row r="429" ht="20" customHeight="1">
      <c r="A429" s="7" t="inlineStr">
        <is>
          <t>RSCLER0427</t>
        </is>
      </c>
      <c r="B429" s="8" t="inlineStr">
        <is>
          <t>CANOAS</t>
        </is>
      </c>
      <c r="C429" s="7" t="inlineStr">
        <is>
          <t>CNTAA</t>
        </is>
      </c>
      <c r="D429" s="7" t="inlineStr">
        <is>
          <t>CNT13A</t>
        </is>
      </c>
      <c r="E429" s="7" t="inlineStr">
        <is>
          <t>RSCAN27</t>
        </is>
      </c>
      <c r="F429" s="8" t="inlineStr">
        <is>
          <t>Condomínio Residencial Vivace</t>
        </is>
      </c>
      <c r="G429" s="8" t="inlineStr">
        <is>
          <t>R. Afonso Charlier, 70</t>
        </is>
      </c>
      <c r="H429" s="7" t="inlineStr">
        <is>
          <t>CNTAA.131.M050</t>
        </is>
      </c>
      <c r="I429" s="8" t="inlineStr">
        <is>
          <t>FOI LANÇADO 755 METROS DE CABO DE 12FO, 5 ABERTURA E FECHAMENTO,14 FUSÃO, 3 DERIVAÇÃO, 1 CX NOVA, 4 TESTE</t>
        </is>
      </c>
      <c r="J429" s="8" t="inlineStr">
        <is>
          <t>JUNIOR</t>
        </is>
      </c>
      <c r="K429" s="8" t="inlineStr">
        <is>
          <t>MARCOS EMILIANO / ADRIANO</t>
        </is>
      </c>
      <c r="L429" s="9" t="n">
        <v>45547</v>
      </c>
      <c r="M429" s="9" t="n">
        <v>45548</v>
      </c>
      <c r="N429" s="9" t="n">
        <v>45553</v>
      </c>
      <c r="O429" s="9" t="n">
        <v>45569</v>
      </c>
      <c r="P429" s="7" t="inlineStr">
        <is>
          <t>NÃO PRECISA</t>
        </is>
      </c>
      <c r="Q429" s="9" t="n">
        <v>45575</v>
      </c>
      <c r="R429" s="7" t="inlineStr">
        <is>
          <t>Concluído Campo</t>
        </is>
      </c>
      <c r="S429" s="9" t="n">
        <v>45553</v>
      </c>
      <c r="T429" s="10" t="inlineStr"/>
      <c r="U429" s="7" t="inlineStr">
        <is>
          <t>4272203</t>
        </is>
      </c>
      <c r="V429" s="7" t="inlineStr">
        <is>
          <t>FINALIZADO</t>
        </is>
      </c>
      <c r="W429" s="7" t="inlineStr"/>
      <c r="X429" s="7" t="inlineStr">
        <is>
          <t>MEDIÇÃO CONCLUÍDA</t>
        </is>
      </c>
      <c r="Y429" s="11">
        <f>IF(AND(L429&lt;&gt;"", S429&lt;&gt;""), S429-L429, IF(L429&lt;&gt;"", TODAY()-L429, ""))</f>
        <v/>
      </c>
      <c r="Z429" s="7">
        <f>IF(Y429="", "", IF(Y429&lt;=3, "NO PRAZO", "ATRASADO"))</f>
        <v/>
      </c>
      <c r="AA429" s="8" t="inlineStr">
        <is>
          <t>100% - OK</t>
        </is>
      </c>
    </row>
    <row r="430" ht="20" customHeight="1">
      <c r="A430" s="7" t="inlineStr">
        <is>
          <t>RSCLER0428</t>
        </is>
      </c>
      <c r="B430" s="8" t="inlineStr">
        <is>
          <t>PORTO ALEGRE</t>
        </is>
      </c>
      <c r="C430" s="7" t="inlineStr">
        <is>
          <t>MNDAA</t>
        </is>
      </c>
      <c r="D430" s="7" t="inlineStr">
        <is>
          <t>AZNAGA</t>
        </is>
      </c>
      <c r="E430" s="7" t="inlineStr">
        <is>
          <t>PAE MAD</t>
        </is>
      </c>
      <c r="F430" s="8" t="inlineStr">
        <is>
          <t>Cond Ed Capitao Rodrigo</t>
        </is>
      </c>
      <c r="G430" s="8" t="inlineStr">
        <is>
          <t>Av. Érico Veríssimo, 441</t>
        </is>
      </c>
      <c r="H430" s="7" t="inlineStr">
        <is>
          <t>MNDAA.076.M040</t>
        </is>
      </c>
      <c r="I430" s="8" t="inlineStr">
        <is>
          <t>FOI LANÇADO 164 METROS DE CABO DE 12FO, 3 ABERTURA E FECHAMENTO, 15 FUSÃO, 1 DERIVAÇÃO, 1 CX NOVA, 5 TESTE</t>
        </is>
      </c>
      <c r="J430" s="8" t="inlineStr">
        <is>
          <t>THIAGO LAMBRETA</t>
        </is>
      </c>
      <c r="K430" s="8" t="inlineStr">
        <is>
          <t>ANDERSON</t>
        </is>
      </c>
      <c r="L430" s="9" t="n">
        <v>45547</v>
      </c>
      <c r="M430" s="9" t="n">
        <v>45548</v>
      </c>
      <c r="N430" s="9" t="n">
        <v>45553</v>
      </c>
      <c r="O430" s="9" t="n">
        <v>45565</v>
      </c>
      <c r="P430" s="7" t="inlineStr">
        <is>
          <t>NÃO PRECISA</t>
        </is>
      </c>
      <c r="Q430" s="9" t="n">
        <v>45575</v>
      </c>
      <c r="R430" s="7" t="inlineStr">
        <is>
          <t>Concluído Campo</t>
        </is>
      </c>
      <c r="S430" s="9" t="n">
        <v>45558</v>
      </c>
      <c r="T430" s="10" t="inlineStr"/>
      <c r="U430" s="7" t="inlineStr">
        <is>
          <t>4272203</t>
        </is>
      </c>
      <c r="V430" s="7" t="inlineStr">
        <is>
          <t>FINALIZADO</t>
        </is>
      </c>
      <c r="W430" s="7" t="inlineStr"/>
      <c r="X430" s="7" t="inlineStr">
        <is>
          <t>MEDIÇÃO CONCLUÍDA</t>
        </is>
      </c>
      <c r="Y430" s="11">
        <f>IF(AND(L430&lt;&gt;"", S430&lt;&gt;""), S430-L430, IF(L430&lt;&gt;"", TODAY()-L430, ""))</f>
        <v/>
      </c>
      <c r="Z430" s="7">
        <f>IF(Y430="", "", IF(Y430&lt;=3, "NO PRAZO", "ATRASADO"))</f>
        <v/>
      </c>
      <c r="AA430" s="8" t="inlineStr">
        <is>
          <t>100% - OK</t>
        </is>
      </c>
    </row>
    <row r="431" ht="20" customHeight="1">
      <c r="A431" s="7" t="inlineStr">
        <is>
          <t>RSCLER0429</t>
        </is>
      </c>
      <c r="B431" s="8" t="inlineStr">
        <is>
          <t>PORTO ALEGRE</t>
        </is>
      </c>
      <c r="C431" s="7" t="inlineStr">
        <is>
          <t>MNDAA</t>
        </is>
      </c>
      <c r="D431" s="7" t="inlineStr">
        <is>
          <t>MNDAS</t>
        </is>
      </c>
      <c r="E431" s="7" t="inlineStr">
        <is>
          <t>PAE MAD</t>
        </is>
      </c>
      <c r="F431" s="8" t="inlineStr">
        <is>
          <t>Cond Ed Vivienda Del Arvoredo</t>
        </is>
      </c>
      <c r="G431" s="8" t="inlineStr">
        <is>
          <t>R. Gonçalves Dias, 170</t>
        </is>
      </c>
      <c r="H431" s="7" t="inlineStr">
        <is>
          <t>MNDAA.131.M040</t>
        </is>
      </c>
      <c r="I431" s="8" t="inlineStr">
        <is>
          <t>FOI LANÇADO 335 METROS DE CABO DE 12FO, 8 ABERTURA E FECHAMENTO, 18 FUSÃO, 1 CX NOVA, 1 DERIVAÇÃO, 2 TESTE</t>
        </is>
      </c>
      <c r="J431" s="8" t="inlineStr">
        <is>
          <t>UBIRATAN</t>
        </is>
      </c>
      <c r="K431" s="8" t="inlineStr">
        <is>
          <t>ANDERSON</t>
        </is>
      </c>
      <c r="L431" s="9" t="n">
        <v>45547</v>
      </c>
      <c r="M431" s="9" t="n">
        <v>45548</v>
      </c>
      <c r="N431" s="9" t="n">
        <v>45553</v>
      </c>
      <c r="O431" s="9" t="n">
        <v>45558</v>
      </c>
      <c r="P431" s="7" t="inlineStr">
        <is>
          <t>NÃO PRECISA</t>
        </is>
      </c>
      <c r="Q431" s="9" t="n">
        <v>45575</v>
      </c>
      <c r="R431" s="7" t="inlineStr">
        <is>
          <t>Concluído Campo</t>
        </is>
      </c>
      <c r="S431" s="9" t="n">
        <v>45559</v>
      </c>
      <c r="T431" s="10" t="inlineStr"/>
      <c r="U431" s="7" t="inlineStr">
        <is>
          <t>4307235</t>
        </is>
      </c>
      <c r="V431" s="7" t="inlineStr">
        <is>
          <t>FINALIZADO</t>
        </is>
      </c>
      <c r="W431" s="7" t="inlineStr"/>
      <c r="X431" s="7" t="inlineStr">
        <is>
          <t>MEDIÇÃO CONCLUÍDA</t>
        </is>
      </c>
      <c r="Y431" s="11">
        <f>IF(AND(L431&lt;&gt;"", S431&lt;&gt;""), S431-L431, IF(L431&lt;&gt;"", TODAY()-L431, ""))</f>
        <v/>
      </c>
      <c r="Z431" s="7">
        <f>IF(Y431="", "", IF(Y431&lt;=3, "NO PRAZO", "ATRASADO"))</f>
        <v/>
      </c>
      <c r="AA431" s="8" t="inlineStr">
        <is>
          <t>100% - OK</t>
        </is>
      </c>
    </row>
    <row r="432" ht="20" customHeight="1">
      <c r="A432" s="7" t="inlineStr">
        <is>
          <t>RSCLER0430</t>
        </is>
      </c>
      <c r="B432" s="8" t="inlineStr">
        <is>
          <t>PORTO ALEGRE</t>
        </is>
      </c>
      <c r="C432" s="7" t="inlineStr">
        <is>
          <t>CNTAA</t>
        </is>
      </c>
      <c r="D432" s="7" t="inlineStr">
        <is>
          <t>CBXAE</t>
        </is>
      </c>
      <c r="E432" s="7" t="inlineStr">
        <is>
          <t>PAE MF</t>
        </is>
      </c>
      <c r="F432" s="8" t="inlineStr">
        <is>
          <t>Cond Jaciara</t>
        </is>
      </c>
      <c r="G432" s="8" t="inlineStr">
        <is>
          <t>R. Luiz Afonso, 470</t>
        </is>
      </c>
      <c r="H432" s="7" t="inlineStr">
        <is>
          <t>CNTAA.352.M060</t>
        </is>
      </c>
      <c r="I432" s="8" t="inlineStr">
        <is>
          <t>FOI LANÇADO 167 METROS DE CABO DE 12FO, 6 ABERTURA E FECHAMENTO, 6 FUSÃO, 2 DERICAÇÃO, 1 CX NOVA, 1 TESTE</t>
        </is>
      </c>
      <c r="J432" s="8" t="inlineStr">
        <is>
          <t>JUNIOR</t>
        </is>
      </c>
      <c r="K432" s="8" t="inlineStr">
        <is>
          <t>ANDERSON</t>
        </is>
      </c>
      <c r="L432" s="9" t="n">
        <v>45547</v>
      </c>
      <c r="M432" s="9" t="n">
        <v>45552</v>
      </c>
      <c r="N432" s="9" t="n">
        <v>45553</v>
      </c>
      <c r="O432" s="9" t="n">
        <v>45553</v>
      </c>
      <c r="P432" s="7" t="inlineStr">
        <is>
          <t>NÃO PRECISA</t>
        </is>
      </c>
      <c r="Q432" s="9" t="n">
        <v>45555</v>
      </c>
      <c r="R432" s="7" t="inlineStr">
        <is>
          <t>Concluído Campo</t>
        </is>
      </c>
      <c r="S432" s="9" t="n">
        <v>45559</v>
      </c>
      <c r="T432" s="10" t="inlineStr"/>
      <c r="U432" s="7" t="inlineStr">
        <is>
          <t>4307235</t>
        </is>
      </c>
      <c r="V432" s="7" t="inlineStr">
        <is>
          <t>FINALIZADO</t>
        </is>
      </c>
      <c r="W432" s="7" t="inlineStr"/>
      <c r="X432" s="7" t="inlineStr">
        <is>
          <t>MEDIÇÃO CONCLUÍDA</t>
        </is>
      </c>
      <c r="Y432" s="11">
        <f>IF(AND(L432&lt;&gt;"", S432&lt;&gt;""), S432-L432, IF(L432&lt;&gt;"", TODAY()-L432, ""))</f>
        <v/>
      </c>
      <c r="Z432" s="7">
        <f>IF(Y432="", "", IF(Y432&lt;=3, "NO PRAZO", "ATRASADO"))</f>
        <v/>
      </c>
      <c r="AA432" s="8" t="inlineStr">
        <is>
          <t>100% - OK</t>
        </is>
      </c>
    </row>
    <row r="433" ht="20" customHeight="1">
      <c r="A433" s="7" t="inlineStr">
        <is>
          <t>RSCLER0431</t>
        </is>
      </c>
      <c r="B433" s="8" t="inlineStr">
        <is>
          <t>PORTO ALEGRE</t>
        </is>
      </c>
      <c r="C433" s="7" t="inlineStr">
        <is>
          <t>MNDAA</t>
        </is>
      </c>
      <c r="D433" s="7" t="inlineStr">
        <is>
          <t>AZNAGA</t>
        </is>
      </c>
      <c r="E433" s="7" t="inlineStr">
        <is>
          <t>PAE MAD</t>
        </is>
      </c>
      <c r="F433" s="8" t="inlineStr"/>
      <c r="G433" s="8" t="inlineStr">
        <is>
          <t>Av Erico Verissimo, 697, 751</t>
        </is>
      </c>
      <c r="H433" s="7" t="inlineStr">
        <is>
          <t>MNDAA.075.M040</t>
        </is>
      </c>
      <c r="I433" s="8" t="inlineStr">
        <is>
          <t>FOI LANÇADO 252 METROS DE CABO DE 12FO, 3 ABERTURA E FECHAMENTO, 18 FUSÃO, 1 CX NOVA, 1 DERIVAÇÃO, 8 TESTE</t>
        </is>
      </c>
      <c r="J433" s="8" t="inlineStr">
        <is>
          <t>UBIRATAN</t>
        </is>
      </c>
      <c r="K433" s="8" t="inlineStr">
        <is>
          <t>ANDERSON</t>
        </is>
      </c>
      <c r="L433" s="9" t="n">
        <v>45547</v>
      </c>
      <c r="M433" s="9" t="n">
        <v>45548</v>
      </c>
      <c r="N433" s="9" t="n">
        <v>45553</v>
      </c>
      <c r="O433" s="9" t="n">
        <v>45558</v>
      </c>
      <c r="P433" s="7" t="inlineStr">
        <is>
          <t>NÃO PRECISA</t>
        </is>
      </c>
      <c r="Q433" s="9" t="n">
        <v>45575</v>
      </c>
      <c r="R433" s="7" t="inlineStr">
        <is>
          <t>Concluído Campo</t>
        </is>
      </c>
      <c r="S433" s="9" t="n">
        <v>45550</v>
      </c>
      <c r="T433" s="10" t="inlineStr"/>
      <c r="U433" s="7" t="inlineStr">
        <is>
          <t>4272203</t>
        </is>
      </c>
      <c r="V433" s="7" t="inlineStr">
        <is>
          <t>FINALIZADO</t>
        </is>
      </c>
      <c r="W433" s="7" t="inlineStr"/>
      <c r="X433" s="7" t="inlineStr">
        <is>
          <t>MEDIÇÃO CONCLUÍDA</t>
        </is>
      </c>
      <c r="Y433" s="11">
        <f>IF(AND(L433&lt;&gt;"", S433&lt;&gt;""), S433-L433, IF(L433&lt;&gt;"", TODAY()-L433, ""))</f>
        <v/>
      </c>
      <c r="Z433" s="7">
        <f>IF(Y433="", "", IF(Y433&lt;=3, "NO PRAZO", "ATRASADO"))</f>
        <v/>
      </c>
      <c r="AA433" s="8" t="inlineStr">
        <is>
          <t>100% - OK</t>
        </is>
      </c>
    </row>
    <row r="434" ht="20" customHeight="1">
      <c r="A434" s="7" t="inlineStr">
        <is>
          <t>RSCLER0432</t>
        </is>
      </c>
      <c r="B434" s="8" t="inlineStr">
        <is>
          <t>PORTO ALEGRE</t>
        </is>
      </c>
      <c r="C434" s="7" t="inlineStr">
        <is>
          <t>MNDAB</t>
        </is>
      </c>
      <c r="D434" s="7" t="inlineStr">
        <is>
          <t>MNDAD</t>
        </is>
      </c>
      <c r="E434" s="7" t="inlineStr">
        <is>
          <t>RSPCE20</t>
        </is>
      </c>
      <c r="F434" s="8" t="inlineStr">
        <is>
          <t>Le Chaim</t>
        </is>
      </c>
      <c r="G434" s="8" t="inlineStr">
        <is>
          <t>R. Marcílio Dias, 1031</t>
        </is>
      </c>
      <c r="H434" s="7" t="inlineStr">
        <is>
          <t>MNDAB.051.M010</t>
        </is>
      </c>
      <c r="I434" s="8" t="inlineStr">
        <is>
          <t>3 ABERTURA E FECHAMENTO, 6 FUSÃO, 3 TESTE</t>
        </is>
      </c>
      <c r="J434" s="8" t="inlineStr"/>
      <c r="K434" s="8" t="inlineStr">
        <is>
          <t>LUCAS HOBERT</t>
        </is>
      </c>
      <c r="L434" s="9" t="n">
        <v>45547</v>
      </c>
      <c r="M434" s="9" t="n">
        <v>45548</v>
      </c>
      <c r="N434" s="9" t="n">
        <v>45553</v>
      </c>
      <c r="O434" s="9" t="n">
        <v>45559</v>
      </c>
      <c r="P434" s="7" t="inlineStr">
        <is>
          <t>NÃO PRECISA</t>
        </is>
      </c>
      <c r="Q434" s="9" t="n">
        <v>45575</v>
      </c>
      <c r="R434" s="7" t="inlineStr">
        <is>
          <t>Concluído Campo</t>
        </is>
      </c>
      <c r="S434" s="9" t="n">
        <v>45554</v>
      </c>
      <c r="T434" s="10" t="inlineStr"/>
      <c r="U434" s="7" t="inlineStr">
        <is>
          <t>4272203</t>
        </is>
      </c>
      <c r="V434" s="7" t="inlineStr">
        <is>
          <t>FINALIZADO</t>
        </is>
      </c>
      <c r="W434" s="7" t="inlineStr"/>
      <c r="X434" s="7" t="inlineStr">
        <is>
          <t>MEDIÇÃO CONCLUÍDA</t>
        </is>
      </c>
      <c r="Y434" s="11">
        <f>IF(AND(L434&lt;&gt;"", S434&lt;&gt;""), S434-L434, IF(L434&lt;&gt;"", TODAY()-L434, ""))</f>
        <v/>
      </c>
      <c r="Z434" s="7">
        <f>IF(Y434="", "", IF(Y434&lt;=3, "NO PRAZO", "ATRASADO"))</f>
        <v/>
      </c>
      <c r="AA434" s="8" t="inlineStr">
        <is>
          <t>100% - OK</t>
        </is>
      </c>
    </row>
    <row r="435" ht="20" customHeight="1">
      <c r="A435" s="7" t="inlineStr">
        <is>
          <t>RSCLER0433</t>
        </is>
      </c>
      <c r="B435" s="8" t="inlineStr">
        <is>
          <t>PORTO ALEGRE</t>
        </is>
      </c>
      <c r="C435" s="7" t="inlineStr">
        <is>
          <t>MNDAB</t>
        </is>
      </c>
      <c r="D435" s="7" t="inlineStr">
        <is>
          <t>MNDAD</t>
        </is>
      </c>
      <c r="E435" s="7" t="inlineStr">
        <is>
          <t>RSPCE20</t>
        </is>
      </c>
      <c r="F435" s="8" t="inlineStr">
        <is>
          <t>Cond Ed Marcelo</t>
        </is>
      </c>
      <c r="G435" s="8" t="inlineStr">
        <is>
          <t>R. Gonçalves Dias, 68</t>
        </is>
      </c>
      <c r="H435" s="7" t="inlineStr">
        <is>
          <t>MNDAB.051.M090</t>
        </is>
      </c>
      <c r="I435" s="8" t="inlineStr">
        <is>
          <t>FOI LANÇADO 135 METROS DE CABO DE 12FO, 2 ABERTURA E FECHAMENTO, 9 FUSÃO, 1 CX NOVA, 1 DERIVAÇÃO, 4 TESTES</t>
        </is>
      </c>
      <c r="J435" s="8" t="inlineStr">
        <is>
          <t>DAVI</t>
        </is>
      </c>
      <c r="K435" s="8" t="inlineStr">
        <is>
          <t>MARCOS EMILIANO/LUCAS HOBERT</t>
        </is>
      </c>
      <c r="L435" s="9" t="n">
        <v>45547</v>
      </c>
      <c r="M435" s="9" t="n">
        <v>45548</v>
      </c>
      <c r="N435" s="9" t="n">
        <v>45553</v>
      </c>
      <c r="O435" s="9" t="n">
        <v>45559</v>
      </c>
      <c r="P435" s="7" t="inlineStr">
        <is>
          <t>NÃO PRECISA</t>
        </is>
      </c>
      <c r="Q435" s="9" t="n">
        <v>45575</v>
      </c>
      <c r="R435" s="7" t="inlineStr">
        <is>
          <t>Concluído Campo</t>
        </is>
      </c>
      <c r="S435" s="9" t="n">
        <v>45553</v>
      </c>
      <c r="T435" s="10" t="inlineStr"/>
      <c r="U435" s="7" t="inlineStr">
        <is>
          <t>4272203</t>
        </is>
      </c>
      <c r="V435" s="7" t="inlineStr">
        <is>
          <t>FINALIZADO</t>
        </is>
      </c>
      <c r="W435" s="7" t="inlineStr"/>
      <c r="X435" s="7" t="inlineStr">
        <is>
          <t>MEDIÇÃO CONCLUÍDA</t>
        </is>
      </c>
      <c r="Y435" s="11">
        <f>IF(AND(L435&lt;&gt;"", S435&lt;&gt;""), S435-L435, IF(L435&lt;&gt;"", TODAY()-L435, ""))</f>
        <v/>
      </c>
      <c r="Z435" s="7">
        <f>IF(Y435="", "", IF(Y435&lt;=3, "NO PRAZO", "ATRASADO"))</f>
        <v/>
      </c>
      <c r="AA435" s="8" t="inlineStr">
        <is>
          <t>100% - OK</t>
        </is>
      </c>
    </row>
    <row r="436" ht="20" customHeight="1">
      <c r="A436" s="7" t="inlineStr">
        <is>
          <t>RSCLER0434</t>
        </is>
      </c>
      <c r="B436" s="8" t="inlineStr">
        <is>
          <t>PORTO ALEGRE</t>
        </is>
      </c>
      <c r="C436" s="7" t="inlineStr">
        <is>
          <t>CNTAA</t>
        </is>
      </c>
      <c r="D436" s="7" t="inlineStr">
        <is>
          <t>CBXAE</t>
        </is>
      </c>
      <c r="E436" s="7" t="inlineStr">
        <is>
          <t>PAE MF</t>
        </is>
      </c>
      <c r="F436" s="8" t="inlineStr"/>
      <c r="G436" s="8" t="inlineStr">
        <is>
          <t>R. José do Patrocínio, 557</t>
        </is>
      </c>
      <c r="H436" s="7" t="inlineStr">
        <is>
          <t>CNTAA.352.020</t>
        </is>
      </c>
      <c r="I436" s="8" t="inlineStr">
        <is>
          <t>FOI LANÇADO 102 METROS DE CABO DE 12FO, 4 ABERTURA E FECHAMENTO, 2 DERIVAÇÃO, 10 FUSÃO, 3 TESTE.</t>
        </is>
      </c>
      <c r="J436" s="8" t="inlineStr">
        <is>
          <t>LUCAS HOBERT</t>
        </is>
      </c>
      <c r="K436" s="8" t="inlineStr">
        <is>
          <t>LUCAS HOBERT</t>
        </is>
      </c>
      <c r="L436" s="9" t="n">
        <v>45547</v>
      </c>
      <c r="M436" s="9" t="n">
        <v>45548</v>
      </c>
      <c r="N436" s="9" t="n">
        <v>45553</v>
      </c>
      <c r="O436" s="9" t="n">
        <v>45550</v>
      </c>
      <c r="P436" s="7" t="inlineStr">
        <is>
          <t>NÃO PRECISA</t>
        </is>
      </c>
      <c r="Q436" s="9" t="n">
        <v>45555</v>
      </c>
      <c r="R436" s="7" t="inlineStr">
        <is>
          <t>Concluído Campo</t>
        </is>
      </c>
      <c r="S436" s="9" t="n">
        <v>45553</v>
      </c>
      <c r="T436" s="10" t="inlineStr"/>
      <c r="U436" s="7" t="inlineStr">
        <is>
          <t>4272203</t>
        </is>
      </c>
      <c r="V436" s="7" t="inlineStr">
        <is>
          <t>FINALIZADO</t>
        </is>
      </c>
      <c r="W436" s="7" t="inlineStr"/>
      <c r="X436" s="7" t="inlineStr">
        <is>
          <t>MEDIÇÃO CONCLUÍDA</t>
        </is>
      </c>
      <c r="Y436" s="11">
        <f>IF(AND(L436&lt;&gt;"", S436&lt;&gt;""), S436-L436, IF(L436&lt;&gt;"", TODAY()-L436, ""))</f>
        <v/>
      </c>
      <c r="Z436" s="7">
        <f>IF(Y436="", "", IF(Y436&lt;=3, "NO PRAZO", "ATRASADO"))</f>
        <v/>
      </c>
      <c r="AA436" s="8" t="inlineStr">
        <is>
          <t>100% - OK</t>
        </is>
      </c>
    </row>
    <row r="437" ht="20" customHeight="1">
      <c r="A437" s="7" t="inlineStr">
        <is>
          <t>RSCLER0435</t>
        </is>
      </c>
      <c r="B437" s="8" t="inlineStr">
        <is>
          <t>PORTO ALEGRE</t>
        </is>
      </c>
      <c r="C437" s="7" t="inlineStr">
        <is>
          <t>CNTAA</t>
        </is>
      </c>
      <c r="D437" s="7" t="inlineStr">
        <is>
          <t>CBXAE</t>
        </is>
      </c>
      <c r="E437" s="7" t="inlineStr">
        <is>
          <t>PAE MF</t>
        </is>
      </c>
      <c r="F437" s="8" t="inlineStr"/>
      <c r="G437" s="8" t="inlineStr">
        <is>
          <t>Luiz Afonso 526, 558</t>
        </is>
      </c>
      <c r="H437" s="7" t="inlineStr">
        <is>
          <t>CNTAA.352.M060.</t>
        </is>
      </c>
      <c r="I437" s="8" t="inlineStr">
        <is>
          <t>FOI LANÇADO 260 METROS DE CABO DE 12FO, 6 ABERTURA E FECHAMENTO, 31 FUSÃO, 1 DERIVAÇÃO, 3 TESTE</t>
        </is>
      </c>
      <c r="J437" s="8" t="inlineStr">
        <is>
          <t>JUNIOR</t>
        </is>
      </c>
      <c r="K437" s="8" t="inlineStr">
        <is>
          <t>ANDERSON</t>
        </is>
      </c>
      <c r="L437" s="9" t="n">
        <v>45547</v>
      </c>
      <c r="M437" s="9" t="n">
        <v>45548</v>
      </c>
      <c r="N437" s="9" t="n">
        <v>45553</v>
      </c>
      <c r="O437" s="9" t="n">
        <v>45554</v>
      </c>
      <c r="P437" s="7" t="inlineStr">
        <is>
          <t>NÃO PRECISA</t>
        </is>
      </c>
      <c r="Q437" s="9" t="n">
        <v>45575</v>
      </c>
      <c r="R437" s="7" t="inlineStr">
        <is>
          <t>Concluído Campo</t>
        </is>
      </c>
      <c r="S437" s="9" t="n">
        <v>45554</v>
      </c>
      <c r="T437" s="10" t="inlineStr"/>
      <c r="U437" s="7" t="inlineStr">
        <is>
          <t>4272203</t>
        </is>
      </c>
      <c r="V437" s="7" t="inlineStr">
        <is>
          <t>FINALIZADO</t>
        </is>
      </c>
      <c r="W437" s="7" t="inlineStr"/>
      <c r="X437" s="7" t="inlineStr">
        <is>
          <t>MEDIÇÃO CONCLUÍDA</t>
        </is>
      </c>
      <c r="Y437" s="11">
        <f>IF(AND(L437&lt;&gt;"", S437&lt;&gt;""), S437-L437, IF(L437&lt;&gt;"", TODAY()-L437, ""))</f>
        <v/>
      </c>
      <c r="Z437" s="7">
        <f>IF(Y437="", "", IF(Y437&lt;=3, "NO PRAZO", "ATRASADO"))</f>
        <v/>
      </c>
      <c r="AA437" s="8" t="inlineStr">
        <is>
          <t>100% - OK</t>
        </is>
      </c>
    </row>
    <row r="438" ht="20" customHeight="1">
      <c r="A438" s="7" t="inlineStr">
        <is>
          <t>RSCLER0436</t>
        </is>
      </c>
      <c r="B438" s="8" t="inlineStr">
        <is>
          <t>PORTO ALEGRE</t>
        </is>
      </c>
      <c r="C438" s="7" t="inlineStr">
        <is>
          <t>CNTAA</t>
        </is>
      </c>
      <c r="D438" s="7" t="inlineStr">
        <is>
          <t>CBXAIA</t>
        </is>
      </c>
      <c r="E438" s="7" t="inlineStr">
        <is>
          <t>PAE MF</t>
        </is>
      </c>
      <c r="F438" s="8" t="inlineStr">
        <is>
          <t>Cond Ed Miraggio Finamore</t>
        </is>
      </c>
      <c r="G438" s="8" t="inlineStr">
        <is>
          <t>R. Alberto Torres, 58</t>
        </is>
      </c>
      <c r="H438" s="7" t="inlineStr">
        <is>
          <t>CNTAA.367.M010</t>
        </is>
      </c>
      <c r="I438" s="8" t="inlineStr">
        <is>
          <t>2 ABERTURA E FECHAMENTO, 3 FUSÃO, 3 TESTE</t>
        </is>
      </c>
      <c r="J438" s="8" t="inlineStr"/>
      <c r="K438" s="8" t="inlineStr">
        <is>
          <t>MARCOS EMILIANO</t>
        </is>
      </c>
      <c r="L438" s="9" t="n">
        <v>45548</v>
      </c>
      <c r="M438" s="9" t="n">
        <v>45551</v>
      </c>
      <c r="N438" s="9" t="n">
        <v>45554</v>
      </c>
      <c r="O438" s="9" t="n">
        <v>45553</v>
      </c>
      <c r="P438" s="7" t="inlineStr">
        <is>
          <t>NÃO PRECISA</t>
        </is>
      </c>
      <c r="Q438" s="9" t="n">
        <v>45555</v>
      </c>
      <c r="R438" s="7" t="inlineStr">
        <is>
          <t>Concluído Campo</t>
        </is>
      </c>
      <c r="S438" s="9" t="n">
        <v>45569</v>
      </c>
      <c r="T438" s="10" t="inlineStr"/>
      <c r="U438" s="7" t="inlineStr">
        <is>
          <t>4307235</t>
        </is>
      </c>
      <c r="V438" s="7" t="inlineStr">
        <is>
          <t>FINALIZADO</t>
        </is>
      </c>
      <c r="W438" s="7" t="inlineStr"/>
      <c r="X438" s="7" t="inlineStr">
        <is>
          <t>MEDIÇÃO CONCLUÍDA</t>
        </is>
      </c>
      <c r="Y438" s="11">
        <f>IF(AND(L438&lt;&gt;"", S438&lt;&gt;""), S438-L438, IF(L438&lt;&gt;"", TODAY()-L438, ""))</f>
        <v/>
      </c>
      <c r="Z438" s="7">
        <f>IF(Y438="", "", IF(Y438&lt;=3, "NO PRAZO", "ATRASADO"))</f>
        <v/>
      </c>
      <c r="AA438" s="8" t="inlineStr">
        <is>
          <t>100% - OK</t>
        </is>
      </c>
    </row>
    <row r="439" ht="20" customHeight="1">
      <c r="A439" s="7" t="inlineStr">
        <is>
          <t>RSCLER0437</t>
        </is>
      </c>
      <c r="B439" s="8" t="inlineStr">
        <is>
          <t>PORTO ALEGRE</t>
        </is>
      </c>
      <c r="C439" s="7" t="inlineStr">
        <is>
          <t>TRZAA</t>
        </is>
      </c>
      <c r="D439" s="7" t="inlineStr">
        <is>
          <t>TRZAJA</t>
        </is>
      </c>
      <c r="E439" s="7" t="inlineStr">
        <is>
          <t>RSPSU11</t>
        </is>
      </c>
      <c r="F439" s="8" t="inlineStr">
        <is>
          <t>Cond Plaza de Las Torres</t>
        </is>
      </c>
      <c r="G439" s="8" t="inlineStr">
        <is>
          <t>Av. Wenceslau Escobar, 2034</t>
        </is>
      </c>
      <c r="H439" s="7" t="inlineStr">
        <is>
          <t>TRZAA.011.M010</t>
        </is>
      </c>
      <c r="I439" s="8" t="inlineStr">
        <is>
          <t>3 ABERTURA E FECHAMENTO, 5 FUSÃO, 2 TESTE</t>
        </is>
      </c>
      <c r="J439" s="8" t="inlineStr"/>
      <c r="K439" s="8" t="inlineStr">
        <is>
          <t>ANDERSON</t>
        </is>
      </c>
      <c r="L439" s="9" t="n">
        <v>45552</v>
      </c>
      <c r="M439" s="9" t="n">
        <v>45553</v>
      </c>
      <c r="N439" s="9" t="n">
        <v>45558</v>
      </c>
      <c r="O439" s="9" t="n">
        <v>45553</v>
      </c>
      <c r="P439" s="7" t="inlineStr">
        <is>
          <t>NÃO PRECISA</t>
        </is>
      </c>
      <c r="Q439" s="9" t="n">
        <v>45555</v>
      </c>
      <c r="R439" s="7" t="inlineStr">
        <is>
          <t>Concluído Campo</t>
        </is>
      </c>
      <c r="S439" s="9" t="n">
        <v>45567</v>
      </c>
      <c r="T439" s="10" t="inlineStr"/>
      <c r="U439" s="7" t="inlineStr">
        <is>
          <t>4307235</t>
        </is>
      </c>
      <c r="V439" s="7" t="inlineStr">
        <is>
          <t>FINALIZADO</t>
        </is>
      </c>
      <c r="W439" s="7" t="inlineStr"/>
      <c r="X439" s="7" t="inlineStr">
        <is>
          <t>MEDIÇÃO CONCLUÍDA</t>
        </is>
      </c>
      <c r="Y439" s="11">
        <f>IF(AND(L439&lt;&gt;"", S439&lt;&gt;""), S439-L439, IF(L439&lt;&gt;"", TODAY()-L439, ""))</f>
        <v/>
      </c>
      <c r="Z439" s="7">
        <f>IF(Y439="", "", IF(Y439&lt;=3, "NO PRAZO", "ATRASADO"))</f>
        <v/>
      </c>
      <c r="AA439" s="8" t="inlineStr">
        <is>
          <t>100% - OK</t>
        </is>
      </c>
    </row>
    <row r="440" ht="20" customHeight="1">
      <c r="A440" s="7" t="inlineStr">
        <is>
          <t>RSCLER0438</t>
        </is>
      </c>
      <c r="B440" s="8" t="inlineStr">
        <is>
          <t>CANOAS</t>
        </is>
      </c>
      <c r="C440" s="7" t="inlineStr">
        <is>
          <t>MRDAB</t>
        </is>
      </c>
      <c r="D440" s="7" t="inlineStr"/>
      <c r="E440" s="7" t="inlineStr">
        <is>
          <t>RSCAN05</t>
        </is>
      </c>
      <c r="F440" s="8" t="inlineStr">
        <is>
          <t>DIRETORIA</t>
        </is>
      </c>
      <c r="G440" s="8" t="inlineStr">
        <is>
          <t>RUA SELSO FIDELIS JARDIM</t>
        </is>
      </c>
      <c r="H440" s="7" t="inlineStr">
        <is>
          <t>MRDAB.015.15.08</t>
        </is>
      </c>
      <c r="I440" s="8" t="inlineStr">
        <is>
          <t>FOI LANÇADO 859 METROS DE CABO DE 12 FO, 3 ABERTURA E FECHAMENTO, 4 FUSÃO, 1 DERIVAÇÃO, 1 NAP NOVA, 1 TESTE</t>
        </is>
      </c>
      <c r="J440" s="8" t="inlineStr">
        <is>
          <t>THIAGO LAMBRETA</t>
        </is>
      </c>
      <c r="K440" s="8" t="inlineStr">
        <is>
          <t>LUCAS HOBERT</t>
        </is>
      </c>
      <c r="L440" s="7" t="inlineStr"/>
      <c r="M440" s="7" t="inlineStr"/>
      <c r="N440" s="7" t="inlineStr"/>
      <c r="O440" s="9" t="n">
        <v>45554</v>
      </c>
      <c r="P440" s="7" t="inlineStr">
        <is>
          <t>NÃO PRECISA</t>
        </is>
      </c>
      <c r="Q440" s="9" t="n">
        <v>45555</v>
      </c>
      <c r="R440" s="7" t="inlineStr">
        <is>
          <t>Concluído Campo</t>
        </is>
      </c>
      <c r="S440" s="9" t="n">
        <v>45554</v>
      </c>
      <c r="T440" s="10" t="inlineStr"/>
      <c r="U440" s="7" t="inlineStr">
        <is>
          <t>4396198</t>
        </is>
      </c>
      <c r="V440" s="7" t="inlineStr">
        <is>
          <t>FINALIZADO</t>
        </is>
      </c>
      <c r="W440" s="7" t="inlineStr"/>
      <c r="X440" s="7" t="inlineStr">
        <is>
          <t>MEDIÇÃO CONCLUÍDA</t>
        </is>
      </c>
      <c r="Y440" s="11">
        <f>IF(AND(L440&lt;&gt;"", S440&lt;&gt;""), S440-L440, IF(L440&lt;&gt;"", TODAY()-L440, ""))</f>
        <v/>
      </c>
      <c r="Z440" s="7">
        <f>IF(Y440="", "", IF(Y440&lt;=3, "NO PRAZO", "ATRASADO"))</f>
        <v/>
      </c>
      <c r="AA440" s="8" t="inlineStr">
        <is>
          <t>100% - OK</t>
        </is>
      </c>
    </row>
    <row r="441" ht="20" customHeight="1">
      <c r="A441" s="7" t="inlineStr">
        <is>
          <t>RSCLER0439</t>
        </is>
      </c>
      <c r="B441" s="8" t="inlineStr">
        <is>
          <t>PORTO ALEGRE</t>
        </is>
      </c>
      <c r="C441" s="7" t="inlineStr">
        <is>
          <t>MNDAA</t>
        </is>
      </c>
      <c r="D441" s="7" t="inlineStr">
        <is>
          <t>MNDAS</t>
        </is>
      </c>
      <c r="E441" s="7" t="inlineStr">
        <is>
          <t>PAE MAD</t>
        </is>
      </c>
      <c r="F441" s="8" t="inlineStr">
        <is>
          <t>Cond do Ed Boulevard Saint Michel</t>
        </is>
      </c>
      <c r="G441" s="8" t="inlineStr">
        <is>
          <t>R. Gonçalves Dias, 185</t>
        </is>
      </c>
      <c r="H441" s="7" t="inlineStr">
        <is>
          <t>MNDAA.132.M040</t>
        </is>
      </c>
      <c r="I441" s="8" t="inlineStr">
        <is>
          <t>4 ABERTURA E FECHAMENTO, 10 FUSÃO, 3 TESTE</t>
        </is>
      </c>
      <c r="J441" s="8" t="inlineStr"/>
      <c r="K441" s="8" t="inlineStr">
        <is>
          <t>MARCOS EMILIANO</t>
        </is>
      </c>
      <c r="L441" s="9" t="n">
        <v>45561</v>
      </c>
      <c r="M441" s="9" t="n">
        <v>45562</v>
      </c>
      <c r="N441" s="9" t="n">
        <v>45565</v>
      </c>
      <c r="O441" s="9" t="n">
        <v>45569</v>
      </c>
      <c r="P441" s="7" t="inlineStr">
        <is>
          <t>NÃO PRECISA</t>
        </is>
      </c>
      <c r="Q441" s="9" t="n">
        <v>45575</v>
      </c>
      <c r="R441" s="7" t="inlineStr">
        <is>
          <t>Concluído Campo</t>
        </is>
      </c>
      <c r="S441" s="9" t="n">
        <v>45568</v>
      </c>
      <c r="T441" s="10" t="inlineStr"/>
      <c r="U441" s="7" t="inlineStr">
        <is>
          <t>4307235</t>
        </is>
      </c>
      <c r="V441" s="7" t="inlineStr">
        <is>
          <t>FINALIZADO</t>
        </is>
      </c>
      <c r="W441" s="7" t="inlineStr"/>
      <c r="X441" s="7" t="inlineStr">
        <is>
          <t>MEDIÇÃO CONCLUÍDA</t>
        </is>
      </c>
      <c r="Y441" s="11">
        <f>IF(AND(L441&lt;&gt;"", S441&lt;&gt;""), S441-L441, IF(L441&lt;&gt;"", TODAY()-L441, ""))</f>
        <v/>
      </c>
      <c r="Z441" s="7">
        <f>IF(Y441="", "", IF(Y441&lt;=3, "NO PRAZO", "ATRASADO"))</f>
        <v/>
      </c>
      <c r="AA441" s="8" t="inlineStr">
        <is>
          <t>100% - OK</t>
        </is>
      </c>
    </row>
    <row r="442" ht="20" customHeight="1">
      <c r="A442" s="7" t="inlineStr">
        <is>
          <t>RSCLER0440</t>
        </is>
      </c>
      <c r="B442" s="8" t="inlineStr">
        <is>
          <t>PORTO ALEGRE</t>
        </is>
      </c>
      <c r="C442" s="7" t="inlineStr">
        <is>
          <t>MTSAA</t>
        </is>
      </c>
      <c r="D442" s="7" t="inlineStr">
        <is>
          <t>PETALB</t>
        </is>
      </c>
      <c r="E442" s="7" t="inlineStr">
        <is>
          <t>PAE BV</t>
        </is>
      </c>
      <c r="F442" s="8" t="inlineStr">
        <is>
          <t>Cond. Terrá</t>
        </is>
      </c>
      <c r="G442" s="8" t="inlineStr">
        <is>
          <t>R. Passo da Pátria, 637</t>
        </is>
      </c>
      <c r="H442" s="7" t="inlineStr">
        <is>
          <t>MTSAA.332.M050</t>
        </is>
      </c>
      <c r="I442" s="8" t="inlineStr">
        <is>
          <t>2 ABERTURA E FECHAMENTO, 3 FUSÃO, 3 TESTE</t>
        </is>
      </c>
      <c r="J442" s="8" t="inlineStr"/>
      <c r="K442" s="8" t="inlineStr">
        <is>
          <t>ANDERSON</t>
        </is>
      </c>
      <c r="L442" s="9" t="n">
        <v>45566</v>
      </c>
      <c r="M442" s="9" t="n">
        <v>45567</v>
      </c>
      <c r="N442" s="9" t="n">
        <v>45567</v>
      </c>
      <c r="O442" s="9" t="n">
        <v>45567</v>
      </c>
      <c r="P442" s="7" t="inlineStr">
        <is>
          <t>NÃO PRECISA</t>
        </is>
      </c>
      <c r="Q442" s="9" t="n">
        <v>45575</v>
      </c>
      <c r="R442" s="7" t="inlineStr">
        <is>
          <t>Concluído Campo</t>
        </is>
      </c>
      <c r="S442" s="9" t="n">
        <v>45576</v>
      </c>
      <c r="T442" s="10" t="inlineStr"/>
      <c r="U442" s="7" t="inlineStr">
        <is>
          <t>4335690</t>
        </is>
      </c>
      <c r="V442" s="7" t="inlineStr">
        <is>
          <t>FINALIZADO</t>
        </is>
      </c>
      <c r="W442" s="7" t="inlineStr"/>
      <c r="X442" s="7" t="inlineStr">
        <is>
          <t>MEDIÇÃO CONCLUÍDA</t>
        </is>
      </c>
      <c r="Y442" s="11">
        <f>IF(AND(L442&lt;&gt;"", S442&lt;&gt;""), S442-L442, IF(L442&lt;&gt;"", TODAY()-L442, ""))</f>
        <v/>
      </c>
      <c r="Z442" s="7">
        <f>IF(Y442="", "", IF(Y442&lt;=3, "NO PRAZO", "ATRASADO"))</f>
        <v/>
      </c>
      <c r="AA442" s="8" t="inlineStr">
        <is>
          <t>100% - OK</t>
        </is>
      </c>
    </row>
    <row r="443" ht="20" customHeight="1">
      <c r="A443" s="7" t="inlineStr">
        <is>
          <t>RSCLER0441</t>
        </is>
      </c>
      <c r="B443" s="8" t="inlineStr">
        <is>
          <t>PORTO ALEGRE</t>
        </is>
      </c>
      <c r="C443" s="7" t="inlineStr">
        <is>
          <t>CTLAA</t>
        </is>
      </c>
      <c r="D443" s="7" t="inlineStr">
        <is>
          <t>CTLAG</t>
        </is>
      </c>
      <c r="E443" s="7" t="inlineStr">
        <is>
          <t>RSPSU07</t>
        </is>
      </c>
      <c r="F443" s="8" t="inlineStr"/>
      <c r="G443" s="8" t="inlineStr">
        <is>
          <t>RUA CAMPOS VELHO, 519, 521, 523, 525</t>
        </is>
      </c>
      <c r="H443" s="7" t="inlineStr">
        <is>
          <t>CTLAA.064.M510</t>
        </is>
      </c>
      <c r="I443" s="8" t="inlineStr">
        <is>
          <t>FOI LANÇADO 100 METROS DE CABO DE 12FO, 1 ABERTURA E FECHAMENTO, 1 CX NOVA, 1 DERIVAÇÃO, 11 FUSÃO, 11 TESTE</t>
        </is>
      </c>
      <c r="J443" s="8" t="inlineStr">
        <is>
          <t>MALCOLM</t>
        </is>
      </c>
      <c r="K443" s="8" t="inlineStr">
        <is>
          <t>MARCOS EMILIANO</t>
        </is>
      </c>
      <c r="L443" s="7" t="inlineStr"/>
      <c r="M443" s="7" t="inlineStr"/>
      <c r="N443" s="7" t="inlineStr"/>
      <c r="O443" s="7" t="inlineStr"/>
      <c r="P443" s="7" t="inlineStr">
        <is>
          <t>NÃO PRECISA</t>
        </is>
      </c>
      <c r="Q443" s="9" t="n">
        <v>45575</v>
      </c>
      <c r="R443" s="7" t="inlineStr">
        <is>
          <t>Concluído Campo</t>
        </is>
      </c>
      <c r="S443" s="9" t="n">
        <v>45579</v>
      </c>
      <c r="T443" s="10" t="inlineStr"/>
      <c r="U443" s="7" t="inlineStr">
        <is>
          <t>4335690</t>
        </is>
      </c>
      <c r="V443" s="7" t="inlineStr">
        <is>
          <t>FINALIZADO</t>
        </is>
      </c>
      <c r="W443" s="7" t="inlineStr"/>
      <c r="X443" s="7" t="inlineStr">
        <is>
          <t>MEDIÇÃO CONCLUÍDA</t>
        </is>
      </c>
      <c r="Y443" s="11">
        <f>IF(AND(L443&lt;&gt;"", S443&lt;&gt;""), S443-L443, IF(L443&lt;&gt;"", TODAY()-L443, ""))</f>
        <v/>
      </c>
      <c r="Z443" s="7">
        <f>IF(Y443="", "", IF(Y443&lt;=3, "NO PRAZO", "ATRASADO"))</f>
        <v/>
      </c>
      <c r="AA443" s="8" t="inlineStr">
        <is>
          <t>100% - OK</t>
        </is>
      </c>
    </row>
    <row r="444" ht="20" customHeight="1">
      <c r="A444" s="7" t="inlineStr">
        <is>
          <t>RSCLER0442</t>
        </is>
      </c>
      <c r="B444" s="8" t="inlineStr">
        <is>
          <t>PORTO ALEGRE</t>
        </is>
      </c>
      <c r="C444" s="7" t="inlineStr">
        <is>
          <t>BVSAB</t>
        </is>
      </c>
      <c r="D444" s="7" t="inlineStr">
        <is>
          <t>PETAU</t>
        </is>
      </c>
      <c r="E444" s="7" t="inlineStr">
        <is>
          <t>PAE NR</t>
        </is>
      </c>
      <c r="F444" s="8" t="inlineStr">
        <is>
          <t>DIRETORIA</t>
        </is>
      </c>
      <c r="G444" s="8" t="inlineStr">
        <is>
          <t>RUA CURVELO, 130 ,200 - REMANEJAMENTO</t>
        </is>
      </c>
      <c r="H444" s="7" t="inlineStr">
        <is>
          <t>BVSAB.081.M080.</t>
        </is>
      </c>
      <c r="I444" s="8" t="inlineStr">
        <is>
          <t>FOI LANÇADO 425 METROS DE CABO DE 12FO, 2 ABERTURA E FECHAMENTO, 8 FUSÃO, 1 CX NOVA, 3 DERIVAÇÃO.</t>
        </is>
      </c>
      <c r="J444" s="8" t="inlineStr">
        <is>
          <t>UBIRATAN</t>
        </is>
      </c>
      <c r="K444" s="8" t="inlineStr">
        <is>
          <t>ANDERSON</t>
        </is>
      </c>
      <c r="L444" s="9" t="n">
        <v>45573</v>
      </c>
      <c r="M444" s="9" t="n">
        <v>45574</v>
      </c>
      <c r="N444" s="9" t="n">
        <v>45575</v>
      </c>
      <c r="O444" s="9" t="n">
        <v>45576</v>
      </c>
      <c r="P444" s="7" t="inlineStr">
        <is>
          <t>NÃO PRECISA</t>
        </is>
      </c>
      <c r="Q444" s="9" t="n">
        <v>45588</v>
      </c>
      <c r="R444" s="7" t="inlineStr">
        <is>
          <t>Concluído Campo</t>
        </is>
      </c>
      <c r="S444" s="9" t="n">
        <v>45580</v>
      </c>
      <c r="T444" s="10" t="inlineStr"/>
      <c r="U444" s="7" t="inlineStr">
        <is>
          <t>4335690</t>
        </is>
      </c>
      <c r="V444" s="7" t="inlineStr">
        <is>
          <t>FINALIZADO</t>
        </is>
      </c>
      <c r="W444" s="7" t="inlineStr"/>
      <c r="X444" s="7" t="inlineStr">
        <is>
          <t>MEDIÇÃO CONCLUÍDA</t>
        </is>
      </c>
      <c r="Y444" s="11">
        <f>IF(AND(L444&lt;&gt;"", S444&lt;&gt;""), S444-L444, IF(L444&lt;&gt;"", TODAY()-L444, ""))</f>
        <v/>
      </c>
      <c r="Z444" s="7">
        <f>IF(Y444="", "", IF(Y444&lt;=3, "NO PRAZO", "ATRASADO"))</f>
        <v/>
      </c>
      <c r="AA444" s="8" t="inlineStr">
        <is>
          <t>100% - OK</t>
        </is>
      </c>
    </row>
    <row r="445" ht="20" customHeight="1">
      <c r="A445" s="7" t="inlineStr">
        <is>
          <t>RSCLER0443</t>
        </is>
      </c>
      <c r="B445" s="8" t="inlineStr">
        <is>
          <t>PORTO ALEGRE</t>
        </is>
      </c>
      <c r="C445" s="7" t="inlineStr">
        <is>
          <t>MNDAA</t>
        </is>
      </c>
      <c r="D445" s="7" t="inlineStr">
        <is>
          <t>MNDAS</t>
        </is>
      </c>
      <c r="E445" s="7" t="inlineStr">
        <is>
          <t>PAE MAD</t>
        </is>
      </c>
      <c r="F445" s="8" t="inlineStr">
        <is>
          <t>Kennel Clube do Rio Grande do Sul</t>
        </is>
      </c>
      <c r="G445" s="8" t="inlineStr">
        <is>
          <t>Av. Getúlio Vargas, 769</t>
        </is>
      </c>
      <c r="H445" s="7" t="inlineStr">
        <is>
          <t>MNDAA.132.M010</t>
        </is>
      </c>
      <c r="I445" s="8" t="inlineStr">
        <is>
          <t>2 ABERTURA E FECHAMENTO,5 FUSÃO, 5 TESTE</t>
        </is>
      </c>
      <c r="J445" s="8" t="inlineStr"/>
      <c r="K445" s="8" t="inlineStr">
        <is>
          <t>PAULO GOMES</t>
        </is>
      </c>
      <c r="L445" s="9" t="n">
        <v>45579</v>
      </c>
      <c r="M445" s="9" t="n">
        <v>45579</v>
      </c>
      <c r="N445" s="9" t="n">
        <v>45579</v>
      </c>
      <c r="O445" s="9" t="n">
        <v>45579</v>
      </c>
      <c r="P445" s="7" t="inlineStr">
        <is>
          <t>NÃO PRECISA</t>
        </is>
      </c>
      <c r="Q445" s="9" t="n">
        <v>45588</v>
      </c>
      <c r="R445" s="7" t="inlineStr">
        <is>
          <t>Concluído Campo</t>
        </is>
      </c>
      <c r="S445" s="9" t="n">
        <v>45593</v>
      </c>
      <c r="T445" s="10" t="inlineStr"/>
      <c r="U445" s="7" t="inlineStr">
        <is>
          <t>4396198</t>
        </is>
      </c>
      <c r="V445" s="7" t="inlineStr">
        <is>
          <t>FINALIZADO</t>
        </is>
      </c>
      <c r="W445" s="7" t="inlineStr"/>
      <c r="X445" s="7" t="inlineStr">
        <is>
          <t>MEDIÇÃO CONCLUÍDA</t>
        </is>
      </c>
      <c r="Y445" s="11">
        <f>IF(AND(L445&lt;&gt;"", S445&lt;&gt;""), S445-L445, IF(L445&lt;&gt;"", TODAY()-L445, ""))</f>
        <v/>
      </c>
      <c r="Z445" s="7">
        <f>IF(Y445="", "", IF(Y445&lt;=3, "NO PRAZO", "ATRASADO"))</f>
        <v/>
      </c>
      <c r="AA445" s="8" t="inlineStr">
        <is>
          <t>100% - OK</t>
        </is>
      </c>
    </row>
    <row r="446" ht="20" customHeight="1">
      <c r="A446" s="7" t="inlineStr">
        <is>
          <t>RSCLER0444</t>
        </is>
      </c>
      <c r="B446" s="8" t="inlineStr">
        <is>
          <t>PORTO ALEGRE</t>
        </is>
      </c>
      <c r="C446" s="7" t="inlineStr">
        <is>
          <t>PDRAA</t>
        </is>
      </c>
      <c r="D446" s="7" t="inlineStr">
        <is>
          <t>PDRAHA</t>
        </is>
      </c>
      <c r="E446" s="7" t="inlineStr">
        <is>
          <t>RSPNO17</t>
        </is>
      </c>
      <c r="F446" s="8" t="inlineStr">
        <is>
          <t>RESID AGAPANTHUS</t>
        </is>
      </c>
      <c r="G446" s="8" t="inlineStr">
        <is>
          <t>R ANDARAI 596</t>
        </is>
      </c>
      <c r="H446" s="7" t="inlineStr">
        <is>
          <t>PDRAA.062.M060</t>
        </is>
      </c>
      <c r="I446" s="8" t="inlineStr">
        <is>
          <t>5 ABERTURA E FECHAMENTO, 4 FUSÃO, 1 TESTE</t>
        </is>
      </c>
      <c r="J446" s="8" t="inlineStr"/>
      <c r="K446" s="8" t="inlineStr">
        <is>
          <t>LUCAS HOBERT</t>
        </is>
      </c>
      <c r="L446" s="9" t="n">
        <v>45579</v>
      </c>
      <c r="M446" s="9" t="n">
        <v>45580</v>
      </c>
      <c r="N446" s="9" t="n">
        <v>45580</v>
      </c>
      <c r="O446" s="9" t="n">
        <v>45580</v>
      </c>
      <c r="P446" s="7" t="inlineStr">
        <is>
          <t>NÃO PRECISA</t>
        </is>
      </c>
      <c r="Q446" s="9" t="n">
        <v>45588</v>
      </c>
      <c r="R446" s="7" t="inlineStr">
        <is>
          <t>Concluído Campo</t>
        </is>
      </c>
      <c r="S446" s="7" t="inlineStr"/>
      <c r="T446" s="10" t="inlineStr"/>
      <c r="U446" s="7" t="inlineStr"/>
      <c r="V446" s="7" t="inlineStr"/>
      <c r="W446" s="7" t="inlineStr"/>
      <c r="X446" s="7" t="inlineStr">
        <is>
          <t>AG. MEDIÇÃO</t>
        </is>
      </c>
      <c r="Y446" s="11">
        <f>IF(AND(L446&lt;&gt;"", S446&lt;&gt;""), S446-L446, IF(L446&lt;&gt;"", TODAY()-L446, ""))</f>
        <v/>
      </c>
      <c r="Z446" s="7">
        <f>IF(Y446="", "", IF(Y446&lt;=3, "NO PRAZO", "ATRASADO"))</f>
        <v/>
      </c>
      <c r="AA446" s="8" t="inlineStr">
        <is>
          <t>100% - OK</t>
        </is>
      </c>
    </row>
    <row r="447" ht="20" customHeight="1">
      <c r="A447" s="7" t="inlineStr">
        <is>
          <t>RSCLER0445</t>
        </is>
      </c>
      <c r="B447" s="8" t="inlineStr">
        <is>
          <t>NOVO HAMBURGO</t>
        </is>
      </c>
      <c r="C447" s="7" t="inlineStr">
        <is>
          <t>CNTAA</t>
        </is>
      </c>
      <c r="D447" s="7" t="inlineStr">
        <is>
          <t>CNTAG</t>
        </is>
      </c>
      <c r="E447" s="7" t="inlineStr">
        <is>
          <t>NHO LO</t>
        </is>
      </c>
      <c r="F447" s="8" t="inlineStr"/>
      <c r="G447" s="8" t="inlineStr">
        <is>
          <t>R. Davi Canabarro 37, 112</t>
        </is>
      </c>
      <c r="H447" s="7" t="inlineStr">
        <is>
          <t>CNTAA.115.M020</t>
        </is>
      </c>
      <c r="I447" s="8" t="inlineStr">
        <is>
          <t>4 ABERTURA E FECHAMENTO, 11 FUSÃO, 7 TESTE</t>
        </is>
      </c>
      <c r="J447" s="8" t="inlineStr"/>
      <c r="K447" s="8" t="inlineStr">
        <is>
          <t>MARCOS EMILIANO</t>
        </is>
      </c>
      <c r="L447" s="9" t="n">
        <v>45580</v>
      </c>
      <c r="M447" s="9" t="n">
        <v>45581</v>
      </c>
      <c r="N447" s="9" t="n">
        <v>45586</v>
      </c>
      <c r="O447" s="9" t="n">
        <v>45593</v>
      </c>
      <c r="P447" s="7" t="inlineStr">
        <is>
          <t>NÃO PRECISA</t>
        </is>
      </c>
      <c r="Q447" s="9" t="n">
        <v>45608</v>
      </c>
      <c r="R447" s="7" t="inlineStr">
        <is>
          <t>Concluído Campo</t>
        </is>
      </c>
      <c r="S447" s="9" t="n">
        <v>45584</v>
      </c>
      <c r="T447" s="10" t="inlineStr"/>
      <c r="U447" s="7" t="inlineStr">
        <is>
          <t>4335690</t>
        </is>
      </c>
      <c r="V447" s="7" t="inlineStr">
        <is>
          <t>FINALIZADO</t>
        </is>
      </c>
      <c r="W447" s="7" t="inlineStr"/>
      <c r="X447" s="7" t="inlineStr">
        <is>
          <t>MEDIÇÃO CONCLUÍDA</t>
        </is>
      </c>
      <c r="Y447" s="11">
        <f>IF(AND(L447&lt;&gt;"", S447&lt;&gt;""), S447-L447, IF(L447&lt;&gt;"", TODAY()-L447, ""))</f>
        <v/>
      </c>
      <c r="Z447" s="7">
        <f>IF(Y447="", "", IF(Y447&lt;=3, "NO PRAZO", "ATRASADO"))</f>
        <v/>
      </c>
      <c r="AA447" s="8" t="inlineStr">
        <is>
          <t>100% - OK</t>
        </is>
      </c>
    </row>
    <row r="448" ht="20" customHeight="1">
      <c r="A448" s="7" t="inlineStr">
        <is>
          <t>RSCLER0446</t>
        </is>
      </c>
      <c r="B448" s="8" t="inlineStr">
        <is>
          <t>NOVO HAMBURGO</t>
        </is>
      </c>
      <c r="C448" s="7" t="inlineStr">
        <is>
          <t>CNTAA</t>
        </is>
      </c>
      <c r="D448" s="7" t="inlineStr">
        <is>
          <t>CNTAG</t>
        </is>
      </c>
      <c r="E448" s="7" t="inlineStr">
        <is>
          <t>NHO LO</t>
        </is>
      </c>
      <c r="F448" s="8" t="inlineStr"/>
      <c r="G448" s="8" t="inlineStr">
        <is>
          <t>Av. Pedro Admans Filho, 5347</t>
        </is>
      </c>
      <c r="H448" s="7" t="inlineStr">
        <is>
          <t>CNTAA.115.M040</t>
        </is>
      </c>
      <c r="I448" s="8" t="inlineStr">
        <is>
          <t>COBRAR JUNTO COM A OS RSCLER0443</t>
        </is>
      </c>
      <c r="J448" s="8" t="inlineStr"/>
      <c r="K448" s="8" t="inlineStr">
        <is>
          <t>MARCOS EMILIANO</t>
        </is>
      </c>
      <c r="L448" s="9" t="n">
        <v>45580</v>
      </c>
      <c r="M448" s="9" t="n">
        <v>45581</v>
      </c>
      <c r="N448" s="9" t="n">
        <v>45586</v>
      </c>
      <c r="O448" s="9" t="n">
        <v>45593</v>
      </c>
      <c r="P448" s="7" t="inlineStr">
        <is>
          <t>NÃO PRECISA</t>
        </is>
      </c>
      <c r="Q448" s="9" t="n">
        <v>45608</v>
      </c>
      <c r="R448" s="7" t="inlineStr">
        <is>
          <t>Concluído Campo</t>
        </is>
      </c>
      <c r="S448" s="9" t="n">
        <v>45583</v>
      </c>
      <c r="T448" s="10" t="inlineStr"/>
      <c r="U448" s="7" t="inlineStr">
        <is>
          <t>4335690</t>
        </is>
      </c>
      <c r="V448" s="7" t="inlineStr">
        <is>
          <t>FINALIZADO</t>
        </is>
      </c>
      <c r="W448" s="7" t="inlineStr"/>
      <c r="X448" s="7" t="inlineStr">
        <is>
          <t>MEDIÇÃO CONCLUÍDA</t>
        </is>
      </c>
      <c r="Y448" s="11">
        <f>IF(AND(L448&lt;&gt;"", S448&lt;&gt;""), S448-L448, IF(L448&lt;&gt;"", TODAY()-L448, ""))</f>
        <v/>
      </c>
      <c r="Z448" s="7">
        <f>IF(Y448="", "", IF(Y448&lt;=3, "NO PRAZO", "ATRASADO"))</f>
        <v/>
      </c>
      <c r="AA448" s="8" t="inlineStr">
        <is>
          <t>100% - OK</t>
        </is>
      </c>
    </row>
    <row r="449" ht="20" customHeight="1">
      <c r="A449" s="7" t="inlineStr">
        <is>
          <t>RSCLER0447</t>
        </is>
      </c>
      <c r="B449" s="8" t="inlineStr">
        <is>
          <t>NOVO HAMBURGO</t>
        </is>
      </c>
      <c r="C449" s="7" t="inlineStr">
        <is>
          <t>CNTAA</t>
        </is>
      </c>
      <c r="D449" s="7" t="inlineStr">
        <is>
          <t>CNTAG</t>
        </is>
      </c>
      <c r="E449" s="7" t="inlineStr">
        <is>
          <t>NHO LO</t>
        </is>
      </c>
      <c r="F449" s="8" t="inlineStr"/>
      <c r="G449" s="8" t="inlineStr">
        <is>
          <t>Av. Pedro Admans Filho, 4732, 4754, 4790</t>
        </is>
      </c>
      <c r="H449" s="7" t="inlineStr">
        <is>
          <t>CNTAA.113.M040</t>
        </is>
      </c>
      <c r="I449" s="8" t="inlineStr">
        <is>
          <t>FOI LANÇADO 20 METROS DE CABO DE 12FO, 2 ABERTURA E FECHAMENTO, 10 FUSÃO, 1 DERIVAÇÃO, 1 CX NOVA, 5 TESTE</t>
        </is>
      </c>
      <c r="J449" s="8" t="inlineStr"/>
      <c r="K449" s="8" t="inlineStr">
        <is>
          <t>MARCOS EMILIANO</t>
        </is>
      </c>
      <c r="L449" s="9" t="n">
        <v>45580</v>
      </c>
      <c r="M449" s="9" t="n">
        <v>45581</v>
      </c>
      <c r="N449" s="9" t="n">
        <v>45586</v>
      </c>
      <c r="O449" s="9" t="n">
        <v>45584</v>
      </c>
      <c r="P449" s="7" t="inlineStr">
        <is>
          <t>NÃO PRECISA</t>
        </is>
      </c>
      <c r="Q449" s="9" t="n">
        <v>45588</v>
      </c>
      <c r="R449" s="7" t="inlineStr">
        <is>
          <t>Concluído Campo</t>
        </is>
      </c>
      <c r="S449" s="9" t="n">
        <v>45584</v>
      </c>
      <c r="T449" s="10" t="inlineStr"/>
      <c r="U449" s="7" t="inlineStr">
        <is>
          <t>4335690</t>
        </is>
      </c>
      <c r="V449" s="7" t="inlineStr">
        <is>
          <t>FINALIZADO</t>
        </is>
      </c>
      <c r="W449" s="7" t="inlineStr"/>
      <c r="X449" s="7" t="inlineStr">
        <is>
          <t>MEDIÇÃO CONCLUÍDA</t>
        </is>
      </c>
      <c r="Y449" s="11">
        <f>IF(AND(L449&lt;&gt;"", S449&lt;&gt;""), S449-L449, IF(L449&lt;&gt;"", TODAY()-L449, ""))</f>
        <v/>
      </c>
      <c r="Z449" s="7">
        <f>IF(Y449="", "", IF(Y449&lt;=3, "NO PRAZO", "ATRASADO"))</f>
        <v/>
      </c>
      <c r="AA449" s="8" t="inlineStr">
        <is>
          <t>100% - OK</t>
        </is>
      </c>
    </row>
    <row r="450" ht="20" customHeight="1">
      <c r="A450" s="7" t="inlineStr">
        <is>
          <t>RSCLER0448</t>
        </is>
      </c>
      <c r="B450" s="8" t="inlineStr">
        <is>
          <t>PORTO ALEGRE</t>
        </is>
      </c>
      <c r="C450" s="7" t="inlineStr">
        <is>
          <t>MTSAA</t>
        </is>
      </c>
      <c r="D450" s="7" t="inlineStr">
        <is>
          <t>MTSARA</t>
        </is>
      </c>
      <c r="E450" s="7" t="inlineStr">
        <is>
          <t>PAE BV</t>
        </is>
      </c>
      <c r="F450" s="8" t="inlineStr"/>
      <c r="G450" s="8" t="inlineStr">
        <is>
          <t>R. Silva Jardim, 475</t>
        </is>
      </c>
      <c r="H450" s="7" t="inlineStr">
        <is>
          <t>MTSAA.113.M010</t>
        </is>
      </c>
      <c r="I450" s="8" t="inlineStr">
        <is>
          <t>3 ABERTURA E FECHAMENTO, 2 FUSÃO, 1 TESTE</t>
        </is>
      </c>
      <c r="J450" s="8" t="inlineStr"/>
      <c r="K450" s="8" t="inlineStr">
        <is>
          <t>ANDERSON</t>
        </is>
      </c>
      <c r="L450" s="9" t="n">
        <v>45582</v>
      </c>
      <c r="M450" s="9" t="n">
        <v>45583</v>
      </c>
      <c r="N450" s="7" t="inlineStr"/>
      <c r="O450" s="9" t="n">
        <v>45583</v>
      </c>
      <c r="P450" s="7" t="inlineStr">
        <is>
          <t>NÃO PRECISA</t>
        </is>
      </c>
      <c r="Q450" s="9" t="n">
        <v>45588</v>
      </c>
      <c r="R450" s="7" t="inlineStr">
        <is>
          <t>Concluído Campo</t>
        </is>
      </c>
      <c r="S450" s="9" t="n">
        <v>45588</v>
      </c>
      <c r="T450" s="10" t="inlineStr"/>
      <c r="U450" s="7" t="inlineStr">
        <is>
          <t>4335690</t>
        </is>
      </c>
      <c r="V450" s="7" t="inlineStr">
        <is>
          <t>FINALIZADO</t>
        </is>
      </c>
      <c r="W450" s="7" t="inlineStr"/>
      <c r="X450" s="7" t="inlineStr">
        <is>
          <t>MEDIÇÃO CONCLUÍDA</t>
        </is>
      </c>
      <c r="Y450" s="11">
        <f>IF(AND(L450&lt;&gt;"", S450&lt;&gt;""), S450-L450, IF(L450&lt;&gt;"", TODAY()-L450, ""))</f>
        <v/>
      </c>
      <c r="Z450" s="7">
        <f>IF(Y450="", "", IF(Y450&lt;=3, "NO PRAZO", "ATRASADO"))</f>
        <v/>
      </c>
      <c r="AA450" s="8" t="inlineStr">
        <is>
          <t>100% - OK</t>
        </is>
      </c>
    </row>
    <row r="451" ht="20" customHeight="1">
      <c r="A451" s="7" t="inlineStr">
        <is>
          <t>RSCLER0449</t>
        </is>
      </c>
      <c r="B451" s="8" t="inlineStr">
        <is>
          <t>PORTO ALEGRE</t>
        </is>
      </c>
      <c r="C451" s="7" t="inlineStr">
        <is>
          <t>TRZAA</t>
        </is>
      </c>
      <c r="D451" s="7" t="inlineStr">
        <is>
          <t>TRZAF</t>
        </is>
      </c>
      <c r="E451" s="7" t="inlineStr">
        <is>
          <t>RSPSU11</t>
        </is>
      </c>
      <c r="F451" s="8" t="inlineStr"/>
      <c r="G451" s="8" t="inlineStr">
        <is>
          <t>Rua Pereira Neto, 501</t>
        </is>
      </c>
      <c r="H451" s="7" t="inlineStr">
        <is>
          <t>TRZAA.052.M080.</t>
        </is>
      </c>
      <c r="I451" s="8" t="inlineStr">
        <is>
          <t>3 ABERTURA E FECHAMENTO,2 FUSÃO, 1 TESTE</t>
        </is>
      </c>
      <c r="J451" s="8" t="inlineStr"/>
      <c r="K451" s="8" t="inlineStr">
        <is>
          <t>MARCOS EMILIANO</t>
        </is>
      </c>
      <c r="L451" s="9" t="n">
        <v>45582</v>
      </c>
      <c r="M451" s="9" t="n">
        <v>45583</v>
      </c>
      <c r="N451" s="9" t="n">
        <v>45586</v>
      </c>
      <c r="O451" s="9" t="n">
        <v>45584</v>
      </c>
      <c r="P451" s="7" t="inlineStr">
        <is>
          <t>NÃO PRECISA</t>
        </is>
      </c>
      <c r="Q451" s="9" t="n">
        <v>45588</v>
      </c>
      <c r="R451" s="7" t="inlineStr">
        <is>
          <t>Concluído Campo</t>
        </is>
      </c>
      <c r="S451" s="9" t="n">
        <v>45587</v>
      </c>
      <c r="T451" s="10" t="inlineStr"/>
      <c r="U451" s="7" t="inlineStr">
        <is>
          <t>4335690</t>
        </is>
      </c>
      <c r="V451" s="7" t="inlineStr">
        <is>
          <t>FINALIZADO</t>
        </is>
      </c>
      <c r="W451" s="7" t="inlineStr"/>
      <c r="X451" s="7" t="inlineStr">
        <is>
          <t>MEDIÇÃO CONCLUÍDA</t>
        </is>
      </c>
      <c r="Y451" s="11">
        <f>IF(AND(L451&lt;&gt;"", S451&lt;&gt;""), S451-L451, IF(L451&lt;&gt;"", TODAY()-L451, ""))</f>
        <v/>
      </c>
      <c r="Z451" s="7">
        <f>IF(Y451="", "", IF(Y451&lt;=3, "NO PRAZO", "ATRASADO"))</f>
        <v/>
      </c>
      <c r="AA451" s="8" t="inlineStr">
        <is>
          <t>100% - OK</t>
        </is>
      </c>
    </row>
    <row r="452" ht="20" customHeight="1">
      <c r="A452" s="7" t="inlineStr">
        <is>
          <t>RSCLER0450</t>
        </is>
      </c>
      <c r="B452" s="8" t="inlineStr">
        <is>
          <t>PORTO ALEGRE</t>
        </is>
      </c>
      <c r="C452" s="7" t="inlineStr">
        <is>
          <t>JITAB</t>
        </is>
      </c>
      <c r="D452" s="7" t="inlineStr">
        <is>
          <t>JITAIA</t>
        </is>
      </c>
      <c r="E452" s="7" t="inlineStr">
        <is>
          <t>RSPNO75</t>
        </is>
      </c>
      <c r="F452" s="8" t="inlineStr"/>
      <c r="G452" s="8" t="inlineStr">
        <is>
          <t>R. Jalmar Azambuja Diniz, 82</t>
        </is>
      </c>
      <c r="H452" s="7" t="inlineStr">
        <is>
          <t>JITAB.151.M010</t>
        </is>
      </c>
      <c r="I452" s="8" t="inlineStr">
        <is>
          <t>1 ABERTURA E FECHAMENTO</t>
        </is>
      </c>
      <c r="J452" s="8" t="inlineStr"/>
      <c r="K452" s="8" t="inlineStr">
        <is>
          <t>MARCOS EMILIANO / SINOS</t>
        </is>
      </c>
      <c r="L452" s="9" t="n">
        <v>45586</v>
      </c>
      <c r="M452" s="7" t="inlineStr"/>
      <c r="N452" s="7" t="inlineStr"/>
      <c r="O452" s="9" t="n">
        <v>45588</v>
      </c>
      <c r="P452" s="7" t="inlineStr">
        <is>
          <t>NÃO PRECISA</t>
        </is>
      </c>
      <c r="Q452" s="9" t="n">
        <v>45588</v>
      </c>
      <c r="R452" s="7" t="inlineStr">
        <is>
          <t>Concluído Campo</t>
        </is>
      </c>
      <c r="S452" s="9" t="n">
        <v>45587</v>
      </c>
      <c r="T452" s="10" t="inlineStr"/>
      <c r="U452" s="7" t="inlineStr">
        <is>
          <t>4335690</t>
        </is>
      </c>
      <c r="V452" s="7" t="inlineStr">
        <is>
          <t>FINALIZADO</t>
        </is>
      </c>
      <c r="W452" s="7" t="inlineStr"/>
      <c r="X452" s="7" t="inlineStr">
        <is>
          <t>MEDIÇÃO CONCLUÍDA</t>
        </is>
      </c>
      <c r="Y452" s="11">
        <f>IF(AND(L452&lt;&gt;"", S452&lt;&gt;""), S452-L452, IF(L452&lt;&gt;"", TODAY()-L452, ""))</f>
        <v/>
      </c>
      <c r="Z452" s="7">
        <f>IF(Y452="", "", IF(Y452&lt;=3, "NO PRAZO", "ATRASADO"))</f>
        <v/>
      </c>
      <c r="AA452" s="8" t="inlineStr"/>
    </row>
    <row r="453" ht="20" customHeight="1">
      <c r="A453" s="7" t="inlineStr">
        <is>
          <t>RSCLER0451</t>
        </is>
      </c>
      <c r="B453" s="8" t="inlineStr">
        <is>
          <t>PORTO ALEGRE</t>
        </is>
      </c>
      <c r="C453" s="7" t="inlineStr">
        <is>
          <t>BVSAB</t>
        </is>
      </c>
      <c r="D453" s="7" t="inlineStr">
        <is>
          <t>PETAU</t>
        </is>
      </c>
      <c r="E453" s="7" t="inlineStr">
        <is>
          <t>PAE NR</t>
        </is>
      </c>
      <c r="F453" s="8" t="inlineStr">
        <is>
          <t>Edifício Axis Office</t>
        </is>
      </c>
      <c r="G453" s="8" t="inlineStr">
        <is>
          <t>Av. Sen. Tarso Dutra, 161</t>
        </is>
      </c>
      <c r="H453" s="7" t="inlineStr">
        <is>
          <t>BVSAB.081.M080.,</t>
        </is>
      </c>
      <c r="I453" s="8" t="inlineStr">
        <is>
          <t>3 ABERTURA E FECHAMENTO, 4 FUSÃO, 2 TESTE</t>
        </is>
      </c>
      <c r="J453" s="8" t="inlineStr"/>
      <c r="K453" s="8" t="inlineStr">
        <is>
          <t>ANDERSON</t>
        </is>
      </c>
      <c r="L453" s="9" t="n">
        <v>45586</v>
      </c>
      <c r="M453" s="9" t="n">
        <v>45587</v>
      </c>
      <c r="N453" s="9" t="n">
        <v>45587</v>
      </c>
      <c r="O453" s="9" t="n">
        <v>45587</v>
      </c>
      <c r="P453" s="7" t="inlineStr">
        <is>
          <t>NÃO PRECISA</t>
        </is>
      </c>
      <c r="Q453" s="9" t="n">
        <v>45588</v>
      </c>
      <c r="R453" s="7" t="inlineStr">
        <is>
          <t>Concluído Campo</t>
        </is>
      </c>
      <c r="S453" s="9" t="n">
        <v>45603</v>
      </c>
      <c r="T453" s="10" t="inlineStr"/>
      <c r="U453" s="7" t="inlineStr">
        <is>
          <t>4396198</t>
        </is>
      </c>
      <c r="V453" s="7" t="inlineStr">
        <is>
          <t>FINALIZADO</t>
        </is>
      </c>
      <c r="W453" s="7" t="inlineStr"/>
      <c r="X453" s="7" t="inlineStr">
        <is>
          <t>MEDIÇÃO CONCLUÍDA</t>
        </is>
      </c>
      <c r="Y453" s="11">
        <f>IF(AND(L453&lt;&gt;"", S453&lt;&gt;""), S453-L453, IF(L453&lt;&gt;"", TODAY()-L453, ""))</f>
        <v/>
      </c>
      <c r="Z453" s="7">
        <f>IF(Y453="", "", IF(Y453&lt;=3, "NO PRAZO", "ATRASADO"))</f>
        <v/>
      </c>
      <c r="AA453" s="8" t="inlineStr">
        <is>
          <t>100% - OK</t>
        </is>
      </c>
    </row>
    <row r="454" ht="20" customHeight="1">
      <c r="A454" s="7" t="inlineStr">
        <is>
          <t>RSCLER0452</t>
        </is>
      </c>
      <c r="B454" s="8" t="inlineStr">
        <is>
          <t>PORTO ALEGRE</t>
        </is>
      </c>
      <c r="C454" s="7" t="inlineStr">
        <is>
          <t>RBRAA</t>
        </is>
      </c>
      <c r="D454" s="7" t="inlineStr">
        <is>
          <t>RBRAO</t>
        </is>
      </c>
      <c r="E454" s="7" t="inlineStr">
        <is>
          <t>RSPLE08</t>
        </is>
      </c>
      <c r="F454" s="8" t="inlineStr">
        <is>
          <t>Cond Edificio Jonas Wolf</t>
        </is>
      </c>
      <c r="G454" s="8" t="inlineStr">
        <is>
          <t>Av. Protásio Alves, 1320</t>
        </is>
      </c>
      <c r="H454" s="7" t="inlineStr">
        <is>
          <t>RBRAA.124.M010</t>
        </is>
      </c>
      <c r="I454" s="8" t="inlineStr">
        <is>
          <t>4 ABERTURA E FECHAMENTO, 11 FUSÃO, 3 TESTE</t>
        </is>
      </c>
      <c r="J454" s="8" t="inlineStr"/>
      <c r="K454" s="8" t="inlineStr">
        <is>
          <t>ANDERSON</t>
        </is>
      </c>
      <c r="L454" s="9" t="n">
        <v>45586</v>
      </c>
      <c r="M454" s="9" t="n">
        <v>45587</v>
      </c>
      <c r="N454" s="9" t="n">
        <v>45587</v>
      </c>
      <c r="O454" s="9" t="n">
        <v>45587</v>
      </c>
      <c r="P454" s="7" t="inlineStr">
        <is>
          <t>NÃO PRECISA</t>
        </is>
      </c>
      <c r="Q454" s="9" t="n">
        <v>45588</v>
      </c>
      <c r="R454" s="7" t="inlineStr">
        <is>
          <t>Concluído Campo</t>
        </is>
      </c>
      <c r="S454" s="9" t="n">
        <v>45600</v>
      </c>
      <c r="T454" s="10" t="inlineStr"/>
      <c r="U454" s="7" t="inlineStr">
        <is>
          <t>4396198</t>
        </is>
      </c>
      <c r="V454" s="7" t="inlineStr">
        <is>
          <t>FINALIZADO</t>
        </is>
      </c>
      <c r="W454" s="7" t="inlineStr"/>
      <c r="X454" s="7" t="inlineStr">
        <is>
          <t>MEDIÇÃO CONCLUÍDA</t>
        </is>
      </c>
      <c r="Y454" s="11">
        <f>IF(AND(L454&lt;&gt;"", S454&lt;&gt;""), S454-L454, IF(L454&lt;&gt;"", TODAY()-L454, ""))</f>
        <v/>
      </c>
      <c r="Z454" s="7">
        <f>IF(Y454="", "", IF(Y454&lt;=3, "NO PRAZO", "ATRASADO"))</f>
        <v/>
      </c>
      <c r="AA454" s="8" t="inlineStr">
        <is>
          <t>100% - OK</t>
        </is>
      </c>
    </row>
    <row r="455" ht="20" customHeight="1">
      <c r="A455" s="7" t="inlineStr">
        <is>
          <t>RSCLER0453</t>
        </is>
      </c>
      <c r="B455" s="8" t="inlineStr">
        <is>
          <t>PORTO ALEGRE</t>
        </is>
      </c>
      <c r="C455" s="7" t="inlineStr">
        <is>
          <t>FLOAB</t>
        </is>
      </c>
      <c r="D455" s="7" t="inlineStr">
        <is>
          <t>FLOAKB</t>
        </is>
      </c>
      <c r="E455" s="7" t="inlineStr">
        <is>
          <t>RSPCE05</t>
        </is>
      </c>
      <c r="F455" s="8" t="inlineStr">
        <is>
          <t>Edifício Cosmos</t>
        </is>
      </c>
      <c r="G455" s="8" t="inlineStr">
        <is>
          <t>Av. Alberto Bins, 325</t>
        </is>
      </c>
      <c r="H455" s="7" t="inlineStr">
        <is>
          <t>FLOAB.092.M040</t>
        </is>
      </c>
      <c r="I455" s="8" t="inlineStr">
        <is>
          <t>FOI LANÇADO 565 METROS DE CABO DE 12 FO, 6 ABERTURA E FECHAMENTO, 5 FUSÃO, 2 DERIVAÇÃO, 1 TESTE</t>
        </is>
      </c>
      <c r="J455" s="8" t="inlineStr">
        <is>
          <t>TIAGO FERREIRA</t>
        </is>
      </c>
      <c r="K455" s="8" t="inlineStr">
        <is>
          <t>FABIO AMARILHO</t>
        </is>
      </c>
      <c r="L455" s="9" t="n">
        <v>45586</v>
      </c>
      <c r="M455" s="7" t="inlineStr"/>
      <c r="N455" s="7" t="inlineStr"/>
      <c r="O455" s="9" t="n">
        <v>45603</v>
      </c>
      <c r="P455" s="7" t="inlineStr">
        <is>
          <t>NÃO PRECISA</t>
        </is>
      </c>
      <c r="Q455" s="9" t="n">
        <v>45608</v>
      </c>
      <c r="R455" s="7" t="inlineStr">
        <is>
          <t>Concluído Campo</t>
        </is>
      </c>
      <c r="S455" s="9" t="n">
        <v>45601</v>
      </c>
      <c r="T455" s="10" t="inlineStr"/>
      <c r="U455" s="7" t="inlineStr">
        <is>
          <t>4396198</t>
        </is>
      </c>
      <c r="V455" s="7" t="inlineStr">
        <is>
          <t>FINALIZADO</t>
        </is>
      </c>
      <c r="W455" s="7" t="inlineStr"/>
      <c r="X455" s="7" t="inlineStr">
        <is>
          <t>MEDIÇÃO CONCLUÍDA</t>
        </is>
      </c>
      <c r="Y455" s="11">
        <f>IF(AND(L455&lt;&gt;"", S455&lt;&gt;""), S455-L455, IF(L455&lt;&gt;"", TODAY()-L455, ""))</f>
        <v/>
      </c>
      <c r="Z455" s="7">
        <f>IF(Y455="", "", IF(Y455&lt;=3, "NO PRAZO", "ATRASADO"))</f>
        <v/>
      </c>
      <c r="AA455" s="8" t="inlineStr">
        <is>
          <t>100% - OK</t>
        </is>
      </c>
    </row>
    <row r="456" ht="20" customHeight="1">
      <c r="A456" s="7" t="inlineStr">
        <is>
          <t>RSCLER0454</t>
        </is>
      </c>
      <c r="B456" s="8" t="inlineStr">
        <is>
          <t>PORTO ALEGRE</t>
        </is>
      </c>
      <c r="C456" s="7" t="inlineStr">
        <is>
          <t>VIPAA</t>
        </is>
      </c>
      <c r="D456" s="7" t="inlineStr">
        <is>
          <t>SPEADB</t>
        </is>
      </c>
      <c r="E456" s="7" t="inlineStr">
        <is>
          <t>RSPNO19</t>
        </is>
      </c>
      <c r="F456" s="8" t="inlineStr">
        <is>
          <t>Cond do Edifício The Ambassador</t>
        </is>
      </c>
      <c r="G456" s="8" t="inlineStr">
        <is>
          <t>R. Alberto Silva, 355</t>
        </is>
      </c>
      <c r="H456" s="7" t="inlineStr">
        <is>
          <t>VIPAA.007.M010</t>
        </is>
      </c>
      <c r="I456" s="8" t="inlineStr">
        <is>
          <t>2 ABERTURA E FECHAMENTO, 2 FUSÃO, 2 TESTE</t>
        </is>
      </c>
      <c r="J456" s="8" t="inlineStr"/>
      <c r="K456" s="8" t="inlineStr">
        <is>
          <t>ANDERSON</t>
        </is>
      </c>
      <c r="L456" s="9" t="n">
        <v>45590</v>
      </c>
      <c r="M456" s="7" t="inlineStr"/>
      <c r="N456" s="7" t="inlineStr"/>
      <c r="O456" s="9" t="n">
        <v>45600</v>
      </c>
      <c r="P456" s="7" t="inlineStr">
        <is>
          <t>NÃO PRECISA</t>
        </is>
      </c>
      <c r="Q456" s="9" t="n">
        <v>45608</v>
      </c>
      <c r="R456" s="7" t="inlineStr">
        <is>
          <t>Concluído Campo</t>
        </is>
      </c>
      <c r="S456" s="9" t="n">
        <v>45597</v>
      </c>
      <c r="T456" s="10" t="inlineStr"/>
      <c r="U456" s="7" t="inlineStr">
        <is>
          <t>4396198</t>
        </is>
      </c>
      <c r="V456" s="7" t="inlineStr">
        <is>
          <t>FINALIZADO</t>
        </is>
      </c>
      <c r="W456" s="7" t="inlineStr"/>
      <c r="X456" s="7" t="inlineStr">
        <is>
          <t>MEDIÇÃO CONCLUÍDA</t>
        </is>
      </c>
      <c r="Y456" s="11">
        <f>IF(AND(L456&lt;&gt;"", S456&lt;&gt;""), S456-L456, IF(L456&lt;&gt;"", TODAY()-L456, ""))</f>
        <v/>
      </c>
      <c r="Z456" s="7">
        <f>IF(Y456="", "", IF(Y456&lt;=3, "NO PRAZO", "ATRASADO"))</f>
        <v/>
      </c>
      <c r="AA456" s="8" t="inlineStr">
        <is>
          <t>100% - OK</t>
        </is>
      </c>
    </row>
    <row r="457" ht="20" customHeight="1">
      <c r="A457" s="7" t="inlineStr">
        <is>
          <t>RSCLER0455</t>
        </is>
      </c>
      <c r="B457" s="8" t="inlineStr">
        <is>
          <t>PORTO ALEGRE</t>
        </is>
      </c>
      <c r="C457" s="7" t="inlineStr">
        <is>
          <t>CTLAA</t>
        </is>
      </c>
      <c r="D457" s="7" t="inlineStr">
        <is>
          <t>CTLAI</t>
        </is>
      </c>
      <c r="E457" s="7" t="inlineStr">
        <is>
          <t>RSPSU07</t>
        </is>
      </c>
      <c r="F457" s="8" t="inlineStr">
        <is>
          <t>Ed Canvas</t>
        </is>
      </c>
      <c r="G457" s="8" t="inlineStr">
        <is>
          <t>R Jaguari 1170</t>
        </is>
      </c>
      <c r="H457" s="7" t="inlineStr">
        <is>
          <t>CTLAA.071.M010</t>
        </is>
      </c>
      <c r="I457" s="8" t="inlineStr">
        <is>
          <t>4 ABERTURA E FECHAMENTO, 5 FUSÃO, 3 TESTE</t>
        </is>
      </c>
      <c r="J457" s="8" t="inlineStr"/>
      <c r="K457" s="8" t="inlineStr">
        <is>
          <t>ANDERSON</t>
        </is>
      </c>
      <c r="L457" s="9" t="n">
        <v>45595</v>
      </c>
      <c r="M457" s="7" t="inlineStr"/>
      <c r="N457" s="7" t="inlineStr"/>
      <c r="O457" s="9" t="n">
        <v>45601</v>
      </c>
      <c r="P457" s="7" t="inlineStr">
        <is>
          <t>NÃO PRECISA</t>
        </is>
      </c>
      <c r="Q457" s="9" t="n">
        <v>45608</v>
      </c>
      <c r="R457" s="7" t="inlineStr">
        <is>
          <t>Concluído Campo</t>
        </is>
      </c>
      <c r="S457" s="7" t="inlineStr"/>
      <c r="T457" s="10" t="inlineStr"/>
      <c r="U457" s="7" t="inlineStr"/>
      <c r="V457" s="7" t="inlineStr"/>
      <c r="W457" s="7" t="inlineStr"/>
      <c r="X457" s="7" t="inlineStr">
        <is>
          <t>AG. MEDIÇÃO</t>
        </is>
      </c>
      <c r="Y457" s="11">
        <f>IF(AND(L457&lt;&gt;"", S457&lt;&gt;""), S457-L457, IF(L457&lt;&gt;"", TODAY()-L457, ""))</f>
        <v/>
      </c>
      <c r="Z457" s="7">
        <f>IF(Y457="", "", IF(Y457&lt;=3, "NO PRAZO", "ATRASADO"))</f>
        <v/>
      </c>
      <c r="AA457" s="8" t="inlineStr">
        <is>
          <t>100% - OK</t>
        </is>
      </c>
    </row>
    <row r="458" ht="20" customHeight="1">
      <c r="A458" s="7" t="inlineStr">
        <is>
          <t>RSCLER0456</t>
        </is>
      </c>
      <c r="B458" s="8" t="inlineStr">
        <is>
          <t>PORTO ALEGRE</t>
        </is>
      </c>
      <c r="C458" s="7" t="inlineStr">
        <is>
          <t>GUAAA</t>
        </is>
      </c>
      <c r="D458" s="7" t="inlineStr">
        <is>
          <t>GUAAA</t>
        </is>
      </c>
      <c r="E458" s="7" t="inlineStr">
        <is>
          <t>RSPSU21</t>
        </is>
      </c>
      <c r="F458" s="8" t="inlineStr"/>
      <c r="G458" s="8" t="inlineStr">
        <is>
          <t>RUA JACUNDA, 686</t>
        </is>
      </c>
      <c r="H458" s="7" t="inlineStr"/>
      <c r="I458" s="8" t="inlineStr">
        <is>
          <t>FOI LANÇADO 185 METROS CABO DE 24FO, 6 FUSÃO, 1 CX NOVA, 3 NAP DE POSTE NOVA, 9 TESTE</t>
        </is>
      </c>
      <c r="J458" s="8" t="inlineStr">
        <is>
          <t>GABRIEL</t>
        </is>
      </c>
      <c r="K458" s="8" t="inlineStr">
        <is>
          <t>AUGUSTO</t>
        </is>
      </c>
      <c r="L458" s="7" t="inlineStr"/>
      <c r="M458" s="7" t="inlineStr"/>
      <c r="N458" s="7" t="inlineStr"/>
      <c r="O458" s="9" t="n">
        <v>45597</v>
      </c>
      <c r="P458" s="7" t="inlineStr">
        <is>
          <t>NÃO PRECISA</t>
        </is>
      </c>
      <c r="Q458" s="9" t="n">
        <v>45608</v>
      </c>
      <c r="R458" s="7" t="inlineStr">
        <is>
          <t>Concluído Campo</t>
        </is>
      </c>
      <c r="S458" s="9" t="n">
        <v>45604</v>
      </c>
      <c r="T458" s="10" t="inlineStr"/>
      <c r="U458" s="7" t="inlineStr">
        <is>
          <t>4396198</t>
        </is>
      </c>
      <c r="V458" s="7" t="inlineStr">
        <is>
          <t>FINALIZADO</t>
        </is>
      </c>
      <c r="W458" s="7" t="inlineStr"/>
      <c r="X458" s="7" t="inlineStr">
        <is>
          <t>MEDIÇÃO CONCLUÍDA</t>
        </is>
      </c>
      <c r="Y458" s="11">
        <f>IF(AND(L458&lt;&gt;"", S458&lt;&gt;""), S458-L458, IF(L458&lt;&gt;"", TODAY()-L458, ""))</f>
        <v/>
      </c>
      <c r="Z458" s="7">
        <f>IF(Y458="", "", IF(Y458&lt;=3, "NO PRAZO", "ATRASADO"))</f>
        <v/>
      </c>
      <c r="AA458" s="8" t="inlineStr">
        <is>
          <t>100% - OK</t>
        </is>
      </c>
    </row>
    <row r="459" ht="20" customHeight="1">
      <c r="A459" s="7" t="inlineStr">
        <is>
          <t>RSCLER0457</t>
        </is>
      </c>
      <c r="B459" s="8" t="inlineStr">
        <is>
          <t>PORTO ALEGRE</t>
        </is>
      </c>
      <c r="C459" s="7" t="inlineStr">
        <is>
          <t>BVSAA</t>
        </is>
      </c>
      <c r="D459" s="7" t="inlineStr">
        <is>
          <t>VJDAKA</t>
        </is>
      </c>
      <c r="E459" s="7" t="inlineStr">
        <is>
          <t>RSPLE07</t>
        </is>
      </c>
      <c r="F459" s="8" t="inlineStr">
        <is>
          <t>Condomínio Villa Inglesa</t>
        </is>
      </c>
      <c r="G459" s="8" t="inlineStr">
        <is>
          <t>R. Germano Gundlach, 127</t>
        </is>
      </c>
      <c r="H459" s="7" t="inlineStr">
        <is>
          <t>BVSAA.121.M050.</t>
        </is>
      </c>
      <c r="I459" s="8" t="inlineStr">
        <is>
          <t>FOMOS ACIONADOS PARA TRATAR DEFEITO, POREM ERA DEFEITO NO DROP DO CLIENTE</t>
        </is>
      </c>
      <c r="J459" s="8" t="inlineStr"/>
      <c r="K459" s="8" t="inlineStr">
        <is>
          <t>ANDERSON</t>
        </is>
      </c>
      <c r="L459" s="7" t="inlineStr"/>
      <c r="M459" s="7" t="inlineStr"/>
      <c r="N459" s="7" t="inlineStr"/>
      <c r="O459" s="7" t="inlineStr"/>
      <c r="P459" s="7" t="inlineStr">
        <is>
          <t>NÃO PRECISA</t>
        </is>
      </c>
      <c r="Q459" s="9" t="n">
        <v>45608</v>
      </c>
      <c r="R459" s="7" t="inlineStr">
        <is>
          <t>Concluído Campo</t>
        </is>
      </c>
      <c r="S459" s="9" t="n">
        <v>45642</v>
      </c>
      <c r="T459" s="10" t="inlineStr"/>
      <c r="U459" s="7" t="inlineStr">
        <is>
          <t>4481546</t>
        </is>
      </c>
      <c r="V459" s="7" t="inlineStr">
        <is>
          <t>FINALIZADO</t>
        </is>
      </c>
      <c r="W459" s="7" t="inlineStr"/>
      <c r="X459" s="7" t="inlineStr">
        <is>
          <t>MEDIÇÃO CONCLUÍDA</t>
        </is>
      </c>
      <c r="Y459" s="11">
        <f>IF(AND(L459&lt;&gt;"", S459&lt;&gt;""), S459-L459, IF(L459&lt;&gt;"", TODAY()-L459, ""))</f>
        <v/>
      </c>
      <c r="Z459" s="7">
        <f>IF(Y459="", "", IF(Y459&lt;=3, "NO PRAZO", "ATRASADO"))</f>
        <v/>
      </c>
      <c r="AA459" s="8" t="inlineStr">
        <is>
          <t>100% - OK</t>
        </is>
      </c>
    </row>
    <row r="460" ht="20" customHeight="1">
      <c r="A460" s="7" t="inlineStr">
        <is>
          <t>RSCLER0458</t>
        </is>
      </c>
      <c r="B460" s="8" t="inlineStr">
        <is>
          <t>PORTO ALEGRE</t>
        </is>
      </c>
      <c r="C460" s="7" t="inlineStr">
        <is>
          <t>BVSAB</t>
        </is>
      </c>
      <c r="D460" s="7" t="inlineStr">
        <is>
          <t>BVSAR</t>
        </is>
      </c>
      <c r="E460" s="7" t="inlineStr">
        <is>
          <t>PAE NR</t>
        </is>
      </c>
      <c r="F460" s="8" t="inlineStr">
        <is>
          <t>Cond. Melnick Even</t>
        </is>
      </c>
      <c r="G460" s="8" t="inlineStr">
        <is>
          <t>Rua Alameda Alceu Wamosy 91</t>
        </is>
      </c>
      <c r="H460" s="7" t="inlineStr">
        <is>
          <t>BVSAB.041.M010.</t>
        </is>
      </c>
      <c r="I460" s="8" t="inlineStr">
        <is>
          <t>6 ABERTURA E FECHAMENTO, 5 FUSÃO, 1 TESTE</t>
        </is>
      </c>
      <c r="J460" s="8" t="inlineStr"/>
      <c r="K460" s="8" t="inlineStr">
        <is>
          <t>ANDERSON</t>
        </is>
      </c>
      <c r="L460" s="9" t="n">
        <v>45603</v>
      </c>
      <c r="M460" s="9" t="n">
        <v>45604</v>
      </c>
      <c r="N460" s="9" t="n">
        <v>45605</v>
      </c>
      <c r="O460" s="9" t="n">
        <v>45604</v>
      </c>
      <c r="P460" s="7" t="inlineStr">
        <is>
          <t>NÃO PRECISA</t>
        </is>
      </c>
      <c r="Q460" s="9" t="n">
        <v>45608</v>
      </c>
      <c r="R460" s="7" t="inlineStr">
        <is>
          <t>Concluído Campo</t>
        </is>
      </c>
      <c r="S460" s="9" t="n">
        <v>45607</v>
      </c>
      <c r="T460" s="10" t="inlineStr"/>
      <c r="U460" s="7" t="inlineStr">
        <is>
          <t>4401968</t>
        </is>
      </c>
      <c r="V460" s="7" t="inlineStr">
        <is>
          <t>FINALIZADO</t>
        </is>
      </c>
      <c r="W460" s="7" t="inlineStr"/>
      <c r="X460" s="7" t="inlineStr">
        <is>
          <t>MEDIÇÃO CONCLUÍDA</t>
        </is>
      </c>
      <c r="Y460" s="11">
        <f>IF(AND(L460&lt;&gt;"", S460&lt;&gt;""), S460-L460, IF(L460&lt;&gt;"", TODAY()-L460, ""))</f>
        <v/>
      </c>
      <c r="Z460" s="7">
        <f>IF(Y460="", "", IF(Y460&lt;=3, "NO PRAZO", "ATRASADO"))</f>
        <v/>
      </c>
      <c r="AA460" s="8" t="inlineStr">
        <is>
          <t>100% - OK</t>
        </is>
      </c>
    </row>
    <row r="461" ht="20" customHeight="1">
      <c r="A461" s="7" t="inlineStr">
        <is>
          <t>RSCLER0459</t>
        </is>
      </c>
      <c r="B461" s="8" t="inlineStr">
        <is>
          <t>PORTO ALEGRE</t>
        </is>
      </c>
      <c r="C461" s="7" t="inlineStr">
        <is>
          <t>REDE NET</t>
        </is>
      </c>
      <c r="D461" s="7" t="inlineStr">
        <is>
          <t>REDE NET</t>
        </is>
      </c>
      <c r="E461" s="7" t="inlineStr">
        <is>
          <t>REPCE05</t>
        </is>
      </c>
      <c r="F461" s="8" t="inlineStr">
        <is>
          <t>Cacau Show</t>
        </is>
      </c>
      <c r="G461" s="8" t="inlineStr">
        <is>
          <t>Rua Siqueira Campos, 1193</t>
        </is>
      </c>
      <c r="H461" s="7" t="inlineStr">
        <is>
          <t>CX 08</t>
        </is>
      </c>
      <c r="I461" s="8" t="inlineStr">
        <is>
          <t>FOI LANÇADO 979 METROS DE CABO DE 12FO, 7 ABERTURA E FECHAMENTO, 2 CX NOVA, 1 DERIVAÇÃO, 7 FUSÃO, 1 TESTE</t>
        </is>
      </c>
      <c r="J461" s="8" t="inlineStr">
        <is>
          <t>VITOR LOPES</t>
        </is>
      </c>
      <c r="K461" s="8" t="inlineStr">
        <is>
          <t>AUGUSTO</t>
        </is>
      </c>
      <c r="L461" s="9" t="n">
        <v>45603</v>
      </c>
      <c r="M461" s="9" t="n">
        <v>45632</v>
      </c>
      <c r="N461" s="7" t="inlineStr"/>
      <c r="O461" s="9" t="n">
        <v>45642</v>
      </c>
      <c r="P461" s="7" t="inlineStr">
        <is>
          <t>NÃO PRECISA</t>
        </is>
      </c>
      <c r="Q461" s="9" t="n">
        <v>45649</v>
      </c>
      <c r="R461" s="7" t="inlineStr">
        <is>
          <t>Concluído Campo</t>
        </is>
      </c>
      <c r="S461" s="9" t="n">
        <v>45625</v>
      </c>
      <c r="T461" s="10" t="inlineStr"/>
      <c r="U461" s="7" t="inlineStr">
        <is>
          <t>4475386</t>
        </is>
      </c>
      <c r="V461" s="7" t="inlineStr">
        <is>
          <t>FINALIZADO</t>
        </is>
      </c>
      <c r="W461" s="7" t="inlineStr"/>
      <c r="X461" s="7" t="inlineStr">
        <is>
          <t>MEDIÇÃO CONCLUÍDA</t>
        </is>
      </c>
      <c r="Y461" s="11">
        <f>IF(AND(L461&lt;&gt;"", S461&lt;&gt;""), S461-L461, IF(L461&lt;&gt;"", TODAY()-L461, ""))</f>
        <v/>
      </c>
      <c r="Z461" s="7">
        <f>IF(Y461="", "", IF(Y461&lt;=3, "NO PRAZO", "ATRASADO"))</f>
        <v/>
      </c>
      <c r="AA461" s="8" t="inlineStr">
        <is>
          <t>100% - OK</t>
        </is>
      </c>
    </row>
    <row r="462" ht="20" customHeight="1">
      <c r="A462" s="7" t="inlineStr">
        <is>
          <t>RSCLER0460</t>
        </is>
      </c>
      <c r="B462" s="8" t="inlineStr">
        <is>
          <t>PORTO ALEGRE</t>
        </is>
      </c>
      <c r="C462" s="7" t="inlineStr">
        <is>
          <t>TRZAB</t>
        </is>
      </c>
      <c r="D462" s="7" t="inlineStr">
        <is>
          <t>TRZAR</t>
        </is>
      </c>
      <c r="E462" s="7" t="inlineStr">
        <is>
          <t>RSPSU22</t>
        </is>
      </c>
      <c r="F462" s="8" t="inlineStr">
        <is>
          <t>Condomínio Residencical Vivere Ipanema</t>
        </is>
      </c>
      <c r="G462" s="8" t="inlineStr">
        <is>
          <t>R. Déa Coufal, 1201</t>
        </is>
      </c>
      <c r="H462" s="7" t="inlineStr">
        <is>
          <t>TRZAB.081.M020</t>
        </is>
      </c>
      <c r="I462" s="8" t="inlineStr">
        <is>
          <t>6 ABERTURA E FECHAMENTO, 6 FUSÃO, 1 TESTE</t>
        </is>
      </c>
      <c r="J462" s="8" t="inlineStr"/>
      <c r="K462" s="8" t="inlineStr">
        <is>
          <t>ANDERSON</t>
        </is>
      </c>
      <c r="L462" s="9" t="n">
        <v>45603</v>
      </c>
      <c r="M462" s="9" t="n">
        <v>45604</v>
      </c>
      <c r="N462" s="9" t="n">
        <v>45607</v>
      </c>
      <c r="O462" s="9" t="n">
        <v>45607</v>
      </c>
      <c r="P462" s="7" t="inlineStr">
        <is>
          <t>NÃO PRECISA</t>
        </is>
      </c>
      <c r="Q462" s="9" t="n">
        <v>45621</v>
      </c>
      <c r="R462" s="7" t="inlineStr">
        <is>
          <t>Concluído Campo</t>
        </is>
      </c>
      <c r="S462" s="9" t="n">
        <v>45616</v>
      </c>
      <c r="T462" s="10" t="inlineStr"/>
      <c r="U462" s="7" t="inlineStr">
        <is>
          <t>4475386</t>
        </is>
      </c>
      <c r="V462" s="7" t="inlineStr">
        <is>
          <t>FINALIZADO</t>
        </is>
      </c>
      <c r="W462" s="7" t="inlineStr"/>
      <c r="X462" s="7" t="inlineStr">
        <is>
          <t>MEDIÇÃO CONCLUÍDA</t>
        </is>
      </c>
      <c r="Y462" s="11">
        <f>IF(AND(L462&lt;&gt;"", S462&lt;&gt;""), S462-L462, IF(L462&lt;&gt;"", TODAY()-L462, ""))</f>
        <v/>
      </c>
      <c r="Z462" s="7">
        <f>IF(Y462="", "", IF(Y462&lt;=3, "NO PRAZO", "ATRASADO"))</f>
        <v/>
      </c>
      <c r="AA462" s="8" t="inlineStr">
        <is>
          <t>100% - OK</t>
        </is>
      </c>
    </row>
    <row r="463" ht="20" customHeight="1">
      <c r="A463" s="7" t="inlineStr">
        <is>
          <t>RSCLER0461</t>
        </is>
      </c>
      <c r="B463" s="8" t="inlineStr">
        <is>
          <t>PORTO ALEGRE</t>
        </is>
      </c>
      <c r="C463" s="7" t="inlineStr">
        <is>
          <t>SANAB</t>
        </is>
      </c>
      <c r="D463" s="7" t="inlineStr">
        <is>
          <t>SANAG</t>
        </is>
      </c>
      <c r="E463" s="7" t="inlineStr">
        <is>
          <t>RSPCE27</t>
        </is>
      </c>
      <c r="F463" s="8" t="inlineStr"/>
      <c r="G463" s="8" t="inlineStr">
        <is>
          <t>Rua Monsenhor Veras 606</t>
        </is>
      </c>
      <c r="H463" s="7" t="inlineStr">
        <is>
          <t>SANAB.053.M370</t>
        </is>
      </c>
      <c r="I463" s="8" t="inlineStr">
        <is>
          <t>1 ABERTURA E FECHAMENTO</t>
        </is>
      </c>
      <c r="J463" s="8" t="inlineStr">
        <is>
          <t>TIAGO FERREIRA</t>
        </is>
      </c>
      <c r="K463" s="8" t="inlineStr">
        <is>
          <t>PAULO GOMES</t>
        </is>
      </c>
      <c r="L463" s="9" t="n">
        <v>45603</v>
      </c>
      <c r="M463" s="9" t="n">
        <v>45608</v>
      </c>
      <c r="N463" s="9" t="n">
        <v>45611</v>
      </c>
      <c r="O463" s="9" t="n">
        <v>45625</v>
      </c>
      <c r="P463" s="7" t="inlineStr">
        <is>
          <t>NÃO PRECISA</t>
        </is>
      </c>
      <c r="Q463" s="9" t="n">
        <v>45632</v>
      </c>
      <c r="R463" s="7" t="inlineStr">
        <is>
          <t>Concluído Campo</t>
        </is>
      </c>
      <c r="S463" s="9" t="n">
        <v>45607</v>
      </c>
      <c r="T463" s="10" t="inlineStr"/>
      <c r="U463" s="7" t="inlineStr">
        <is>
          <t>4475386</t>
        </is>
      </c>
      <c r="V463" s="7" t="inlineStr">
        <is>
          <t>FINALIZADO</t>
        </is>
      </c>
      <c r="W463" s="7" t="inlineStr"/>
      <c r="X463" s="7" t="inlineStr">
        <is>
          <t>MEDIÇÃO CONCLUÍDA</t>
        </is>
      </c>
      <c r="Y463" s="11">
        <f>IF(AND(L463&lt;&gt;"", S463&lt;&gt;""), S463-L463, IF(L463&lt;&gt;"", TODAY()-L463, ""))</f>
        <v/>
      </c>
      <c r="Z463" s="7">
        <f>IF(Y463="", "", IF(Y463&lt;=3, "NO PRAZO", "ATRASADO"))</f>
        <v/>
      </c>
      <c r="AA463" s="8" t="inlineStr">
        <is>
          <t>100% - OK</t>
        </is>
      </c>
    </row>
    <row r="464" ht="20" customHeight="1">
      <c r="A464" s="7" t="inlineStr">
        <is>
          <t>RSCLER0462</t>
        </is>
      </c>
      <c r="B464" s="8" t="inlineStr">
        <is>
          <t>PORTO ALEGRE</t>
        </is>
      </c>
      <c r="C464" s="7" t="inlineStr">
        <is>
          <t>MTSAA</t>
        </is>
      </c>
      <c r="D464" s="7" t="inlineStr">
        <is>
          <t>MTSAA</t>
        </is>
      </c>
      <c r="E464" s="7" t="inlineStr">
        <is>
          <t>PAE BV</t>
        </is>
      </c>
      <c r="F464" s="8" t="inlineStr"/>
      <c r="G464" s="8" t="inlineStr">
        <is>
          <t>Marcelo Gama, 1215</t>
        </is>
      </c>
      <c r="H464" s="7" t="inlineStr">
        <is>
          <t>MTSAA.002.M010</t>
        </is>
      </c>
      <c r="I464" s="8" t="inlineStr">
        <is>
          <t>1 ABERTURA E FECHAMENTO, 1 FUSÃO, 1 CX NOVA, 1 TESTE</t>
        </is>
      </c>
      <c r="J464" s="8" t="inlineStr">
        <is>
          <t>VICTOR</t>
        </is>
      </c>
      <c r="K464" s="8" t="inlineStr">
        <is>
          <t>ANDERSON</t>
        </is>
      </c>
      <c r="L464" s="9" t="n">
        <v>45609</v>
      </c>
      <c r="M464" s="9" t="n">
        <v>45609</v>
      </c>
      <c r="N464" s="7" t="inlineStr"/>
      <c r="O464" s="9" t="n">
        <v>45616</v>
      </c>
      <c r="P464" s="7" t="inlineStr">
        <is>
          <t>NÃO PRECISA</t>
        </is>
      </c>
      <c r="Q464" s="9" t="n">
        <v>45632</v>
      </c>
      <c r="R464" s="7" t="inlineStr">
        <is>
          <t>Concluído Campo</t>
        </is>
      </c>
      <c r="S464" s="9" t="n">
        <v>45609</v>
      </c>
      <c r="T464" s="10" t="inlineStr"/>
      <c r="U464" s="7" t="inlineStr">
        <is>
          <t>4401968</t>
        </is>
      </c>
      <c r="V464" s="7" t="inlineStr">
        <is>
          <t>FINALIZADO</t>
        </is>
      </c>
      <c r="W464" s="7" t="inlineStr"/>
      <c r="X464" s="7" t="inlineStr">
        <is>
          <t>MEDIÇÃO CONCLUÍDA</t>
        </is>
      </c>
      <c r="Y464" s="11">
        <f>IF(AND(L464&lt;&gt;"", S464&lt;&gt;""), S464-L464, IF(L464&lt;&gt;"", TODAY()-L464, ""))</f>
        <v/>
      </c>
      <c r="Z464" s="7">
        <f>IF(Y464="", "", IF(Y464&lt;=3, "NO PRAZO", "ATRASADO"))</f>
        <v/>
      </c>
      <c r="AA464" s="8" t="inlineStr">
        <is>
          <t>100% - OK</t>
        </is>
      </c>
    </row>
    <row r="465" ht="20" customHeight="1">
      <c r="A465" s="7" t="inlineStr">
        <is>
          <t>RSCLER0463</t>
        </is>
      </c>
      <c r="B465" s="8" t="inlineStr">
        <is>
          <t>PORTO ALEGRE</t>
        </is>
      </c>
      <c r="C465" s="7" t="inlineStr">
        <is>
          <t>VIPAA</t>
        </is>
      </c>
      <c r="D465" s="7" t="inlineStr"/>
      <c r="E465" s="7" t="inlineStr">
        <is>
          <t>RSPNO19</t>
        </is>
      </c>
      <c r="F465" s="8" t="inlineStr">
        <is>
          <t>Condomínio Cipriani Nuova Architettura</t>
        </is>
      </c>
      <c r="G465" s="8" t="inlineStr">
        <is>
          <t>Av. Túlio de Rose, 330</t>
        </is>
      </c>
      <c r="H465" s="7" t="inlineStr">
        <is>
          <t>VIPAA.041</t>
        </is>
      </c>
      <c r="I465" s="8" t="inlineStr">
        <is>
          <t>4 ABERTURA E FECHAMENTO, 2 FUSÃO, 1 TESTE</t>
        </is>
      </c>
      <c r="J465" s="8" t="inlineStr"/>
      <c r="K465" s="8" t="inlineStr">
        <is>
          <t>ANDERSON</t>
        </is>
      </c>
      <c r="L465" s="9" t="n">
        <v>45604</v>
      </c>
      <c r="M465" s="9" t="n">
        <v>45607</v>
      </c>
      <c r="N465" s="9" t="n">
        <v>45608</v>
      </c>
      <c r="O465" s="9" t="n">
        <v>45607</v>
      </c>
      <c r="P465" s="7" t="inlineStr">
        <is>
          <t>NÃO PRECISA</t>
        </is>
      </c>
      <c r="Q465" s="9" t="n">
        <v>45632</v>
      </c>
      <c r="R465" s="7" t="inlineStr">
        <is>
          <t>Concluído Campo</t>
        </is>
      </c>
      <c r="S465" s="9" t="n">
        <v>45614</v>
      </c>
      <c r="T465" s="10" t="inlineStr"/>
      <c r="U465" s="7" t="inlineStr">
        <is>
          <t>4401968</t>
        </is>
      </c>
      <c r="V465" s="7" t="inlineStr">
        <is>
          <t>FINALIZADO</t>
        </is>
      </c>
      <c r="W465" s="7" t="inlineStr"/>
      <c r="X465" s="7" t="inlineStr">
        <is>
          <t>MEDIÇÃO CONCLUÍDA</t>
        </is>
      </c>
      <c r="Y465" s="11">
        <f>IF(AND(L465&lt;&gt;"", S465&lt;&gt;""), S465-L465, IF(L465&lt;&gt;"", TODAY()-L465, ""))</f>
        <v/>
      </c>
      <c r="Z465" s="7">
        <f>IF(Y465="", "", IF(Y465&lt;=3, "NO PRAZO", "ATRASADO"))</f>
        <v/>
      </c>
      <c r="AA465" s="8" t="inlineStr">
        <is>
          <t>100% - OK</t>
        </is>
      </c>
    </row>
    <row r="466" ht="20" customHeight="1">
      <c r="A466" s="7" t="inlineStr">
        <is>
          <t>RSCLER0464</t>
        </is>
      </c>
      <c r="B466" s="8" t="inlineStr">
        <is>
          <t>PORTO ALEGRE</t>
        </is>
      </c>
      <c r="C466" s="7" t="inlineStr">
        <is>
          <t>VIPAA</t>
        </is>
      </c>
      <c r="D466" s="7" t="inlineStr"/>
      <c r="E466" s="7" t="inlineStr">
        <is>
          <t>RSPNO19</t>
        </is>
      </c>
      <c r="F466" s="8" t="inlineStr">
        <is>
          <t>Vila Ipiranga</t>
        </is>
      </c>
      <c r="G466" s="8" t="inlineStr">
        <is>
          <t>R. Bolívia, 90</t>
        </is>
      </c>
      <c r="H466" s="7" t="inlineStr">
        <is>
          <t>VIPAA.015.M060</t>
        </is>
      </c>
      <c r="I466" s="8" t="inlineStr">
        <is>
          <t>FOI LANÇADO 20 METROS DE CABO, 2 ABERTURA E FECHAMENTO, 4 FUSÃO, 1 DERIVAÇÃO, 1 CX NOVA, 2 TESTE</t>
        </is>
      </c>
      <c r="J466" s="8" t="inlineStr">
        <is>
          <t>PAULO GOMES</t>
        </is>
      </c>
      <c r="K466" s="8" t="inlineStr">
        <is>
          <t>PAULO GOMES</t>
        </is>
      </c>
      <c r="L466" s="9" t="n">
        <v>45607</v>
      </c>
      <c r="M466" s="9" t="n">
        <v>45608</v>
      </c>
      <c r="N466" s="9" t="n">
        <v>45609</v>
      </c>
      <c r="O466" s="9" t="n">
        <v>45609</v>
      </c>
      <c r="P466" s="7" t="inlineStr">
        <is>
          <t>NÃO PRECISA</t>
        </is>
      </c>
      <c r="Q466" s="9" t="n">
        <v>45621</v>
      </c>
      <c r="R466" s="7" t="inlineStr">
        <is>
          <t>Concluído Campo</t>
        </is>
      </c>
      <c r="S466" s="7" t="inlineStr"/>
      <c r="T466" s="10" t="inlineStr"/>
      <c r="U466" s="7" t="inlineStr"/>
      <c r="V466" s="7" t="inlineStr"/>
      <c r="W466" s="7" t="inlineStr"/>
      <c r="X466" s="7" t="inlineStr">
        <is>
          <t>AG. MEDIÇÃO</t>
        </is>
      </c>
      <c r="Y466" s="11">
        <f>IF(AND(L466&lt;&gt;"", S466&lt;&gt;""), S466-L466, IF(L466&lt;&gt;"", TODAY()-L466, ""))</f>
        <v/>
      </c>
      <c r="Z466" s="7">
        <f>IF(Y466="", "", IF(Y466&lt;=3, "NO PRAZO", "ATRASADO"))</f>
        <v/>
      </c>
      <c r="AA466" s="8" t="inlineStr">
        <is>
          <t>100% - OK</t>
        </is>
      </c>
    </row>
    <row r="467" ht="20" customHeight="1">
      <c r="A467" s="7" t="inlineStr">
        <is>
          <t>RSCLER0465</t>
        </is>
      </c>
      <c r="B467" s="8" t="inlineStr">
        <is>
          <t>PORTO ALEGRE</t>
        </is>
      </c>
      <c r="C467" s="7" t="inlineStr">
        <is>
          <t>BVSAB</t>
        </is>
      </c>
      <c r="D467" s="7" t="inlineStr">
        <is>
          <t>BVSAHA</t>
        </is>
      </c>
      <c r="E467" s="7" t="inlineStr">
        <is>
          <t>PAE NR</t>
        </is>
      </c>
      <c r="F467" s="8" t="inlineStr">
        <is>
          <t>REMANEJAMENTO</t>
        </is>
      </c>
      <c r="G467" s="8" t="inlineStr">
        <is>
          <t>RUA ANITA GARIBALDI, 1325</t>
        </is>
      </c>
      <c r="H467" s="7" t="inlineStr">
        <is>
          <t>BVSAB.031.M050.</t>
        </is>
      </c>
      <c r="I467" s="8" t="inlineStr">
        <is>
          <t>FOI LANÇADO 133 METROS DE CABO DE 12FO, 3 ABERTURA E FECHAMENTO, 4 FUSÃO, 2 DERIVAÇÃO, 1 CX NOVA 2 TESTE</t>
        </is>
      </c>
      <c r="J467" s="8" t="inlineStr">
        <is>
          <t>VICTOR</t>
        </is>
      </c>
      <c r="K467" s="8" t="inlineStr">
        <is>
          <t>ANDERSON</t>
        </is>
      </c>
      <c r="L467" s="9" t="n">
        <v>45608</v>
      </c>
      <c r="M467" s="9" t="n">
        <v>45611</v>
      </c>
      <c r="N467" s="7" t="inlineStr"/>
      <c r="O467" s="9" t="n">
        <v>45614</v>
      </c>
      <c r="P467" s="7" t="inlineStr">
        <is>
          <t>NÃO PRECISA</t>
        </is>
      </c>
      <c r="Q467" s="9" t="n">
        <v>45621</v>
      </c>
      <c r="R467" s="7" t="inlineStr">
        <is>
          <t>Concluído Campo</t>
        </is>
      </c>
      <c r="S467" s="9" t="n">
        <v>45741</v>
      </c>
      <c r="T467" s="10" t="inlineStr"/>
      <c r="U467" s="7" t="inlineStr">
        <is>
          <t>4649798</t>
        </is>
      </c>
      <c r="V467" s="7" t="inlineStr"/>
      <c r="W467" s="7" t="inlineStr"/>
      <c r="X467" s="7" t="inlineStr">
        <is>
          <t>MEDIÇÃO CONCLUÍDA</t>
        </is>
      </c>
      <c r="Y467" s="11">
        <f>IF(AND(L467&lt;&gt;"", S467&lt;&gt;""), S467-L467, IF(L467&lt;&gt;"", TODAY()-L467, ""))</f>
        <v/>
      </c>
      <c r="Z467" s="7">
        <f>IF(Y467="", "", IF(Y467&lt;=3, "NO PRAZO", "ATRASADO"))</f>
        <v/>
      </c>
      <c r="AA467" s="8" t="inlineStr">
        <is>
          <t>100% - OK</t>
        </is>
      </c>
    </row>
    <row r="468" ht="20" customHeight="1">
      <c r="A468" s="7" t="inlineStr">
        <is>
          <t>RSCLER0466</t>
        </is>
      </c>
      <c r="B468" s="8" t="inlineStr">
        <is>
          <t>PORTO ALEGRE</t>
        </is>
      </c>
      <c r="C468" s="7" t="inlineStr"/>
      <c r="D468" s="7" t="inlineStr"/>
      <c r="E468" s="7" t="inlineStr"/>
      <c r="F468" s="8" t="inlineStr"/>
      <c r="G468" s="8" t="inlineStr">
        <is>
          <t>SHOPPING PRAIA DE BELAS</t>
        </is>
      </c>
      <c r="H468" s="7" t="inlineStr"/>
      <c r="I468" s="8" t="inlineStr"/>
      <c r="J468" s="8" t="inlineStr">
        <is>
          <t>MALCOLN</t>
        </is>
      </c>
      <c r="K468" s="8" t="inlineStr"/>
      <c r="L468" s="7" t="inlineStr"/>
      <c r="M468" s="7" t="inlineStr"/>
      <c r="N468" s="7" t="inlineStr"/>
      <c r="O468" s="7" t="inlineStr"/>
      <c r="P468" s="7" t="inlineStr">
        <is>
          <t>Não Precisa</t>
        </is>
      </c>
      <c r="Q468" s="7" t="inlineStr"/>
      <c r="R468" s="7" t="inlineStr">
        <is>
          <t>Concluído Campo</t>
        </is>
      </c>
      <c r="S468" s="9" t="n">
        <v>45615</v>
      </c>
      <c r="T468" s="10" t="inlineStr"/>
      <c r="U468" s="7" t="inlineStr">
        <is>
          <t>4401968</t>
        </is>
      </c>
      <c r="V468" s="7" t="inlineStr">
        <is>
          <t>FINALIZADO</t>
        </is>
      </c>
      <c r="W468" s="7" t="inlineStr"/>
      <c r="X468" s="7" t="inlineStr">
        <is>
          <t>MEDIÇÃO CONCLUÍDA</t>
        </is>
      </c>
      <c r="Y468" s="11">
        <f>IF(AND(L468&lt;&gt;"", S468&lt;&gt;""), S468-L468, IF(L468&lt;&gt;"", TODAY()-L468, ""))</f>
        <v/>
      </c>
      <c r="Z468" s="7">
        <f>IF(Y468="", "", IF(Y468&lt;=3, "NO PRAZO", "ATRASADO"))</f>
        <v/>
      </c>
      <c r="AA468" s="8" t="inlineStr"/>
    </row>
    <row r="469" ht="20" customHeight="1">
      <c r="A469" s="7" t="inlineStr">
        <is>
          <t>RSCLER0467</t>
        </is>
      </c>
      <c r="B469" s="8" t="inlineStr">
        <is>
          <t>PORTO ALEGRE</t>
        </is>
      </c>
      <c r="C469" s="7" t="inlineStr">
        <is>
          <t>CTLAA</t>
        </is>
      </c>
      <c r="D469" s="7" t="inlineStr"/>
      <c r="E469" s="7" t="inlineStr">
        <is>
          <t>RSPSU07</t>
        </is>
      </c>
      <c r="F469" s="8" t="inlineStr"/>
      <c r="G469" s="8" t="inlineStr">
        <is>
          <t>BARRA SHOPPING</t>
        </is>
      </c>
      <c r="H469" s="7" t="inlineStr"/>
      <c r="I469" s="8" t="inlineStr">
        <is>
          <t>2 ABERTURA E FECHAMENTO, 17 CX NOVA, 34 DERIVAÇÕES, 1192 FUSÕES, 27 DGO NOVO, 28 NAP NOVA, 29 TESTES.  Foi reconstruído os Racks 04A e 08A, com a instalação de bastidor e DIO 72FO, devido ao ambiente destes; Instalação e fornecimento de 03 un. de Splitter 1x2 e 10 un. de Cordão SC APC x SC APC 2,0m; Instalação de fornecimento de 42,0m de Eletrocalha Galvanizada 50x50mm.</t>
        </is>
      </c>
      <c r="J469" s="8" t="inlineStr"/>
      <c r="K469" s="8" t="inlineStr">
        <is>
          <t>MARCOS EMILIANO</t>
        </is>
      </c>
      <c r="L469" s="7" t="inlineStr"/>
      <c r="M469" s="7" t="inlineStr"/>
      <c r="N469" s="7" t="inlineStr"/>
      <c r="O469" s="9" t="n">
        <v>45735</v>
      </c>
      <c r="P469" s="7" t="inlineStr">
        <is>
          <t>NÃO PRECISA</t>
        </is>
      </c>
      <c r="Q469" s="9" t="n">
        <v>45742</v>
      </c>
      <c r="R469" s="7" t="inlineStr">
        <is>
          <t>Concluído Campo</t>
        </is>
      </c>
      <c r="S469" s="9" t="n">
        <v>45619</v>
      </c>
      <c r="T469" s="10" t="inlineStr"/>
      <c r="U469" s="7" t="inlineStr">
        <is>
          <t>4401968</t>
        </is>
      </c>
      <c r="V469" s="7" t="inlineStr">
        <is>
          <t>FINALIZADO</t>
        </is>
      </c>
      <c r="W469" s="7" t="inlineStr"/>
      <c r="X469" s="7" t="inlineStr">
        <is>
          <t>MEDIÇÃO CONCLUÍDA</t>
        </is>
      </c>
      <c r="Y469" s="11">
        <f>IF(AND(L469&lt;&gt;"", S469&lt;&gt;""), S469-L469, IF(L469&lt;&gt;"", TODAY()-L469, ""))</f>
        <v/>
      </c>
      <c r="Z469" s="7">
        <f>IF(Y469="", "", IF(Y469&lt;=3, "NO PRAZO", "ATRASADO"))</f>
        <v/>
      </c>
      <c r="AA469" s="8" t="inlineStr"/>
    </row>
    <row r="470" ht="20" customHeight="1">
      <c r="A470" s="7" t="inlineStr">
        <is>
          <t>RSCLER0468</t>
        </is>
      </c>
      <c r="B470" s="8" t="inlineStr">
        <is>
          <t>PORTO ALEGRE</t>
        </is>
      </c>
      <c r="C470" s="7" t="inlineStr">
        <is>
          <t>MTSAA</t>
        </is>
      </c>
      <c r="D470" s="7" t="inlineStr">
        <is>
          <t>MTSAE</t>
        </is>
      </c>
      <c r="E470" s="7" t="inlineStr">
        <is>
          <t>PAE BV</t>
        </is>
      </c>
      <c r="F470" s="8" t="inlineStr"/>
      <c r="G470" s="8" t="inlineStr">
        <is>
          <t>CEL BORDINI, 1125</t>
        </is>
      </c>
      <c r="H470" s="7" t="inlineStr">
        <is>
          <t>MTSAA.092.M060</t>
        </is>
      </c>
      <c r="I470" s="8" t="inlineStr">
        <is>
          <t>3 ABERTURA E FECHAMENTO, 3 FUSÃO, 1 DERIVAÇÃO, 1 TESTE.</t>
        </is>
      </c>
      <c r="J470" s="8" t="inlineStr"/>
      <c r="K470" s="8" t="inlineStr">
        <is>
          <t>PAULO GOMES</t>
        </is>
      </c>
      <c r="L470" s="9" t="n">
        <v>45614</v>
      </c>
      <c r="M470" s="9" t="n">
        <v>45615</v>
      </c>
      <c r="N470" s="7" t="inlineStr"/>
      <c r="O470" s="9" t="n">
        <v>45615</v>
      </c>
      <c r="P470" s="7" t="inlineStr">
        <is>
          <t>NÃO PRECISA</t>
        </is>
      </c>
      <c r="Q470" s="9" t="n">
        <v>45621</v>
      </c>
      <c r="R470" s="7" t="inlineStr">
        <is>
          <t>Concluído Campo</t>
        </is>
      </c>
      <c r="S470" s="9" t="n">
        <v>45619</v>
      </c>
      <c r="T470" s="10" t="inlineStr"/>
      <c r="U470" s="7" t="inlineStr">
        <is>
          <t>4401968</t>
        </is>
      </c>
      <c r="V470" s="7" t="inlineStr">
        <is>
          <t>FINALIZADO</t>
        </is>
      </c>
      <c r="W470" s="7" t="inlineStr"/>
      <c r="X470" s="7" t="inlineStr">
        <is>
          <t>MEDIÇÃO CONCLUÍDA</t>
        </is>
      </c>
      <c r="Y470" s="11">
        <f>IF(AND(L470&lt;&gt;"", S470&lt;&gt;""), S470-L470, IF(L470&lt;&gt;"", TODAY()-L470, ""))</f>
        <v/>
      </c>
      <c r="Z470" s="7">
        <f>IF(Y470="", "", IF(Y470&lt;=3, "NO PRAZO", "ATRASADO"))</f>
        <v/>
      </c>
      <c r="AA470" s="8" t="inlineStr">
        <is>
          <t>100% - OK</t>
        </is>
      </c>
    </row>
    <row r="471" ht="20" customHeight="1">
      <c r="A471" s="7" t="inlineStr">
        <is>
          <t>RSCLER0469</t>
        </is>
      </c>
      <c r="B471" s="8" t="inlineStr">
        <is>
          <t>PORTO ALEGRE</t>
        </is>
      </c>
      <c r="C471" s="7" t="inlineStr">
        <is>
          <t>VIPAA</t>
        </is>
      </c>
      <c r="D471" s="7" t="inlineStr">
        <is>
          <t>VIPAOA</t>
        </is>
      </c>
      <c r="E471" s="7" t="inlineStr">
        <is>
          <t>RSPNO19</t>
        </is>
      </c>
      <c r="F471" s="8" t="inlineStr">
        <is>
          <t>Condomínio Edificio Oslo</t>
        </is>
      </c>
      <c r="G471" s="8" t="inlineStr">
        <is>
          <t>R. Dr. João Satt, 25</t>
        </is>
      </c>
      <c r="H471" s="7" t="inlineStr">
        <is>
          <t>VIPAA.041.M070</t>
        </is>
      </c>
      <c r="I471" s="8" t="inlineStr">
        <is>
          <t>FOI LANÇADO 192 METROS DE CABO DE 12FO, 2 ABERTURA E FECHAMENTO, 4 FUSÃO, 1 DERIVAÇÃO, 1 CX NOVA, 2 TESTE</t>
        </is>
      </c>
      <c r="J471" s="8" t="inlineStr">
        <is>
          <t>AUGUSTO</t>
        </is>
      </c>
      <c r="K471" s="8" t="inlineStr">
        <is>
          <t>AUGUSTO</t>
        </is>
      </c>
      <c r="L471" s="9" t="n">
        <v>45615</v>
      </c>
      <c r="M471" s="7" t="inlineStr"/>
      <c r="N471" s="7" t="inlineStr"/>
      <c r="O471" s="9" t="n">
        <v>45619</v>
      </c>
      <c r="P471" s="7" t="inlineStr">
        <is>
          <t>NÃO PRECISA</t>
        </is>
      </c>
      <c r="Q471" s="9" t="n">
        <v>45621</v>
      </c>
      <c r="R471" s="7" t="inlineStr">
        <is>
          <t>Concluído Campo</t>
        </is>
      </c>
      <c r="S471" s="9" t="n">
        <v>45636</v>
      </c>
      <c r="T471" s="10" t="inlineStr"/>
      <c r="U471" s="7" t="inlineStr">
        <is>
          <t>4481546</t>
        </is>
      </c>
      <c r="V471" s="7" t="inlineStr">
        <is>
          <t>FINALIZADO</t>
        </is>
      </c>
      <c r="W471" s="7" t="inlineStr"/>
      <c r="X471" s="7" t="inlineStr">
        <is>
          <t>MEDIÇÃO CONCLUÍDA</t>
        </is>
      </c>
      <c r="Y471" s="11">
        <f>IF(AND(L471&lt;&gt;"", S471&lt;&gt;""), S471-L471, IF(L471&lt;&gt;"", TODAY()-L471, ""))</f>
        <v/>
      </c>
      <c r="Z471" s="7">
        <f>IF(Y471="", "", IF(Y471&lt;=3, "NO PRAZO", "ATRASADO"))</f>
        <v/>
      </c>
      <c r="AA471" s="8" t="inlineStr">
        <is>
          <t>100% - OK</t>
        </is>
      </c>
    </row>
    <row r="472" ht="20" customHeight="1">
      <c r="A472" s="7" t="inlineStr">
        <is>
          <t>RSCLER0470</t>
        </is>
      </c>
      <c r="B472" s="8" t="inlineStr">
        <is>
          <t>PORTO ALEGRE</t>
        </is>
      </c>
      <c r="C472" s="7" t="inlineStr">
        <is>
          <t>VIPAA</t>
        </is>
      </c>
      <c r="D472" s="7" t="inlineStr">
        <is>
          <t>VIPAC</t>
        </is>
      </c>
      <c r="E472" s="7" t="inlineStr">
        <is>
          <t>RSPNO20</t>
        </is>
      </c>
      <c r="F472" s="8" t="inlineStr">
        <is>
          <t>Condomínio Edifício Murano</t>
        </is>
      </c>
      <c r="G472" s="8" t="inlineStr">
        <is>
          <t>Av. Engenheiro Ary de Abreu Lima, 555</t>
        </is>
      </c>
      <c r="H472" s="7" t="inlineStr">
        <is>
          <t>VIPAA.008.M010</t>
        </is>
      </c>
      <c r="I472" s="8" t="inlineStr">
        <is>
          <t>5 ABERTURA E FECHAMENTO, 4 FUSÃO, 1 TESTE</t>
        </is>
      </c>
      <c r="J472" s="8" t="inlineStr"/>
      <c r="K472" s="8" t="inlineStr">
        <is>
          <t>AUGUSTO</t>
        </is>
      </c>
      <c r="L472" s="9" t="n">
        <v>45615</v>
      </c>
      <c r="M472" s="7" t="inlineStr"/>
      <c r="N472" s="7" t="inlineStr"/>
      <c r="O472" s="9" t="n">
        <v>45619</v>
      </c>
      <c r="P472" s="7" t="inlineStr">
        <is>
          <t>NÃO PRECISA</t>
        </is>
      </c>
      <c r="Q472" s="9" t="n">
        <v>45621</v>
      </c>
      <c r="R472" s="7" t="inlineStr">
        <is>
          <t>Concluído Campo</t>
        </is>
      </c>
      <c r="S472" s="9" t="n">
        <v>45627</v>
      </c>
      <c r="T472" s="10" t="inlineStr"/>
      <c r="U472" s="7" t="inlineStr">
        <is>
          <t>4475386</t>
        </is>
      </c>
      <c r="V472" s="7" t="inlineStr">
        <is>
          <t>FINALIZADO</t>
        </is>
      </c>
      <c r="W472" s="7" t="inlineStr"/>
      <c r="X472" s="7" t="inlineStr">
        <is>
          <t>MEDIÇÃO CONCLUÍDA</t>
        </is>
      </c>
      <c r="Y472" s="11">
        <f>IF(AND(L472&lt;&gt;"", S472&lt;&gt;""), S472-L472, IF(L472&lt;&gt;"", TODAY()-L472, ""))</f>
        <v/>
      </c>
      <c r="Z472" s="7">
        <f>IF(Y472="", "", IF(Y472&lt;=3, "NO PRAZO", "ATRASADO"))</f>
        <v/>
      </c>
      <c r="AA472" s="8" t="inlineStr">
        <is>
          <t>100% - OK</t>
        </is>
      </c>
    </row>
    <row r="473" ht="20" customHeight="1">
      <c r="A473" s="7" t="inlineStr">
        <is>
          <t>RSCLER0471</t>
        </is>
      </c>
      <c r="B473" s="8" t="inlineStr">
        <is>
          <t>PORTO ALEGRE</t>
        </is>
      </c>
      <c r="C473" s="7" t="inlineStr">
        <is>
          <t>GUAAA</t>
        </is>
      </c>
      <c r="D473" s="7" t="inlineStr">
        <is>
          <t>GUAAA</t>
        </is>
      </c>
      <c r="E473" s="7" t="inlineStr">
        <is>
          <t>RSPSU21</t>
        </is>
      </c>
      <c r="F473" s="8" t="inlineStr"/>
      <c r="G473" s="8" t="inlineStr">
        <is>
          <t>Cond. - Rua Orleans, 638</t>
        </is>
      </c>
      <c r="H473" s="7" t="inlineStr">
        <is>
          <t>GUAAA.011.M020</t>
        </is>
      </c>
      <c r="I473" s="8" t="inlineStr">
        <is>
          <t>FOI LANÇADO 67 METROS DE CABO DE 12FO, 4 ABERTURA E FECHAMENTO, 6 FUSÃO, 1 DERIVAÇÃO, 1 CX NOVA, 2 TESTES</t>
        </is>
      </c>
      <c r="J473" s="8" t="inlineStr">
        <is>
          <t>PAULO GOMES</t>
        </is>
      </c>
      <c r="K473" s="8" t="inlineStr">
        <is>
          <t>PAULO GOMES</t>
        </is>
      </c>
      <c r="L473" s="9" t="n">
        <v>45617</v>
      </c>
      <c r="M473" s="7" t="inlineStr"/>
      <c r="N473" s="7" t="inlineStr"/>
      <c r="O473" s="9" t="n">
        <v>45636</v>
      </c>
      <c r="P473" s="7" t="inlineStr">
        <is>
          <t>NÃO PRECISA</t>
        </is>
      </c>
      <c r="Q473" s="9" t="n">
        <v>45649</v>
      </c>
      <c r="R473" s="7" t="inlineStr">
        <is>
          <t>Concluído Campo</t>
        </is>
      </c>
      <c r="S473" s="9" t="n">
        <v>45629</v>
      </c>
      <c r="T473" s="10" t="inlineStr"/>
      <c r="U473" s="7" t="inlineStr">
        <is>
          <t>4475386</t>
        </is>
      </c>
      <c r="V473" s="7" t="inlineStr">
        <is>
          <t>FINALIZADO</t>
        </is>
      </c>
      <c r="W473" s="7" t="inlineStr"/>
      <c r="X473" s="7" t="inlineStr">
        <is>
          <t>MEDIÇÃO CONCLUÍDA</t>
        </is>
      </c>
      <c r="Y473" s="11">
        <f>IF(AND(L473&lt;&gt;"", S473&lt;&gt;""), S473-L473, IF(L473&lt;&gt;"", TODAY()-L473, ""))</f>
        <v/>
      </c>
      <c r="Z473" s="7">
        <f>IF(Y473="", "", IF(Y473&lt;=3, "NO PRAZO", "ATRASADO"))</f>
        <v/>
      </c>
      <c r="AA473" s="8" t="inlineStr">
        <is>
          <t>100% - OK</t>
        </is>
      </c>
    </row>
    <row r="474" ht="20" customHeight="1">
      <c r="A474" s="7" t="inlineStr">
        <is>
          <t>RSCLER0472</t>
        </is>
      </c>
      <c r="B474" s="8" t="inlineStr">
        <is>
          <t>PORTO ALEGRE</t>
        </is>
      </c>
      <c r="C474" s="7" t="inlineStr">
        <is>
          <t>RBRAA</t>
        </is>
      </c>
      <c r="D474" s="7" t="inlineStr">
        <is>
          <t>RBRAGA</t>
        </is>
      </c>
      <c r="E474" s="7" t="inlineStr">
        <is>
          <t>RSPLE08</t>
        </is>
      </c>
      <c r="F474" s="8" t="inlineStr">
        <is>
          <t>SATURAÇÃO DE BACKBONE GPON</t>
        </is>
      </c>
      <c r="G474" s="8" t="inlineStr">
        <is>
          <t>R MIGUEL TOSTES 240</t>
        </is>
      </c>
      <c r="H474" s="7" t="inlineStr">
        <is>
          <t>RBRAA.013.M020</t>
        </is>
      </c>
      <c r="I474" s="8" t="inlineStr">
        <is>
          <t>FOI LANÇADO 465 METROS DE CABO DE 12FO, 9 ABERTURA E FECHAMENTO, 11 FUSÃO, 2 DERIVAÇÃO, 2 TESTES</t>
        </is>
      </c>
      <c r="J474" s="8" t="inlineStr">
        <is>
          <t>TIAGO FERREIRA</t>
        </is>
      </c>
      <c r="K474" s="8" t="inlineStr">
        <is>
          <t>ANDERSON</t>
        </is>
      </c>
      <c r="L474" s="9" t="n">
        <v>45621</v>
      </c>
      <c r="M474" s="7" t="inlineStr"/>
      <c r="N474" s="7" t="inlineStr"/>
      <c r="O474" s="9" t="n">
        <v>45627</v>
      </c>
      <c r="P474" s="7" t="inlineStr">
        <is>
          <t>NÃO PRECISA</t>
        </is>
      </c>
      <c r="Q474" s="9" t="n">
        <v>45632</v>
      </c>
      <c r="R474" s="7" t="inlineStr">
        <is>
          <t>Concluído Campo</t>
        </is>
      </c>
      <c r="S474" s="9" t="n">
        <v>45629</v>
      </c>
      <c r="T474" s="10" t="inlineStr"/>
      <c r="U474" s="7" t="inlineStr">
        <is>
          <t>4475386</t>
        </is>
      </c>
      <c r="V474" s="7" t="inlineStr">
        <is>
          <t>FINALIZADO</t>
        </is>
      </c>
      <c r="W474" s="7" t="inlineStr"/>
      <c r="X474" s="7" t="inlineStr">
        <is>
          <t>MEDIÇÃO CONCLUÍDA</t>
        </is>
      </c>
      <c r="Y474" s="11">
        <f>IF(AND(L474&lt;&gt;"", S474&lt;&gt;""), S474-L474, IF(L474&lt;&gt;"", TODAY()-L474, ""))</f>
        <v/>
      </c>
      <c r="Z474" s="7">
        <f>IF(Y474="", "", IF(Y474&lt;=3, "NO PRAZO", "ATRASADO"))</f>
        <v/>
      </c>
      <c r="AA474" s="8" t="inlineStr">
        <is>
          <t>100% - OK</t>
        </is>
      </c>
    </row>
    <row r="475" ht="20" customHeight="1">
      <c r="A475" s="7" t="inlineStr">
        <is>
          <t>RSCLER0473</t>
        </is>
      </c>
      <c r="B475" s="8" t="inlineStr">
        <is>
          <t>PORTO ALEGRE</t>
        </is>
      </c>
      <c r="C475" s="7" t="inlineStr">
        <is>
          <t>BVSAB</t>
        </is>
      </c>
      <c r="D475" s="7" t="inlineStr">
        <is>
          <t>BVSALA</t>
        </is>
      </c>
      <c r="E475" s="7" t="inlineStr">
        <is>
          <t>PAE NR</t>
        </is>
      </c>
      <c r="F475" s="8" t="inlineStr">
        <is>
          <t>UNIQUE PLACE</t>
        </is>
      </c>
      <c r="G475" s="8" t="inlineStr">
        <is>
          <t>R PRIMEIRO DE JANEIRO 150</t>
        </is>
      </c>
      <c r="H475" s="7" t="inlineStr">
        <is>
          <t>BVSAB.222.M110</t>
        </is>
      </c>
      <c r="I475" s="8" t="inlineStr">
        <is>
          <t>FOI LANÇADO 485 METROS DE CABO DE 12FO, 5 ABERTURA E FECHAMENTO, 20 FUSÃO, 1 CX NOVA, 1 DERIVAÇÃO, 4 TESTES</t>
        </is>
      </c>
      <c r="J475" s="8" t="inlineStr">
        <is>
          <t>TIAGO FERREIRA</t>
        </is>
      </c>
      <c r="K475" s="8" t="inlineStr">
        <is>
          <t>MARCOS EMILIANO</t>
        </is>
      </c>
      <c r="L475" s="9" t="n">
        <v>45621</v>
      </c>
      <c r="M475" s="9" t="n">
        <v>45625</v>
      </c>
      <c r="N475" s="7" t="inlineStr"/>
      <c r="O475" s="9" t="n">
        <v>45629</v>
      </c>
      <c r="P475" s="7" t="inlineStr">
        <is>
          <t>NÃO PRECISA</t>
        </is>
      </c>
      <c r="Q475" s="9" t="n">
        <v>45632</v>
      </c>
      <c r="R475" s="7" t="inlineStr">
        <is>
          <t>Concluído Campo</t>
        </is>
      </c>
      <c r="S475" s="9" t="n">
        <v>45629</v>
      </c>
      <c r="T475" s="10" t="inlineStr"/>
      <c r="U475" s="7" t="inlineStr">
        <is>
          <t>4475386</t>
        </is>
      </c>
      <c r="V475" s="7" t="inlineStr">
        <is>
          <t>FINALIZADO</t>
        </is>
      </c>
      <c r="W475" s="7" t="inlineStr"/>
      <c r="X475" s="7" t="inlineStr">
        <is>
          <t>MEDIÇÃO CONCLUÍDA</t>
        </is>
      </c>
      <c r="Y475" s="11">
        <f>IF(AND(L475&lt;&gt;"", S475&lt;&gt;""), S475-L475, IF(L475&lt;&gt;"", TODAY()-L475, ""))</f>
        <v/>
      </c>
      <c r="Z475" s="7">
        <f>IF(Y475="", "", IF(Y475&lt;=3, "NO PRAZO", "ATRASADO"))</f>
        <v/>
      </c>
      <c r="AA475" s="8" t="inlineStr">
        <is>
          <t>100% - OK</t>
        </is>
      </c>
    </row>
    <row r="476" ht="20" customHeight="1">
      <c r="A476" s="7" t="inlineStr">
        <is>
          <t>RSCLER0474</t>
        </is>
      </c>
      <c r="B476" s="8" t="inlineStr">
        <is>
          <t>PORTO ALEGRE</t>
        </is>
      </c>
      <c r="C476" s="7" t="inlineStr">
        <is>
          <t>MTSAA</t>
        </is>
      </c>
      <c r="D476" s="7" t="inlineStr">
        <is>
          <t>MTSAOB</t>
        </is>
      </c>
      <c r="E476" s="7" t="inlineStr">
        <is>
          <t>PAE BV</t>
        </is>
      </c>
      <c r="F476" s="8" t="inlineStr">
        <is>
          <t>Condomínio Edifício Resid. Topazio</t>
        </is>
      </c>
      <c r="G476" s="8" t="inlineStr">
        <is>
          <t>R. Pedro Chaves Barcelos, 961</t>
        </is>
      </c>
      <c r="H476" s="7" t="inlineStr">
        <is>
          <t>MTSAA.152.M050</t>
        </is>
      </c>
      <c r="I476" s="8" t="inlineStr">
        <is>
          <t>4 ABERTURA E FECHAMENTO, 7 FUSÕES, 2 TESTES</t>
        </is>
      </c>
      <c r="J476" s="8" t="inlineStr"/>
      <c r="K476" s="8" t="inlineStr">
        <is>
          <t>ANDERSON</t>
        </is>
      </c>
      <c r="L476" s="9" t="n">
        <v>45624</v>
      </c>
      <c r="M476" s="7" t="inlineStr"/>
      <c r="N476" s="7" t="inlineStr"/>
      <c r="O476" s="9" t="n">
        <v>45629</v>
      </c>
      <c r="P476" s="7" t="inlineStr">
        <is>
          <t>NÃO PRECISA</t>
        </is>
      </c>
      <c r="Q476" s="9" t="n">
        <v>45632</v>
      </c>
      <c r="R476" s="7" t="inlineStr">
        <is>
          <t>Concluído Campo</t>
        </is>
      </c>
      <c r="S476" s="9" t="n">
        <v>45633</v>
      </c>
      <c r="T476" s="10" t="inlineStr"/>
      <c r="U476" s="7" t="inlineStr">
        <is>
          <t>4715705</t>
        </is>
      </c>
      <c r="V476" s="7" t="inlineStr">
        <is>
          <t>FINALIZADO</t>
        </is>
      </c>
      <c r="W476" s="7" t="inlineStr"/>
      <c r="X476" s="7" t="inlineStr">
        <is>
          <t>MEDIÇÃO CONCLUÍDA</t>
        </is>
      </c>
      <c r="Y476" s="11">
        <f>IF(AND(L476&lt;&gt;"", S476&lt;&gt;""), S476-L476, IF(L476&lt;&gt;"", TODAY()-L476, ""))</f>
        <v/>
      </c>
      <c r="Z476" s="7">
        <f>IF(Y476="", "", IF(Y476&lt;=3, "NO PRAZO", "ATRASADO"))</f>
        <v/>
      </c>
      <c r="AA476" s="8" t="inlineStr">
        <is>
          <t>100% - OK</t>
        </is>
      </c>
    </row>
    <row r="477" ht="20" customHeight="1">
      <c r="A477" s="7" t="inlineStr">
        <is>
          <t>RSCLER0475</t>
        </is>
      </c>
      <c r="B477" s="8" t="inlineStr">
        <is>
          <t>PORTO ALEGRE</t>
        </is>
      </c>
      <c r="C477" s="7" t="inlineStr">
        <is>
          <t>MTSAA</t>
        </is>
      </c>
      <c r="D477" s="7" t="inlineStr">
        <is>
          <t>MTSAA</t>
        </is>
      </c>
      <c r="E477" s="7" t="inlineStr">
        <is>
          <t>RSPLE35</t>
        </is>
      </c>
      <c r="F477" s="8" t="inlineStr">
        <is>
          <t>Cond. Autoral</t>
        </is>
      </c>
      <c r="G477" s="8" t="inlineStr">
        <is>
          <t>Rua Carlos Von Koseritz, 1528</t>
        </is>
      </c>
      <c r="H477" s="7" t="inlineStr">
        <is>
          <t>MTSAA.002.M020</t>
        </is>
      </c>
      <c r="I477" s="8" t="inlineStr">
        <is>
          <t>4 ABERTURA E FECHAMENTO, 5 FUSÕES, 2 TESTES</t>
        </is>
      </c>
      <c r="J477" s="8" t="inlineStr"/>
      <c r="K477" s="8" t="inlineStr">
        <is>
          <t>ANDERSON</t>
        </is>
      </c>
      <c r="L477" s="9" t="n">
        <v>45628</v>
      </c>
      <c r="M477" s="7" t="inlineStr"/>
      <c r="N477" s="7" t="inlineStr"/>
      <c r="O477" s="9" t="n">
        <v>45629</v>
      </c>
      <c r="P477" s="7" t="inlineStr">
        <is>
          <t>NÃO PRECISA</t>
        </is>
      </c>
      <c r="Q477" s="9" t="n">
        <v>45632</v>
      </c>
      <c r="R477" s="7" t="inlineStr">
        <is>
          <t>Concluído Campo</t>
        </is>
      </c>
      <c r="S477" s="9" t="n">
        <v>45637</v>
      </c>
      <c r="T477" s="10" t="inlineStr"/>
      <c r="U477" s="7" t="inlineStr">
        <is>
          <t>4481546</t>
        </is>
      </c>
      <c r="V477" s="7" t="inlineStr">
        <is>
          <t>FINALIZADO</t>
        </is>
      </c>
      <c r="W477" s="7" t="inlineStr"/>
      <c r="X477" s="7" t="inlineStr">
        <is>
          <t>MEDIÇÃO CONCLUÍDA</t>
        </is>
      </c>
      <c r="Y477" s="11">
        <f>IF(AND(L477&lt;&gt;"", S477&lt;&gt;""), S477-L477, IF(L477&lt;&gt;"", TODAY()-L477, ""))</f>
        <v/>
      </c>
      <c r="Z477" s="7">
        <f>IF(Y477="", "", IF(Y477&lt;=3, "NO PRAZO", "ATRASADO"))</f>
        <v/>
      </c>
      <c r="AA477" s="8" t="inlineStr">
        <is>
          <t>100% - OK</t>
        </is>
      </c>
    </row>
    <row r="478" ht="20" customHeight="1">
      <c r="A478" s="7" t="inlineStr">
        <is>
          <t>RSCLER0476</t>
        </is>
      </c>
      <c r="B478" s="8" t="inlineStr">
        <is>
          <t>GUAÍBA</t>
        </is>
      </c>
      <c r="C478" s="7" t="inlineStr">
        <is>
          <t>CNT</t>
        </is>
      </c>
      <c r="D478" s="7" t="inlineStr">
        <is>
          <t>CNT01</t>
        </is>
      </c>
      <c r="E478" s="7" t="inlineStr">
        <is>
          <t>RSGUB01</t>
        </is>
      </c>
      <c r="F478" s="8" t="inlineStr"/>
      <c r="G478" s="8" t="inlineStr">
        <is>
          <t>RUA SÃO GERALDO, 1250</t>
        </is>
      </c>
      <c r="H478" s="7" t="inlineStr">
        <is>
          <t>CNT.012.M010</t>
        </is>
      </c>
      <c r="I478" s="8" t="inlineStr">
        <is>
          <t>FOI LANÇADO 812 METROS DE CABO DE 12FO, 1 ABERTURA E FECHAMENTO, 1 CX NOVA, 9 FUSÃO</t>
        </is>
      </c>
      <c r="J478" s="8" t="inlineStr">
        <is>
          <t>UBIRATAN</t>
        </is>
      </c>
      <c r="K478" s="8" t="inlineStr">
        <is>
          <t>LUCAS AGUIRRE</t>
        </is>
      </c>
      <c r="L478" s="9" t="n">
        <v>45630</v>
      </c>
      <c r="M478" s="7" t="inlineStr"/>
      <c r="N478" s="7" t="inlineStr"/>
      <c r="O478" s="9" t="n">
        <v>45633</v>
      </c>
      <c r="P478" s="7" t="inlineStr">
        <is>
          <t>NÃO PRECISA</t>
        </is>
      </c>
      <c r="Q478" s="9" t="n">
        <v>45649</v>
      </c>
      <c r="R478" s="7" t="inlineStr">
        <is>
          <t>Concluído Campo</t>
        </is>
      </c>
      <c r="S478" s="9" t="n">
        <v>45636</v>
      </c>
      <c r="T478" s="10" t="inlineStr"/>
      <c r="U478" s="7" t="inlineStr">
        <is>
          <t>4481546</t>
        </is>
      </c>
      <c r="V478" s="7" t="inlineStr">
        <is>
          <t>FINALIZADO</t>
        </is>
      </c>
      <c r="W478" s="7" t="inlineStr"/>
      <c r="X478" s="7" t="inlineStr">
        <is>
          <t>MEDIÇÃO CONCLUÍDA</t>
        </is>
      </c>
      <c r="Y478" s="11">
        <f>IF(AND(L478&lt;&gt;"", S478&lt;&gt;""), S478-L478, IF(L478&lt;&gt;"", TODAY()-L478, ""))</f>
        <v/>
      </c>
      <c r="Z478" s="7">
        <f>IF(Y478="", "", IF(Y478&lt;=3, "NO PRAZO", "ATRASADO"))</f>
        <v/>
      </c>
      <c r="AA478" s="8" t="inlineStr">
        <is>
          <t>100% - OK</t>
        </is>
      </c>
    </row>
    <row r="479" ht="20" customHeight="1">
      <c r="A479" s="7" t="inlineStr">
        <is>
          <t>RSCLER0477</t>
        </is>
      </c>
      <c r="B479" s="8" t="inlineStr">
        <is>
          <t>PORTO ALEGRE</t>
        </is>
      </c>
      <c r="C479" s="7" t="inlineStr">
        <is>
          <t>PETAA</t>
        </is>
      </c>
      <c r="D479" s="7" t="inlineStr">
        <is>
          <t>PETAX</t>
        </is>
      </c>
      <c r="E479" s="7" t="inlineStr">
        <is>
          <t>RSPLE11</t>
        </is>
      </c>
      <c r="F479" s="8" t="inlineStr">
        <is>
          <t>Edifício Residencial Ampiezza</t>
        </is>
      </c>
      <c r="G479" s="8" t="inlineStr">
        <is>
          <t>Av Lajeado, 1256</t>
        </is>
      </c>
      <c r="H479" s="7" t="inlineStr">
        <is>
          <t>PETAA.101.M050</t>
        </is>
      </c>
      <c r="I479" s="8" t="inlineStr">
        <is>
          <t>FOI LANÇADO 404 METROS DE CABO DE 12FO, 2 ABERTURA E FECHAMENTO, 9 FUSÃO, 1 CX NOVA, 1 DERIVAÇÃO, 4 TESTES</t>
        </is>
      </c>
      <c r="J479" s="8" t="inlineStr">
        <is>
          <t>UBIRATAN</t>
        </is>
      </c>
      <c r="K479" s="8" t="inlineStr">
        <is>
          <t>AUGUSTO</t>
        </is>
      </c>
      <c r="L479" s="9" t="n">
        <v>45630</v>
      </c>
      <c r="M479" s="9" t="n">
        <v>45634</v>
      </c>
      <c r="N479" s="7" t="inlineStr"/>
      <c r="O479" s="9" t="n">
        <v>45637</v>
      </c>
      <c r="P479" s="7" t="inlineStr">
        <is>
          <t>NÃO PRECISA</t>
        </is>
      </c>
      <c r="Q479" s="9" t="n">
        <v>45649</v>
      </c>
      <c r="R479" s="7" t="inlineStr">
        <is>
          <t>Concluído Campo</t>
        </is>
      </c>
      <c r="S479" s="9" t="n">
        <v>45639</v>
      </c>
      <c r="T479" s="10" t="inlineStr"/>
      <c r="U479" s="7" t="inlineStr">
        <is>
          <t>4481546</t>
        </is>
      </c>
      <c r="V479" s="7" t="inlineStr">
        <is>
          <t>FINALIZADO</t>
        </is>
      </c>
      <c r="W479" s="7" t="inlineStr"/>
      <c r="X479" s="7" t="inlineStr">
        <is>
          <t>MEDIÇÃO CONCLUÍDA</t>
        </is>
      </c>
      <c r="Y479" s="11">
        <f>IF(AND(L479&lt;&gt;"", S479&lt;&gt;""), S479-L479, IF(L479&lt;&gt;"", TODAY()-L479, ""))</f>
        <v/>
      </c>
      <c r="Z479" s="7">
        <f>IF(Y479="", "", IF(Y479&lt;=3, "NO PRAZO", "ATRASADO"))</f>
        <v/>
      </c>
      <c r="AA479" s="8" t="inlineStr">
        <is>
          <t>100% - OK</t>
        </is>
      </c>
    </row>
    <row r="480" ht="20" customHeight="1">
      <c r="A480" s="7" t="inlineStr">
        <is>
          <t>RSCLER0478</t>
        </is>
      </c>
      <c r="B480" s="8" t="inlineStr">
        <is>
          <t>PORTO ALEGRE</t>
        </is>
      </c>
      <c r="C480" s="7" t="inlineStr">
        <is>
          <t>RBTAA</t>
        </is>
      </c>
      <c r="D480" s="7" t="inlineStr">
        <is>
          <t>SRDAPA</t>
        </is>
      </c>
      <c r="E480" s="7" t="inlineStr">
        <is>
          <t>PAE ARY</t>
        </is>
      </c>
      <c r="F480" s="8" t="inlineStr">
        <is>
          <t>ECOVILLE MALL</t>
        </is>
      </c>
      <c r="G480" s="8" t="inlineStr">
        <is>
          <t>AV FRANCISCO SILVEIRA BITENCOURT 485</t>
        </is>
      </c>
      <c r="H480" s="7" t="inlineStr">
        <is>
          <t>RBTAA.061.M030</t>
        </is>
      </c>
      <c r="I480" s="8" t="inlineStr">
        <is>
          <t>FOI LANÇADO 387 METROS DE 12FO, 4 ABERTURA E FECHAMENTO, 4 FUSÃO, 1 CX NOVA, 1 DERIVAÇÃO, 1 TESTE</t>
        </is>
      </c>
      <c r="J480" s="8" t="inlineStr">
        <is>
          <t>UBIRATAN</t>
        </is>
      </c>
      <c r="K480" s="8" t="inlineStr">
        <is>
          <t>AUGUSTO</t>
        </is>
      </c>
      <c r="L480" s="9" t="n">
        <v>45631</v>
      </c>
      <c r="M480" s="7" t="inlineStr"/>
      <c r="N480" s="7" t="inlineStr"/>
      <c r="O480" s="9" t="n">
        <v>45636</v>
      </c>
      <c r="P480" s="7" t="inlineStr">
        <is>
          <t>NÃO PRECISA</t>
        </is>
      </c>
      <c r="Q480" s="9" t="n">
        <v>45649</v>
      </c>
      <c r="R480" s="7" t="inlineStr">
        <is>
          <t>Concluído Campo</t>
        </is>
      </c>
      <c r="S480" s="9" t="n">
        <v>45645</v>
      </c>
      <c r="T480" s="10" t="inlineStr"/>
      <c r="U480" s="7" t="inlineStr">
        <is>
          <t>4481546</t>
        </is>
      </c>
      <c r="V480" s="7" t="inlineStr">
        <is>
          <t>FINALIZADO</t>
        </is>
      </c>
      <c r="W480" s="7" t="inlineStr"/>
      <c r="X480" s="7" t="inlineStr">
        <is>
          <t>MEDIÇÃO CONCLUÍDA</t>
        </is>
      </c>
      <c r="Y480" s="11">
        <f>IF(AND(L480&lt;&gt;"", S480&lt;&gt;""), S480-L480, IF(L480&lt;&gt;"", TODAY()-L480, ""))</f>
        <v/>
      </c>
      <c r="Z480" s="7">
        <f>IF(Y480="", "", IF(Y480&lt;=3, "NO PRAZO", "ATRASADO"))</f>
        <v/>
      </c>
      <c r="AA480" s="8" t="inlineStr">
        <is>
          <t>100% - OK</t>
        </is>
      </c>
    </row>
    <row r="481" ht="20" customHeight="1">
      <c r="A481" s="7" t="inlineStr">
        <is>
          <t>RSCLER0479</t>
        </is>
      </c>
      <c r="B481" s="8" t="inlineStr">
        <is>
          <t>PORTO ALEGRE</t>
        </is>
      </c>
      <c r="C481" s="7" t="inlineStr">
        <is>
          <t>RBRAA</t>
        </is>
      </c>
      <c r="D481" s="7" t="inlineStr">
        <is>
          <t>RBRAGA</t>
        </is>
      </c>
      <c r="E481" s="7" t="inlineStr">
        <is>
          <t>RSPLE08</t>
        </is>
      </c>
      <c r="F481" s="8" t="inlineStr">
        <is>
          <t>NAP LOTADA</t>
        </is>
      </c>
      <c r="G481" s="8" t="inlineStr">
        <is>
          <t>RUA MIGUEL TOSTES, 867</t>
        </is>
      </c>
      <c r="H481" s="7" t="inlineStr">
        <is>
          <t>RBRAA.015.03.08</t>
        </is>
      </c>
      <c r="I481" s="8" t="inlineStr">
        <is>
          <t>3 ABERTURA E FECHAMENTO, 3 FUSÃO, 3 TESTE</t>
        </is>
      </c>
      <c r="J481" s="8" t="inlineStr"/>
      <c r="K481" s="8" t="inlineStr">
        <is>
          <t>AUGUSTO</t>
        </is>
      </c>
      <c r="L481" s="9" t="n">
        <v>45637</v>
      </c>
      <c r="M481" s="7" t="inlineStr"/>
      <c r="N481" s="7" t="inlineStr"/>
      <c r="O481" s="9" t="n">
        <v>45639</v>
      </c>
      <c r="P481" s="7" t="inlineStr">
        <is>
          <t>NÃO PRECISA</t>
        </is>
      </c>
      <c r="Q481" s="9" t="n">
        <v>45649</v>
      </c>
      <c r="R481" s="7" t="inlineStr">
        <is>
          <t>Concluído Campo</t>
        </is>
      </c>
      <c r="S481" s="9" t="n">
        <v>45663</v>
      </c>
      <c r="T481" s="10" t="inlineStr"/>
      <c r="U481" s="7" t="inlineStr">
        <is>
          <t>4501568</t>
        </is>
      </c>
      <c r="V481" s="7" t="inlineStr">
        <is>
          <t>FINALIZADO</t>
        </is>
      </c>
      <c r="W481" s="7" t="inlineStr"/>
      <c r="X481" s="7" t="inlineStr">
        <is>
          <t>MEDIÇÃO CONCLUÍDA</t>
        </is>
      </c>
      <c r="Y481" s="11">
        <f>IF(AND(L481&lt;&gt;"", S481&lt;&gt;""), S481-L481, IF(L481&lt;&gt;"", TODAY()-L481, ""))</f>
        <v/>
      </c>
      <c r="Z481" s="7">
        <f>IF(Y481="", "", IF(Y481&lt;=3, "NO PRAZO", "ATRASADO"))</f>
        <v/>
      </c>
      <c r="AA481" s="8" t="inlineStr">
        <is>
          <t>100% - OK</t>
        </is>
      </c>
    </row>
    <row r="482" ht="20" customHeight="1">
      <c r="A482" s="7" t="inlineStr">
        <is>
          <t>RSCLER0480</t>
        </is>
      </c>
      <c r="B482" s="8" t="inlineStr">
        <is>
          <t>PORTO ALEGRE</t>
        </is>
      </c>
      <c r="C482" s="7" t="inlineStr">
        <is>
          <t>BVSAB</t>
        </is>
      </c>
      <c r="D482" s="7" t="inlineStr">
        <is>
          <t>BVSALA</t>
        </is>
      </c>
      <c r="E482" s="7" t="inlineStr">
        <is>
          <t>PAE NR</t>
        </is>
      </c>
      <c r="F482" s="8" t="inlineStr">
        <is>
          <t>HOSPITAL HPS</t>
        </is>
      </c>
      <c r="G482" s="8" t="inlineStr">
        <is>
          <t>R. São Mateus 193</t>
        </is>
      </c>
      <c r="H482" s="7" t="inlineStr">
        <is>
          <t>BVSAB.223.M010</t>
        </is>
      </c>
      <c r="I482" s="8" t="inlineStr">
        <is>
          <t>3 ABERTURA E FECHAMENTO, 4 FUSÕES, 2 TESTES</t>
        </is>
      </c>
      <c r="J482" s="8" t="inlineStr"/>
      <c r="K482" s="8" t="inlineStr">
        <is>
          <t>PAULO GOMES</t>
        </is>
      </c>
      <c r="L482" s="9" t="n">
        <v>45644</v>
      </c>
      <c r="M482" s="9" t="n">
        <v>45645</v>
      </c>
      <c r="N482" s="7" t="inlineStr"/>
      <c r="O482" s="9" t="n">
        <v>45645</v>
      </c>
      <c r="P482" s="7" t="inlineStr">
        <is>
          <t>NÃO PRECISA</t>
        </is>
      </c>
      <c r="Q482" s="9" t="n">
        <v>45649</v>
      </c>
      <c r="R482" s="7" t="inlineStr">
        <is>
          <t>Concluído Campo</t>
        </is>
      </c>
      <c r="S482" s="9" t="n">
        <v>45674</v>
      </c>
      <c r="T482" s="10" t="inlineStr"/>
      <c r="U482" s="7" t="inlineStr">
        <is>
          <t>4596615</t>
        </is>
      </c>
      <c r="V482" s="7" t="inlineStr">
        <is>
          <t>FINALIZADO</t>
        </is>
      </c>
      <c r="W482" s="7" t="inlineStr"/>
      <c r="X482" s="7" t="inlineStr">
        <is>
          <t>MEDIÇÃO CONCLUÍDA</t>
        </is>
      </c>
      <c r="Y482" s="11">
        <f>IF(AND(L482&lt;&gt;"", S482&lt;&gt;""), S482-L482, IF(L482&lt;&gt;"", TODAY()-L482, ""))</f>
        <v/>
      </c>
      <c r="Z482" s="7">
        <f>IF(Y482="", "", IF(Y482&lt;=3, "NO PRAZO", "ATRASADO"))</f>
        <v/>
      </c>
      <c r="AA482" s="8" t="inlineStr">
        <is>
          <t>100% - OK</t>
        </is>
      </c>
    </row>
    <row r="483" ht="20" customHeight="1">
      <c r="A483" s="7" t="inlineStr">
        <is>
          <t>RSCLER0481</t>
        </is>
      </c>
      <c r="B483" s="8" t="inlineStr">
        <is>
          <t>PORTO ALEGRE</t>
        </is>
      </c>
      <c r="C483" s="7" t="inlineStr">
        <is>
          <t>MTSAA</t>
        </is>
      </c>
      <c r="D483" s="7" t="inlineStr">
        <is>
          <t>MTSAS</t>
        </is>
      </c>
      <c r="E483" s="7" t="inlineStr">
        <is>
          <t>PAE BV</t>
        </is>
      </c>
      <c r="F483" s="8" t="inlineStr">
        <is>
          <t>Cyrela by Pininfarina</t>
        </is>
      </c>
      <c r="G483" s="8" t="inlineStr">
        <is>
          <t>Rua Farnese, 70</t>
        </is>
      </c>
      <c r="H483" s="7" t="inlineStr">
        <is>
          <t>MTSAA.144.M060</t>
        </is>
      </c>
      <c r="I483" s="8" t="inlineStr">
        <is>
          <t>FOI LANÇADO 893 METROS DE CABO DE 12FO, 9 ABERTURA E FECHAMENTO , 7 FUSÃO, 1 CX NOVA, 3 DERIVAÇÃO, 3 TESTE</t>
        </is>
      </c>
      <c r="J483" s="8" t="inlineStr">
        <is>
          <t>VITOR LOPES / MAICON</t>
        </is>
      </c>
      <c r="K483" s="8" t="inlineStr">
        <is>
          <t>ANDERSON</t>
        </is>
      </c>
      <c r="L483" s="9" t="n">
        <v>45652</v>
      </c>
      <c r="M483" s="9" t="n">
        <v>45653</v>
      </c>
      <c r="N483" s="7" t="inlineStr"/>
      <c r="O483" s="9" t="n">
        <v>45663</v>
      </c>
      <c r="P483" s="7" t="inlineStr">
        <is>
          <t>NÃO PRECISA</t>
        </is>
      </c>
      <c r="Q483" s="9" t="n">
        <v>45667</v>
      </c>
      <c r="R483" s="7" t="inlineStr">
        <is>
          <t>Concluído Campo</t>
        </is>
      </c>
      <c r="S483" s="9" t="n">
        <v>45666</v>
      </c>
      <c r="T483" s="10" t="inlineStr"/>
      <c r="U483" s="7" t="inlineStr">
        <is>
          <t>4522448</t>
        </is>
      </c>
      <c r="V483" s="7" t="inlineStr">
        <is>
          <t>FINALIZADO</t>
        </is>
      </c>
      <c r="W483" s="7" t="inlineStr"/>
      <c r="X483" s="7" t="inlineStr">
        <is>
          <t>MEDIÇÃO CONCLUÍDA</t>
        </is>
      </c>
      <c r="Y483" s="11">
        <f>IF(AND(L483&lt;&gt;"", S483&lt;&gt;""), S483-L483, IF(L483&lt;&gt;"", TODAY()-L483, ""))</f>
        <v/>
      </c>
      <c r="Z483" s="7">
        <f>IF(Y483="", "", IF(Y483&lt;=3, "NO PRAZO", "ATRASADO"))</f>
        <v/>
      </c>
      <c r="AA483" s="8" t="inlineStr">
        <is>
          <t>100% - OK</t>
        </is>
      </c>
    </row>
    <row r="484" ht="20" customHeight="1">
      <c r="A484" s="7" t="inlineStr">
        <is>
          <t>RSCLER0482</t>
        </is>
      </c>
      <c r="B484" s="8" t="inlineStr">
        <is>
          <t>PORTO ALEGRE</t>
        </is>
      </c>
      <c r="C484" s="7" t="inlineStr">
        <is>
          <t>GUAAA</t>
        </is>
      </c>
      <c r="D484" s="7" t="inlineStr">
        <is>
          <t>IPMAFA</t>
        </is>
      </c>
      <c r="E484" s="7" t="inlineStr">
        <is>
          <t>RSPSU21</t>
        </is>
      </c>
      <c r="F484" s="8" t="inlineStr">
        <is>
          <t>RES DOIS IRMAOS</t>
        </is>
      </c>
      <c r="G484" s="8" t="inlineStr">
        <is>
          <t>EST JORGE PEREIRA NUNES 1306</t>
        </is>
      </c>
      <c r="H484" s="7" t="inlineStr">
        <is>
          <t>GUAAA.401.M010</t>
        </is>
      </c>
      <c r="I484" s="8" t="inlineStr">
        <is>
          <t>FOI LANÇADO 1225 METROS DE CABO DE 12FO, FOI LANÇADO 1765 METROS DE CABO DE 24FO, 5 ABERTURA E FECHAMENTO, 36 FUSÕES, 3 DERIVAÇÕES, 1 CX NOVA, 4 TESTES, RETIRADO 40 METROS DE DROP.</t>
        </is>
      </c>
      <c r="J484" s="8" t="inlineStr">
        <is>
          <t>TIAGO FERREIRA</t>
        </is>
      </c>
      <c r="K484" s="8" t="inlineStr">
        <is>
          <t>AUGUSTO</t>
        </is>
      </c>
      <c r="L484" s="9" t="n">
        <v>45653</v>
      </c>
      <c r="M484" s="9" t="n">
        <v>45672</v>
      </c>
      <c r="N484" s="9" t="n">
        <v>45673</v>
      </c>
      <c r="O484" s="9" t="n">
        <v>45674</v>
      </c>
      <c r="P484" s="7" t="inlineStr">
        <is>
          <t>NÃO PRECISA</t>
        </is>
      </c>
      <c r="Q484" s="9" t="n">
        <v>45698</v>
      </c>
      <c r="R484" s="7" t="inlineStr">
        <is>
          <t>Concluído Campo</t>
        </is>
      </c>
      <c r="S484" s="9" t="n">
        <v>45670</v>
      </c>
      <c r="T484" s="10" t="inlineStr"/>
      <c r="U484" s="7" t="inlineStr">
        <is>
          <t>4522448</t>
        </is>
      </c>
      <c r="V484" s="7" t="inlineStr">
        <is>
          <t>FINALIZADO</t>
        </is>
      </c>
      <c r="W484" s="7" t="inlineStr"/>
      <c r="X484" s="7" t="inlineStr">
        <is>
          <t>MEDIÇÃO CONCLUÍDA</t>
        </is>
      </c>
      <c r="Y484" s="11">
        <f>IF(AND(L484&lt;&gt;"", S484&lt;&gt;""), S484-L484, IF(L484&lt;&gt;"", TODAY()-L484, ""))</f>
        <v/>
      </c>
      <c r="Z484" s="7">
        <f>IF(Y484="", "", IF(Y484&lt;=3, "NO PRAZO", "ATRASADO"))</f>
        <v/>
      </c>
      <c r="AA484" s="8" t="inlineStr">
        <is>
          <t>100% - OK</t>
        </is>
      </c>
    </row>
    <row r="485" ht="20" customHeight="1">
      <c r="A485" s="7" t="inlineStr">
        <is>
          <t>RSCLER0483</t>
        </is>
      </c>
      <c r="B485" s="8" t="inlineStr">
        <is>
          <t>PORTO ALEGRE</t>
        </is>
      </c>
      <c r="C485" s="7" t="inlineStr">
        <is>
          <t>CNTAA</t>
        </is>
      </c>
      <c r="D485" s="7" t="inlineStr">
        <is>
          <t>CBXAE</t>
        </is>
      </c>
      <c r="E485" s="7" t="inlineStr">
        <is>
          <t>PAE MF</t>
        </is>
      </c>
      <c r="F485" s="8" t="inlineStr">
        <is>
          <t>Condomínio Lopo Gonçalves</t>
        </is>
      </c>
      <c r="G485" s="8" t="inlineStr">
        <is>
          <t>Rua Lopo Gonçalves, 543</t>
        </is>
      </c>
      <c r="H485" s="7" t="inlineStr">
        <is>
          <t>CNTAA.352.M050</t>
        </is>
      </c>
      <c r="I485" s="8" t="inlineStr">
        <is>
          <t>3 ABERTURA E FECHAMENTO, 6 FUSÃO, 4 TESTE</t>
        </is>
      </c>
      <c r="J485" s="8" t="inlineStr"/>
      <c r="K485" s="8" t="inlineStr">
        <is>
          <t>FABIO AMARILHO</t>
        </is>
      </c>
      <c r="L485" s="9" t="n">
        <v>45653</v>
      </c>
      <c r="M485" s="7" t="inlineStr"/>
      <c r="N485" s="7" t="inlineStr"/>
      <c r="O485" s="9" t="n">
        <v>45666</v>
      </c>
      <c r="P485" s="7" t="inlineStr">
        <is>
          <t>NÃO PRECISA</t>
        </is>
      </c>
      <c r="Q485" s="9" t="n">
        <v>45671</v>
      </c>
      <c r="R485" s="7" t="inlineStr">
        <is>
          <t>Concluído Campo</t>
        </is>
      </c>
      <c r="S485" s="9" t="n">
        <v>45671</v>
      </c>
      <c r="T485" s="10" t="inlineStr"/>
      <c r="U485" s="7" t="inlineStr">
        <is>
          <t>4522448</t>
        </is>
      </c>
      <c r="V485" s="7" t="inlineStr">
        <is>
          <t>FINALIZADO</t>
        </is>
      </c>
      <c r="W485" s="7" t="inlineStr"/>
      <c r="X485" s="7" t="inlineStr">
        <is>
          <t>MEDIÇÃO CONCLUÍDA</t>
        </is>
      </c>
      <c r="Y485" s="11">
        <f>IF(AND(L485&lt;&gt;"", S485&lt;&gt;""), S485-L485, IF(L485&lt;&gt;"", TODAY()-L485, ""))</f>
        <v/>
      </c>
      <c r="Z485" s="7">
        <f>IF(Y485="", "", IF(Y485&lt;=3, "NO PRAZO", "ATRASADO"))</f>
        <v/>
      </c>
      <c r="AA485" s="8" t="inlineStr">
        <is>
          <t>100% - OK</t>
        </is>
      </c>
    </row>
    <row r="486" ht="20" customHeight="1">
      <c r="A486" s="7" t="inlineStr">
        <is>
          <t>RSCLER0484</t>
        </is>
      </c>
      <c r="B486" s="8" t="inlineStr">
        <is>
          <t>PORTO ALEGRE</t>
        </is>
      </c>
      <c r="C486" s="7" t="inlineStr">
        <is>
          <t>BVSAA</t>
        </is>
      </c>
      <c r="D486" s="7" t="inlineStr">
        <is>
          <t>PDRAD</t>
        </is>
      </c>
      <c r="E486" s="7" t="inlineStr">
        <is>
          <t>RSPLE07</t>
        </is>
      </c>
      <c r="F486" s="8" t="inlineStr"/>
      <c r="G486" s="8" t="inlineStr">
        <is>
          <t>RUA VERANOPOLIS, 830</t>
        </is>
      </c>
      <c r="H486" s="7" t="inlineStr">
        <is>
          <t>BVSAA.014.M060 / BVSAA.014.05.07</t>
        </is>
      </c>
      <c r="I486" s="8" t="inlineStr">
        <is>
          <t>4 ABERTURA E FECHAMENTO</t>
        </is>
      </c>
      <c r="J486" s="8" t="inlineStr">
        <is>
          <t>UBIRATAN</t>
        </is>
      </c>
      <c r="K486" s="8" t="inlineStr">
        <is>
          <t>ANDERSON</t>
        </is>
      </c>
      <c r="L486" s="9" t="n">
        <v>45297</v>
      </c>
      <c r="M486" s="9" t="n">
        <v>45666</v>
      </c>
      <c r="N486" s="9" t="n">
        <v>45670</v>
      </c>
      <c r="O486" s="9" t="n">
        <v>45670</v>
      </c>
      <c r="P486" s="7" t="inlineStr">
        <is>
          <t>NÃO PRECISA</t>
        </is>
      </c>
      <c r="Q486" s="9" t="n">
        <v>45671</v>
      </c>
      <c r="R486" s="7" t="inlineStr">
        <is>
          <t>Concluído Campo</t>
        </is>
      </c>
      <c r="S486" s="9" t="n">
        <v>45693</v>
      </c>
      <c r="T486" s="10" t="inlineStr"/>
      <c r="U486" s="7" t="inlineStr">
        <is>
          <t>4596731</t>
        </is>
      </c>
      <c r="V486" s="7" t="inlineStr">
        <is>
          <t>FINALIZADO</t>
        </is>
      </c>
      <c r="W486" s="7" t="inlineStr"/>
      <c r="X486" s="7" t="inlineStr">
        <is>
          <t>MEDIÇÃO CONCLUÍDA</t>
        </is>
      </c>
      <c r="Y486" s="11">
        <f>IF(AND(L486&lt;&gt;"", S486&lt;&gt;""), S486-L486, IF(L486&lt;&gt;"", TODAY()-L486, ""))</f>
        <v/>
      </c>
      <c r="Z486" s="7">
        <f>IF(Y486="", "", IF(Y486&lt;=3, "NO PRAZO", "ATRASADO"))</f>
        <v/>
      </c>
      <c r="AA486" s="8" t="inlineStr">
        <is>
          <t>100% - OK</t>
        </is>
      </c>
    </row>
    <row r="487" ht="20" customHeight="1">
      <c r="A487" s="7" t="inlineStr">
        <is>
          <t>RSCLER0485</t>
        </is>
      </c>
      <c r="B487" s="8" t="inlineStr">
        <is>
          <t>PORTO ALEGRE</t>
        </is>
      </c>
      <c r="C487" s="7" t="inlineStr">
        <is>
          <t>JITAA</t>
        </is>
      </c>
      <c r="D487" s="7" t="inlineStr">
        <is>
          <t>JITAE</t>
        </is>
      </c>
      <c r="E487" s="7" t="inlineStr">
        <is>
          <t>RSPNO75</t>
        </is>
      </c>
      <c r="F487" s="8" t="inlineStr">
        <is>
          <t>CASAS 30, 50</t>
        </is>
      </c>
      <c r="G487" s="8" t="inlineStr">
        <is>
          <t>RUA DEP. HUGO MARDINI, 1780</t>
        </is>
      </c>
      <c r="H487" s="7" t="inlineStr">
        <is>
          <t>JITAA.161.01.02</t>
        </is>
      </c>
      <c r="I487" s="8" t="inlineStr">
        <is>
          <t>FOI LANÇADO 299 METROS DE CABO DE 12FO, 4 NAP NOVA, 4 FUSÃO, 12 TESTE</t>
        </is>
      </c>
      <c r="J487" s="8" t="inlineStr">
        <is>
          <t>AUGUSTO</t>
        </is>
      </c>
      <c r="K487" s="8" t="inlineStr">
        <is>
          <t>AUGUSTO</t>
        </is>
      </c>
      <c r="L487" s="9" t="n">
        <v>45664</v>
      </c>
      <c r="M487" s="9" t="n">
        <v>45670</v>
      </c>
      <c r="N487" s="9" t="n">
        <v>45306</v>
      </c>
      <c r="O487" s="9" t="n">
        <v>45671</v>
      </c>
      <c r="P487" s="7" t="inlineStr">
        <is>
          <t>NÃO PRECISA</t>
        </is>
      </c>
      <c r="Q487" s="9" t="n">
        <v>45671</v>
      </c>
      <c r="R487" s="7" t="inlineStr">
        <is>
          <t>Concluído Campo</t>
        </is>
      </c>
      <c r="S487" s="9" t="n">
        <v>45693</v>
      </c>
      <c r="T487" s="10" t="inlineStr"/>
      <c r="U487" s="7" t="inlineStr">
        <is>
          <t>4596749</t>
        </is>
      </c>
      <c r="V487" s="7" t="inlineStr">
        <is>
          <t>FINALIZADO</t>
        </is>
      </c>
      <c r="W487" s="7" t="inlineStr"/>
      <c r="X487" s="7" t="inlineStr">
        <is>
          <t>MEDIÇÃO CONCLUÍDA</t>
        </is>
      </c>
      <c r="Y487" s="11">
        <f>IF(AND(L487&lt;&gt;"", S487&lt;&gt;""), S487-L487, IF(L487&lt;&gt;"", TODAY()-L487, ""))</f>
        <v/>
      </c>
      <c r="Z487" s="7">
        <f>IF(Y487="", "", IF(Y487&lt;=3, "NO PRAZO", "ATRASADO"))</f>
        <v/>
      </c>
      <c r="AA487" s="8" t="inlineStr">
        <is>
          <t>100% - OK</t>
        </is>
      </c>
    </row>
    <row r="488" ht="20" customHeight="1">
      <c r="A488" s="7" t="inlineStr">
        <is>
          <t>RSCLER0486</t>
        </is>
      </c>
      <c r="B488" s="8" t="inlineStr">
        <is>
          <t>PORTO ALEGRE</t>
        </is>
      </c>
      <c r="C488" s="7" t="inlineStr">
        <is>
          <t>RBTAB</t>
        </is>
      </c>
      <c r="D488" s="7" t="inlineStr">
        <is>
          <t>RBTABA</t>
        </is>
      </c>
      <c r="E488" s="7" t="inlineStr">
        <is>
          <t>RSPNO22</t>
        </is>
      </c>
      <c r="F488" s="8" t="inlineStr"/>
      <c r="G488" s="8" t="inlineStr">
        <is>
          <t>R. Irmã Teresilda Steffen, 255</t>
        </is>
      </c>
      <c r="H488" s="7" t="inlineStr">
        <is>
          <t>RBTAB.091.M010</t>
        </is>
      </c>
      <c r="I488" s="8" t="inlineStr">
        <is>
          <t>2 ABERTURA E FECHAMENTO</t>
        </is>
      </c>
      <c r="J488" s="8" t="inlineStr">
        <is>
          <t>GABRIEL BRITO SANTOS</t>
        </is>
      </c>
      <c r="K488" s="8" t="inlineStr">
        <is>
          <t>CATIA</t>
        </is>
      </c>
      <c r="L488" s="9" t="n">
        <v>45665</v>
      </c>
      <c r="M488" s="9" t="n">
        <v>45678</v>
      </c>
      <c r="N488" s="9" t="n">
        <v>45691</v>
      </c>
      <c r="O488" s="9" t="n">
        <v>45693</v>
      </c>
      <c r="P488" s="7" t="inlineStr">
        <is>
          <t>NÃO PRECISA</t>
        </is>
      </c>
      <c r="Q488" s="9" t="n">
        <v>45698</v>
      </c>
      <c r="R488" s="7" t="inlineStr">
        <is>
          <t>Em Andamento</t>
        </is>
      </c>
      <c r="S488" s="9" t="n">
        <v>45683</v>
      </c>
      <c r="T488" s="10" t="inlineStr"/>
      <c r="U488" s="7" t="inlineStr">
        <is>
          <t>4596780</t>
        </is>
      </c>
      <c r="V488" s="7" t="inlineStr">
        <is>
          <t>FINALIZADO</t>
        </is>
      </c>
      <c r="W488" s="7" t="inlineStr"/>
      <c r="X488" s="7" t="inlineStr">
        <is>
          <t>MEDIÇÃO CONCLUÍDA</t>
        </is>
      </c>
      <c r="Y488" s="11">
        <f>IF(AND(L488&lt;&gt;"", S488&lt;&gt;""), S488-L488, IF(L488&lt;&gt;"", TODAY()-L488, ""))</f>
        <v/>
      </c>
      <c r="Z488" s="7">
        <f>IF(Y488="", "", IF(Y488&lt;=3, "NO PRAZO", "ATRASADO"))</f>
        <v/>
      </c>
      <c r="AA488" s="8" t="inlineStr">
        <is>
          <t>100% - OK</t>
        </is>
      </c>
    </row>
    <row r="489" ht="20" customHeight="1">
      <c r="A489" s="7" t="inlineStr">
        <is>
          <t>RSCLER0487</t>
        </is>
      </c>
      <c r="B489" s="8" t="inlineStr">
        <is>
          <t>PORTO ALEGRE</t>
        </is>
      </c>
      <c r="C489" s="7" t="inlineStr">
        <is>
          <t>RBTAB</t>
        </is>
      </c>
      <c r="D489" s="7" t="inlineStr">
        <is>
          <t>RBTABA</t>
        </is>
      </c>
      <c r="E489" s="7" t="inlineStr">
        <is>
          <t>RSPNO22</t>
        </is>
      </c>
      <c r="F489" s="8" t="inlineStr"/>
      <c r="G489" s="8" t="inlineStr">
        <is>
          <t>R. Irmã Teresilda Steffen, 115</t>
        </is>
      </c>
      <c r="H489" s="7" t="inlineStr">
        <is>
          <t>RBTAB.091.M040</t>
        </is>
      </c>
      <c r="I489" s="8" t="inlineStr">
        <is>
          <t>2 ABERTURA E FECHAMENTO</t>
        </is>
      </c>
      <c r="J489" s="8" t="inlineStr">
        <is>
          <t>GABRIEL BRITO SANTOS</t>
        </is>
      </c>
      <c r="K489" s="8" t="inlineStr">
        <is>
          <t>CATIA</t>
        </is>
      </c>
      <c r="L489" s="9" t="n">
        <v>45665</v>
      </c>
      <c r="M489" s="9" t="n">
        <v>45678</v>
      </c>
      <c r="N489" s="9" t="n">
        <v>45691</v>
      </c>
      <c r="O489" s="9" t="n">
        <v>45693</v>
      </c>
      <c r="P489" s="7" t="inlineStr">
        <is>
          <t>NÃO PRECISA</t>
        </is>
      </c>
      <c r="Q489" s="9" t="n">
        <v>45698</v>
      </c>
      <c r="R489" s="7" t="inlineStr">
        <is>
          <t>Em Andamento</t>
        </is>
      </c>
      <c r="S489" s="9" t="n">
        <v>45672</v>
      </c>
      <c r="T489" s="10" t="inlineStr"/>
      <c r="U489" s="7" t="inlineStr">
        <is>
          <t>4522448</t>
        </is>
      </c>
      <c r="V489" s="7" t="inlineStr">
        <is>
          <t>FINALIZADO</t>
        </is>
      </c>
      <c r="W489" s="7" t="inlineStr"/>
      <c r="X489" s="7" t="inlineStr">
        <is>
          <t>MEDIÇÃO CONCLUÍDA</t>
        </is>
      </c>
      <c r="Y489" s="11">
        <f>IF(AND(L489&lt;&gt;"", S489&lt;&gt;""), S489-L489, IF(L489&lt;&gt;"", TODAY()-L489, ""))</f>
        <v/>
      </c>
      <c r="Z489" s="7">
        <f>IF(Y489="", "", IF(Y489&lt;=3, "NO PRAZO", "ATRASADO"))</f>
        <v/>
      </c>
      <c r="AA489" s="8" t="inlineStr">
        <is>
          <t>100% - OK</t>
        </is>
      </c>
    </row>
    <row r="490" ht="20" customHeight="1">
      <c r="A490" s="7" t="inlineStr">
        <is>
          <t>RSCLER0488</t>
        </is>
      </c>
      <c r="B490" s="8" t="inlineStr">
        <is>
          <t>PORTO ALEGRE</t>
        </is>
      </c>
      <c r="C490" s="7" t="inlineStr">
        <is>
          <t>CNTAA</t>
        </is>
      </c>
      <c r="D490" s="7" t="inlineStr">
        <is>
          <t>CNTAK</t>
        </is>
      </c>
      <c r="E490" s="7" t="inlineStr">
        <is>
          <t>PAE MF</t>
        </is>
      </c>
      <c r="F490" s="8" t="inlineStr">
        <is>
          <t>Cond Ed Transocean</t>
        </is>
      </c>
      <c r="G490" s="8" t="inlineStr">
        <is>
          <t>Rua Marechal Floriano Peixoto, 737</t>
        </is>
      </c>
      <c r="H490" s="7" t="inlineStr">
        <is>
          <t>CNTAA.152.M010</t>
        </is>
      </c>
      <c r="I490" s="8" t="inlineStr">
        <is>
          <t>FOI LANÇADO 120 METROS DE CABO DE 24FO, 4 ABERTURA E FECHAMENTO, 25 FUSÕES, 2 DERIVAÇÕES, 1 TESTE</t>
        </is>
      </c>
      <c r="J490" s="8" t="inlineStr">
        <is>
          <t>AUGUSTO</t>
        </is>
      </c>
      <c r="K490" s="8" t="inlineStr">
        <is>
          <t>ANDERSON / AUGUSTO</t>
        </is>
      </c>
      <c r="L490" s="9" t="n">
        <v>45670</v>
      </c>
      <c r="M490" s="7" t="inlineStr"/>
      <c r="N490" s="9" t="n">
        <v>45683</v>
      </c>
      <c r="O490" s="9" t="n">
        <v>45683</v>
      </c>
      <c r="P490" s="7" t="inlineStr">
        <is>
          <t>NÃO PRECISA</t>
        </is>
      </c>
      <c r="Q490" s="9" t="n">
        <v>45698</v>
      </c>
      <c r="R490" s="7" t="inlineStr">
        <is>
          <t>Concluído Campo</t>
        </is>
      </c>
      <c r="S490" s="9" t="n">
        <v>45673</v>
      </c>
      <c r="T490" s="10" t="inlineStr"/>
      <c r="U490" s="7" t="inlineStr"/>
      <c r="V490" s="7" t="inlineStr"/>
      <c r="W490" s="7" t="inlineStr"/>
      <c r="X490" s="7" t="inlineStr">
        <is>
          <t>MEDIÇÃO CONCLUÍDA</t>
        </is>
      </c>
      <c r="Y490" s="11">
        <f>IF(AND(L490&lt;&gt;"", S490&lt;&gt;""), S490-L490, IF(L490&lt;&gt;"", TODAY()-L490, ""))</f>
        <v/>
      </c>
      <c r="Z490" s="7">
        <f>IF(Y490="", "", IF(Y490&lt;=3, "NO PRAZO", "ATRASADO"))</f>
        <v/>
      </c>
      <c r="AA490" s="8" t="inlineStr">
        <is>
          <t>100% - OK</t>
        </is>
      </c>
    </row>
    <row r="491" ht="20" customHeight="1">
      <c r="A491" s="7" t="inlineStr">
        <is>
          <t>RSCLER0489</t>
        </is>
      </c>
      <c r="B491" s="8" t="inlineStr">
        <is>
          <t>PORTO ALEGRE</t>
        </is>
      </c>
      <c r="C491" s="7" t="inlineStr">
        <is>
          <t>BVSAB</t>
        </is>
      </c>
      <c r="D491" s="7" t="inlineStr">
        <is>
          <t>BVSALA</t>
        </is>
      </c>
      <c r="E491" s="7" t="inlineStr">
        <is>
          <t>PAE NR</t>
        </is>
      </c>
      <c r="F491" s="8" t="inlineStr">
        <is>
          <t>Três Figueiras</t>
        </is>
      </c>
      <c r="G491" s="8" t="inlineStr">
        <is>
          <t>Av. Protásio Alves, 4028</t>
        </is>
      </c>
      <c r="H491" s="7" t="inlineStr">
        <is>
          <t>BVSAB.222.M070</t>
        </is>
      </c>
      <c r="I491" s="8" t="inlineStr">
        <is>
          <t>2 ABERTURA E FECHAMENTO, 2 FUSÕES, 1 TESTE</t>
        </is>
      </c>
      <c r="J491" s="8" t="inlineStr"/>
      <c r="K491" s="8" t="inlineStr">
        <is>
          <t>ANDERSON</t>
        </is>
      </c>
      <c r="L491" s="9" t="n">
        <v>45670</v>
      </c>
      <c r="M491" s="9" t="n">
        <v>45671</v>
      </c>
      <c r="N491" s="9" t="n">
        <v>45672</v>
      </c>
      <c r="O491" s="9" t="n">
        <v>45672</v>
      </c>
      <c r="P491" s="7" t="inlineStr">
        <is>
          <t>NÃO PRECISA</t>
        </is>
      </c>
      <c r="Q491" s="9" t="n">
        <v>45306</v>
      </c>
      <c r="R491" s="7" t="inlineStr">
        <is>
          <t>Concluído Campo</t>
        </is>
      </c>
      <c r="S491" s="9" t="n">
        <v>45679</v>
      </c>
      <c r="T491" s="10" t="inlineStr"/>
      <c r="U491" s="7" t="inlineStr">
        <is>
          <t>4715786</t>
        </is>
      </c>
      <c r="V491" s="7" t="inlineStr"/>
      <c r="W491" s="7" t="inlineStr"/>
      <c r="X491" s="7" t="inlineStr">
        <is>
          <t>MEDIÇÃO CONCLUÍDA</t>
        </is>
      </c>
      <c r="Y491" s="11">
        <f>IF(AND(L491&lt;&gt;"", S491&lt;&gt;""), S491-L491, IF(L491&lt;&gt;"", TODAY()-L491, ""))</f>
        <v/>
      </c>
      <c r="Z491" s="7">
        <f>IF(Y491="", "", IF(Y491&lt;=3, "NO PRAZO", "ATRASADO"))</f>
        <v/>
      </c>
      <c r="AA491" s="8" t="inlineStr">
        <is>
          <t>100% - OK</t>
        </is>
      </c>
    </row>
    <row r="492" ht="20" customHeight="1">
      <c r="A492" s="7" t="inlineStr">
        <is>
          <t>RSCLER0490</t>
        </is>
      </c>
      <c r="B492" s="8" t="inlineStr">
        <is>
          <t>DOIS IRMÃOS</t>
        </is>
      </c>
      <c r="C492" s="7" t="inlineStr">
        <is>
          <t>CNTAA</t>
        </is>
      </c>
      <c r="D492" s="7" t="inlineStr">
        <is>
          <t>CNT</t>
        </is>
      </c>
      <c r="E492" s="7" t="inlineStr">
        <is>
          <t>RSDSR01</t>
        </is>
      </c>
      <c r="F492" s="8" t="inlineStr">
        <is>
          <t>RESIDENCIAL GREGÓRIUS</t>
        </is>
      </c>
      <c r="G492" s="8" t="inlineStr">
        <is>
          <t>RUA TAQUARA, 691, 791</t>
        </is>
      </c>
      <c r="H492" s="7" t="inlineStr">
        <is>
          <t>CNTAA.008.M050</t>
        </is>
      </c>
      <c r="I492" s="8" t="inlineStr">
        <is>
          <t>FOI LANÇADO 160 METROS DE CABO DE 12FO, 2 ABERTURA E FECHAMENTO, 1 DERIVAÇÃO, 8 FUSÕES, 1 CX NOVA, 4 TESTES, COBRAR 38 METROS DE CORDOALHA</t>
        </is>
      </c>
      <c r="J492" s="8" t="inlineStr">
        <is>
          <t>CESAR LEANDRO</t>
        </is>
      </c>
      <c r="K492" s="8" t="inlineStr">
        <is>
          <t>CESAR LEANDRO</t>
        </is>
      </c>
      <c r="L492" s="9" t="n">
        <v>45671</v>
      </c>
      <c r="M492" s="9" t="n">
        <v>45307</v>
      </c>
      <c r="N492" s="9" t="n">
        <v>45673</v>
      </c>
      <c r="O492" s="9" t="n">
        <v>45673</v>
      </c>
      <c r="P492" s="7" t="inlineStr">
        <is>
          <t>NÃO PRECISA</t>
        </is>
      </c>
      <c r="Q492" s="9" t="n">
        <v>45698</v>
      </c>
      <c r="R492" s="7" t="inlineStr">
        <is>
          <t>Concluído Campo</t>
        </is>
      </c>
      <c r="S492" s="9" t="n">
        <v>45679</v>
      </c>
      <c r="T492" s="10" t="inlineStr"/>
      <c r="U492" s="7" t="inlineStr">
        <is>
          <t>4596667</t>
        </is>
      </c>
      <c r="V492" s="7" t="inlineStr">
        <is>
          <t>FINALIZADO</t>
        </is>
      </c>
      <c r="W492" s="7" t="inlineStr"/>
      <c r="X492" s="7" t="inlineStr">
        <is>
          <t>MEDIÇÃO CONCLUÍDA</t>
        </is>
      </c>
      <c r="Y492" s="11">
        <f>IF(AND(L492&lt;&gt;"", S492&lt;&gt;""), S492-L492, IF(L492&lt;&gt;"", TODAY()-L492, ""))</f>
        <v/>
      </c>
      <c r="Z492" s="7">
        <f>IF(Y492="", "", IF(Y492&lt;=3, "NO PRAZO", "ATRASADO"))</f>
        <v/>
      </c>
      <c r="AA492" s="8" t="inlineStr">
        <is>
          <t>100% - OK</t>
        </is>
      </c>
    </row>
    <row r="493" ht="20" customHeight="1">
      <c r="A493" s="7" t="inlineStr">
        <is>
          <t>RSCLER0491</t>
        </is>
      </c>
      <c r="B493" s="8" t="inlineStr">
        <is>
          <t>NOVO HAMBURGO</t>
        </is>
      </c>
      <c r="C493" s="7" t="inlineStr">
        <is>
          <t>PRIAA</t>
        </is>
      </c>
      <c r="D493" s="7" t="inlineStr"/>
      <c r="E493" s="7" t="inlineStr">
        <is>
          <t>RSNHO06</t>
        </is>
      </c>
      <c r="F493" s="8" t="inlineStr"/>
      <c r="G493" s="8" t="inlineStr">
        <is>
          <t>RUA PORTO LUCANA, 70</t>
        </is>
      </c>
      <c r="H493" s="7" t="inlineStr">
        <is>
          <t>PRIAA.401.M010</t>
        </is>
      </c>
      <c r="I493" s="8" t="inlineStr">
        <is>
          <t>FOI LANÇADO 215 METROS DE CABO DE 12FO, 890 METROS DE CABO DE 24FO, 2 ABERTURA E FECHAMENTO, 2 CX NOVA, 1 DERIVAÇÃO, 3 FUSÕES, 1 TESTE</t>
        </is>
      </c>
      <c r="J493" s="8" t="inlineStr">
        <is>
          <t>TIAGO FERREIRA</t>
        </is>
      </c>
      <c r="K493" s="8" t="inlineStr">
        <is>
          <t>CESAR LEANDRO</t>
        </is>
      </c>
      <c r="L493" s="9" t="n">
        <v>45671</v>
      </c>
      <c r="M493" s="9" t="n">
        <v>45677</v>
      </c>
      <c r="N493" s="9" t="n">
        <v>45678</v>
      </c>
      <c r="O493" s="9" t="n">
        <v>45679</v>
      </c>
      <c r="P493" s="7" t="inlineStr">
        <is>
          <t>NÃO PRECISA</t>
        </is>
      </c>
      <c r="Q493" s="9" t="n">
        <v>45698</v>
      </c>
      <c r="R493" s="7" t="inlineStr">
        <is>
          <t>Concluído Campo</t>
        </is>
      </c>
      <c r="S493" s="9" t="n">
        <v>45695</v>
      </c>
      <c r="T493" s="10" t="inlineStr"/>
      <c r="U493" s="7" t="inlineStr">
        <is>
          <t>4597145</t>
        </is>
      </c>
      <c r="V493" s="7" t="inlineStr"/>
      <c r="W493" s="7" t="inlineStr"/>
      <c r="X493" s="7" t="inlineStr">
        <is>
          <t>MEDIÇÃO CONCLUÍDA</t>
        </is>
      </c>
      <c r="Y493" s="11">
        <f>IF(AND(L493&lt;&gt;"", S493&lt;&gt;""), S493-L493, IF(L493&lt;&gt;"", TODAY()-L493, ""))</f>
        <v/>
      </c>
      <c r="Z493" s="7">
        <f>IF(Y493="", "", IF(Y493&lt;=3, "NO PRAZO", "ATRASADO"))</f>
        <v/>
      </c>
      <c r="AA493" s="8" t="inlineStr">
        <is>
          <t>100% - OK</t>
        </is>
      </c>
    </row>
    <row r="494" ht="20" customHeight="1">
      <c r="A494" s="7" t="inlineStr">
        <is>
          <t>RSCLER0492</t>
        </is>
      </c>
      <c r="B494" s="8" t="inlineStr">
        <is>
          <t>PORTO ALEGRE</t>
        </is>
      </c>
      <c r="C494" s="7" t="inlineStr">
        <is>
          <t>JITAA</t>
        </is>
      </c>
      <c r="D494" s="7" t="inlineStr">
        <is>
          <t>JITAE</t>
        </is>
      </c>
      <c r="E494" s="7" t="inlineStr">
        <is>
          <t>RSPNO75</t>
        </is>
      </c>
      <c r="F494" s="8" t="inlineStr"/>
      <c r="G494" s="8" t="inlineStr">
        <is>
          <t>RUA EDMUNDO FIGUEIRA DA SILVA</t>
        </is>
      </c>
      <c r="H494" s="7" t="inlineStr">
        <is>
          <t>JITAA.161.01.06</t>
        </is>
      </c>
      <c r="I494" s="8" t="inlineStr">
        <is>
          <t>FOI LANÇADO 229 METROS DE CABO DE 12FO, 4 NAP NOVA, 4 FUSÕES, 12 TESTES</t>
        </is>
      </c>
      <c r="J494" s="8" t="inlineStr">
        <is>
          <t>AUGUSTO</t>
        </is>
      </c>
      <c r="K494" s="8" t="inlineStr">
        <is>
          <t>AUGUSTO</t>
        </is>
      </c>
      <c r="L494" s="9" t="n">
        <v>45664</v>
      </c>
      <c r="M494" s="9" t="n">
        <v>45679</v>
      </c>
      <c r="N494" s="9" t="n">
        <v>45659</v>
      </c>
      <c r="O494" s="9" t="n">
        <v>45679</v>
      </c>
      <c r="P494" s="7" t="inlineStr">
        <is>
          <t>NÃO PRECISA</t>
        </is>
      </c>
      <c r="Q494" s="9" t="n">
        <v>45698</v>
      </c>
      <c r="R494" s="7" t="inlineStr">
        <is>
          <t>Concluído Campo</t>
        </is>
      </c>
      <c r="S494" s="9" t="n">
        <v>45692</v>
      </c>
      <c r="T494" s="10" t="inlineStr"/>
      <c r="U494" s="7" t="inlineStr">
        <is>
          <t>4597015</t>
        </is>
      </c>
      <c r="V494" s="7" t="inlineStr"/>
      <c r="W494" s="7" t="inlineStr"/>
      <c r="X494" s="7" t="inlineStr">
        <is>
          <t>MEDIÇÃO CONCLUÍDA</t>
        </is>
      </c>
      <c r="Y494" s="11">
        <f>IF(AND(L494&lt;&gt;"", S494&lt;&gt;""), S494-L494, IF(L494&lt;&gt;"", TODAY()-L494, ""))</f>
        <v/>
      </c>
      <c r="Z494" s="7">
        <f>IF(Y494="", "", IF(Y494&lt;=3, "NO PRAZO", "ATRASADO"))</f>
        <v/>
      </c>
      <c r="AA494" s="8" t="inlineStr">
        <is>
          <t>100% - OK</t>
        </is>
      </c>
    </row>
    <row r="495" ht="20" customHeight="1">
      <c r="A495" s="7" t="inlineStr">
        <is>
          <t>RSCLER0493</t>
        </is>
      </c>
      <c r="B495" s="8" t="inlineStr">
        <is>
          <t>PORTO ALEGRE</t>
        </is>
      </c>
      <c r="C495" s="7" t="inlineStr">
        <is>
          <t>BFMAA</t>
        </is>
      </c>
      <c r="D495" s="7" t="inlineStr">
        <is>
          <t>BFMAE</t>
        </is>
      </c>
      <c r="E495" s="7" t="inlineStr">
        <is>
          <t>PAE IND</t>
        </is>
      </c>
      <c r="F495" s="8" t="inlineStr">
        <is>
          <t>Cond Edificio Izabel</t>
        </is>
      </c>
      <c r="G495" s="8" t="inlineStr">
        <is>
          <t>Rua Fernandes Vieira, 608</t>
        </is>
      </c>
      <c r="H495" s="7" t="inlineStr">
        <is>
          <t>BFMAA.212.M040</t>
        </is>
      </c>
      <c r="I495" s="8" t="inlineStr">
        <is>
          <t>3 ABERTURA E FECHAMENTO, 2 FUSÕES, 1 TESTE</t>
        </is>
      </c>
      <c r="J495" s="8" t="inlineStr"/>
      <c r="K495" s="8" t="inlineStr">
        <is>
          <t>ANDERSON</t>
        </is>
      </c>
      <c r="L495" s="9" t="n">
        <v>45680</v>
      </c>
      <c r="M495" s="9" t="n">
        <v>45684</v>
      </c>
      <c r="N495" s="9" t="n">
        <v>45695</v>
      </c>
      <c r="O495" s="9" t="n">
        <v>45695</v>
      </c>
      <c r="P495" s="7" t="inlineStr">
        <is>
          <t>NÃO PRECISA</t>
        </is>
      </c>
      <c r="Q495" s="9" t="n">
        <v>45698</v>
      </c>
      <c r="R495" s="7" t="inlineStr">
        <is>
          <t>Concluído Campo</t>
        </is>
      </c>
      <c r="S495" s="9" t="n">
        <v>45686</v>
      </c>
      <c r="T495" s="10" t="inlineStr"/>
      <c r="U495" s="7" t="inlineStr">
        <is>
          <t>4596992</t>
        </is>
      </c>
      <c r="V495" s="7" t="inlineStr"/>
      <c r="W495" s="7" t="inlineStr"/>
      <c r="X495" s="7" t="inlineStr">
        <is>
          <t>MEDIÇÃO CONCLUÍDA</t>
        </is>
      </c>
      <c r="Y495" s="11">
        <f>IF(AND(L495&lt;&gt;"", S495&lt;&gt;""), S495-L495, IF(L495&lt;&gt;"", TODAY()-L495, ""))</f>
        <v/>
      </c>
      <c r="Z495" s="7">
        <f>IF(Y495="", "", IF(Y495&lt;=3, "NO PRAZO", "ATRASADO"))</f>
        <v/>
      </c>
      <c r="AA495" s="8" t="inlineStr">
        <is>
          <t>100% - OK</t>
        </is>
      </c>
    </row>
    <row r="496" ht="20" customHeight="1">
      <c r="A496" s="7" t="inlineStr">
        <is>
          <t>RSCLER0494</t>
        </is>
      </c>
      <c r="B496" s="8" t="inlineStr">
        <is>
          <t>PORTO ALEGRE</t>
        </is>
      </c>
      <c r="C496" s="7" t="inlineStr">
        <is>
          <t>JVCAA</t>
        </is>
      </c>
      <c r="D496" s="7" t="inlineStr">
        <is>
          <t>VJDAFA</t>
        </is>
      </c>
      <c r="E496" s="7" t="inlineStr">
        <is>
          <t>RSPNO24</t>
        </is>
      </c>
      <c r="F496" s="8" t="inlineStr">
        <is>
          <t>Cond Res Jardim das Palmeiras</t>
        </is>
      </c>
      <c r="G496" s="8" t="inlineStr">
        <is>
          <t>R. Dr. Otávio Santos, 570</t>
        </is>
      </c>
      <c r="H496" s="7" t="inlineStr">
        <is>
          <t>JCVAA.012.M040</t>
        </is>
      </c>
      <c r="I496" s="8" t="inlineStr">
        <is>
          <t>FOI LANÇADO 238 METROS DE CABO DE 12FO, 2 ABERTURA E FECHAMENTO, 2 FUSÃO, 1 DERIVAÇÃO, 1 CX NOVA, 2 TESTES</t>
        </is>
      </c>
      <c r="J496" s="8" t="inlineStr">
        <is>
          <t>UBIRATAN</t>
        </is>
      </c>
      <c r="K496" s="8" t="inlineStr">
        <is>
          <t>AUGUSTO</t>
        </is>
      </c>
      <c r="L496" s="9" t="n">
        <v>45680</v>
      </c>
      <c r="M496" s="9" t="n">
        <v>45684</v>
      </c>
      <c r="N496" s="9" t="n">
        <v>45691</v>
      </c>
      <c r="O496" s="9" t="n">
        <v>45692</v>
      </c>
      <c r="P496" s="7" t="inlineStr">
        <is>
          <t>NÃO PRECISA</t>
        </is>
      </c>
      <c r="Q496" s="9" t="n">
        <v>45698</v>
      </c>
      <c r="R496" s="7" t="inlineStr">
        <is>
          <t>Concluído Campo</t>
        </is>
      </c>
      <c r="S496" s="9" t="n">
        <v>45694</v>
      </c>
      <c r="T496" s="10" t="inlineStr"/>
      <c r="U496" s="7" t="inlineStr">
        <is>
          <t>4646284</t>
        </is>
      </c>
      <c r="V496" s="7" t="inlineStr"/>
      <c r="W496" s="7" t="inlineStr"/>
      <c r="X496" s="7" t="inlineStr">
        <is>
          <t>MEDIÇÃO CONCLUÍDA</t>
        </is>
      </c>
      <c r="Y496" s="11">
        <f>IF(AND(L496&lt;&gt;"", S496&lt;&gt;""), S496-L496, IF(L496&lt;&gt;"", TODAY()-L496, ""))</f>
        <v/>
      </c>
      <c r="Z496" s="7">
        <f>IF(Y496="", "", IF(Y496&lt;=3, "NO PRAZO", "ATRASADO"))</f>
        <v/>
      </c>
      <c r="AA496" s="8" t="inlineStr">
        <is>
          <t>100% - OK</t>
        </is>
      </c>
    </row>
    <row r="497" ht="20" customHeight="1">
      <c r="A497" s="7" t="inlineStr">
        <is>
          <t>RSCLER0495</t>
        </is>
      </c>
      <c r="B497" s="8" t="inlineStr">
        <is>
          <t>PORTO ALEGRE</t>
        </is>
      </c>
      <c r="C497" s="7" t="inlineStr">
        <is>
          <t>BFMAA</t>
        </is>
      </c>
      <c r="D497" s="7" t="inlineStr">
        <is>
          <t>BFMADA</t>
        </is>
      </c>
      <c r="E497" s="7" t="inlineStr">
        <is>
          <t>PAE IND</t>
        </is>
      </c>
      <c r="F497" s="8" t="inlineStr">
        <is>
          <t>Cond Ed San Remo II</t>
        </is>
      </c>
      <c r="G497" s="8" t="inlineStr">
        <is>
          <t>R. Santo Antônio, 555</t>
        </is>
      </c>
      <c r="H497" s="7" t="inlineStr">
        <is>
          <t>BFMAA.021.M010</t>
        </is>
      </c>
      <c r="I497" s="8" t="inlineStr">
        <is>
          <t>2 ABERTURA E FECHAMENTO, 1 FUSÃO, 1 TESTE</t>
        </is>
      </c>
      <c r="J497" s="8" t="inlineStr"/>
      <c r="K497" s="8" t="inlineStr">
        <is>
          <t>FABIO AMARILHO</t>
        </is>
      </c>
      <c r="L497" s="9" t="n">
        <v>45680</v>
      </c>
      <c r="M497" s="9" t="n">
        <v>45684</v>
      </c>
      <c r="N497" s="9" t="n">
        <v>45686</v>
      </c>
      <c r="O497" s="9" t="n">
        <v>45686</v>
      </c>
      <c r="P497" s="7" t="inlineStr">
        <is>
          <t>NÃO PRECISA</t>
        </is>
      </c>
      <c r="Q497" s="9" t="n">
        <v>45698</v>
      </c>
      <c r="R497" s="7" t="inlineStr">
        <is>
          <t>Concluído Campo</t>
        </is>
      </c>
      <c r="S497" s="9" t="n">
        <v>45699</v>
      </c>
      <c r="T497" s="10" t="inlineStr"/>
      <c r="U497" s="7" t="inlineStr">
        <is>
          <t>4597368</t>
        </is>
      </c>
      <c r="V497" s="7" t="inlineStr"/>
      <c r="W497" s="7" t="inlineStr"/>
      <c r="X497" s="7" t="inlineStr">
        <is>
          <t>MEDIÇÃO CONCLUÍDA</t>
        </is>
      </c>
      <c r="Y497" s="11">
        <f>IF(AND(L497&lt;&gt;"", S497&lt;&gt;""), S497-L497, IF(L497&lt;&gt;"", TODAY()-L497, ""))</f>
        <v/>
      </c>
      <c r="Z497" s="7">
        <f>IF(Y497="", "", IF(Y497&lt;=3, "NO PRAZO", "ATRASADO"))</f>
        <v/>
      </c>
      <c r="AA497" s="8" t="inlineStr">
        <is>
          <t>100% - OK</t>
        </is>
      </c>
    </row>
    <row r="498" ht="20" customHeight="1">
      <c r="A498" s="7" t="inlineStr">
        <is>
          <t>RSCLER0496</t>
        </is>
      </c>
      <c r="B498" s="8" t="inlineStr">
        <is>
          <t>PORTO ALEGRE</t>
        </is>
      </c>
      <c r="C498" s="7" t="inlineStr">
        <is>
          <t>RBTAB</t>
        </is>
      </c>
      <c r="D498" s="7" t="inlineStr">
        <is>
          <t>RBTABA</t>
        </is>
      </c>
      <c r="E498" s="7" t="inlineStr">
        <is>
          <t>RSPNO22</t>
        </is>
      </c>
      <c r="F498" s="8" t="inlineStr"/>
      <c r="G498" s="8" t="inlineStr">
        <is>
          <t>R IRMÃ TEREZILDA STEFFEN 195</t>
        </is>
      </c>
      <c r="H498" s="7" t="inlineStr">
        <is>
          <t>RBTAB.061.M030</t>
        </is>
      </c>
      <c r="I498" s="8" t="inlineStr">
        <is>
          <t>FOI LANÇADO 997 METROS DE CABO DE 12FO, FOI LANÇADO 275 METROS DE CORDOALHA,2 CX NOVA, 1 ABERTURA E FECHAMENTO, 14 FUSÕES, 1 DERIVAÇÃO,</t>
        </is>
      </c>
      <c r="J498" s="8" t="inlineStr">
        <is>
          <t>LUIS SCHUCH</t>
        </is>
      </c>
      <c r="K498" s="8" t="inlineStr">
        <is>
          <t>LUIS SCHUCH</t>
        </is>
      </c>
      <c r="L498" s="9" t="n">
        <v>45687</v>
      </c>
      <c r="M498" s="9" t="n">
        <v>45692</v>
      </c>
      <c r="N498" s="9" t="n">
        <v>45691</v>
      </c>
      <c r="O498" s="9" t="n">
        <v>45694</v>
      </c>
      <c r="P498" s="7" t="inlineStr">
        <is>
          <t>NÃO PRECISA</t>
        </is>
      </c>
      <c r="Q498" s="9" t="n">
        <v>45734</v>
      </c>
      <c r="R498" s="7" t="inlineStr">
        <is>
          <t>Sem Sinal</t>
        </is>
      </c>
      <c r="S498" s="9" t="n">
        <v>45698</v>
      </c>
      <c r="T498" s="10" t="inlineStr"/>
      <c r="U498" s="7" t="inlineStr">
        <is>
          <t>4597351</t>
        </is>
      </c>
      <c r="V498" s="7" t="inlineStr"/>
      <c r="W498" s="7" t="inlineStr"/>
      <c r="X498" s="7" t="inlineStr">
        <is>
          <t>SEM SINAL</t>
        </is>
      </c>
      <c r="Y498" s="11">
        <f>IF(AND(L498&lt;&gt;"", S498&lt;&gt;""), S498-L498, IF(L498&lt;&gt;"", TODAY()-L498, ""))</f>
        <v/>
      </c>
      <c r="Z498" s="7">
        <f>IF(Y498="", "", IF(Y498&lt;=3, "NO PRAZO", "ATRASADO"))</f>
        <v/>
      </c>
      <c r="AA498" s="8" t="inlineStr">
        <is>
          <t>SEM SINAL</t>
        </is>
      </c>
    </row>
    <row r="499" ht="20" customHeight="1">
      <c r="A499" s="7" t="inlineStr">
        <is>
          <t>RSCLER0497</t>
        </is>
      </c>
      <c r="B499" s="8" t="inlineStr">
        <is>
          <t>PORTO ALEGRE</t>
        </is>
      </c>
      <c r="C499" s="7" t="inlineStr">
        <is>
          <t>CNTAB</t>
        </is>
      </c>
      <c r="D499" s="7" t="inlineStr">
        <is>
          <t>CNTAG</t>
        </is>
      </c>
      <c r="E499" s="7" t="inlineStr">
        <is>
          <t>RSPCE14</t>
        </is>
      </c>
      <c r="F499" s="8" t="inlineStr">
        <is>
          <t>ED CEL GENUINO</t>
        </is>
      </c>
      <c r="G499" s="8" t="inlineStr">
        <is>
          <t>CEL GENUINO 150</t>
        </is>
      </c>
      <c r="H499" s="7" t="inlineStr">
        <is>
          <t>CNTAB.071.M050</t>
        </is>
      </c>
      <c r="I499" s="8" t="inlineStr">
        <is>
          <t>FOI LANÇADO 709 METROS DE CABO DE 12FO, 6 ABERTURA E FECHAMENTO, 12 FUSÃO, 2 TESTES.</t>
        </is>
      </c>
      <c r="J499" s="8" t="inlineStr">
        <is>
          <t>LUIS SCHUCH</t>
        </is>
      </c>
      <c r="K499" s="8" t="inlineStr">
        <is>
          <t>LUIS SCHUCH</t>
        </is>
      </c>
      <c r="L499" s="9" t="n">
        <v>45688</v>
      </c>
      <c r="M499" s="9" t="n">
        <v>45692</v>
      </c>
      <c r="N499" s="9" t="n">
        <v>45696</v>
      </c>
      <c r="O499" s="9" t="n">
        <v>45699</v>
      </c>
      <c r="P499" s="7" t="inlineStr">
        <is>
          <t>NÃO PRECISA</t>
        </is>
      </c>
      <c r="Q499" s="9" t="n">
        <v>45700</v>
      </c>
      <c r="R499" s="7" t="inlineStr">
        <is>
          <t>Concluído Campo</t>
        </is>
      </c>
      <c r="S499" s="9" t="n">
        <v>45775</v>
      </c>
      <c r="T499" s="10" t="inlineStr"/>
      <c r="U499" s="7" t="inlineStr">
        <is>
          <t>4810229</t>
        </is>
      </c>
      <c r="V499" s="7" t="inlineStr"/>
      <c r="W499" s="7" t="inlineStr"/>
      <c r="X499" s="7" t="inlineStr">
        <is>
          <t>MEDIÇÃO CONCLUÍDA</t>
        </is>
      </c>
      <c r="Y499" s="11">
        <f>IF(AND(L499&lt;&gt;"", S499&lt;&gt;""), S499-L499, IF(L499&lt;&gt;"", TODAY()-L499, ""))</f>
        <v/>
      </c>
      <c r="Z499" s="7">
        <f>IF(Y499="", "", IF(Y499&lt;=3, "NO PRAZO", "ATRASADO"))</f>
        <v/>
      </c>
      <c r="AA499" s="8" t="inlineStr">
        <is>
          <t>100% - OK</t>
        </is>
      </c>
    </row>
    <row r="500" ht="20" customHeight="1">
      <c r="A500" s="7" t="inlineStr">
        <is>
          <t>RSCLER0498</t>
        </is>
      </c>
      <c r="B500" s="8" t="inlineStr">
        <is>
          <t>PORTO ALEGRE</t>
        </is>
      </c>
      <c r="C500" s="7" t="inlineStr">
        <is>
          <t>MTSAA</t>
        </is>
      </c>
      <c r="D500" s="7" t="inlineStr">
        <is>
          <t>MTSAK</t>
        </is>
      </c>
      <c r="E500" s="7" t="inlineStr">
        <is>
          <t>PAE BV</t>
        </is>
      </c>
      <c r="F500" s="8" t="inlineStr">
        <is>
          <t>Cond. Aston</t>
        </is>
      </c>
      <c r="G500" s="8" t="inlineStr">
        <is>
          <t>Rua Barão de Ubá, 621</t>
        </is>
      </c>
      <c r="H500" s="7" t="inlineStr">
        <is>
          <t>MTSAA.301.M040</t>
        </is>
      </c>
      <c r="I500" s="8" t="inlineStr">
        <is>
          <t>6 ABERTURA E FECHAMENTO,8 FUSÕES, 3 TESTES.</t>
        </is>
      </c>
      <c r="J500" s="8" t="inlineStr"/>
      <c r="K500" s="8" t="inlineStr">
        <is>
          <t>ANDERSON</t>
        </is>
      </c>
      <c r="L500" s="9" t="n">
        <v>45694</v>
      </c>
      <c r="M500" s="9" t="n">
        <v>45697</v>
      </c>
      <c r="N500" s="9" t="n">
        <v>45698</v>
      </c>
      <c r="O500" s="9" t="n">
        <v>45698</v>
      </c>
      <c r="P500" s="7" t="inlineStr">
        <is>
          <t>NÃO PRECISA</t>
        </is>
      </c>
      <c r="Q500" s="9" t="n">
        <v>45700</v>
      </c>
      <c r="R500" s="7" t="inlineStr">
        <is>
          <t>Concluído Campo</t>
        </is>
      </c>
      <c r="S500" s="7" t="inlineStr"/>
      <c r="T500" s="10" t="inlineStr"/>
      <c r="U500" s="7" t="inlineStr"/>
      <c r="V500" s="7" t="inlineStr"/>
      <c r="W500" s="7" t="inlineStr"/>
      <c r="X500" s="7" t="inlineStr">
        <is>
          <t>AG. MEDIÇÃO</t>
        </is>
      </c>
      <c r="Y500" s="11">
        <f>IF(AND(L500&lt;&gt;"", S500&lt;&gt;""), S500-L500, IF(L500&lt;&gt;"", TODAY()-L500, ""))</f>
        <v/>
      </c>
      <c r="Z500" s="7">
        <f>IF(Y500="", "", IF(Y500&lt;=3, "NO PRAZO", "ATRASADO"))</f>
        <v/>
      </c>
      <c r="AA500" s="8" t="inlineStr">
        <is>
          <t>100% - OK</t>
        </is>
      </c>
    </row>
    <row r="501" ht="20" customHeight="1">
      <c r="A501" s="7" t="inlineStr">
        <is>
          <t>RSCLER0499</t>
        </is>
      </c>
      <c r="B501" s="8" t="inlineStr">
        <is>
          <t>TORRES</t>
        </is>
      </c>
      <c r="C501" s="7" t="inlineStr">
        <is>
          <t>CNT</t>
        </is>
      </c>
      <c r="D501" s="7" t="inlineStr"/>
      <c r="E501" s="7" t="inlineStr">
        <is>
          <t>RSTES14</t>
        </is>
      </c>
      <c r="F501" s="8" t="inlineStr"/>
      <c r="G501" s="8" t="inlineStr">
        <is>
          <t>Av. Silva Jardim, 1034</t>
        </is>
      </c>
      <c r="H501" s="7" t="inlineStr">
        <is>
          <t>CNT015-M1</t>
        </is>
      </c>
      <c r="I501" s="8" t="inlineStr">
        <is>
          <t>FOI LANÇADO 90 METROS DE CABO DE 12FO, 11 ABERTURA E FECHAMENTO, 15 FUSÕES, 1 CX NOVA, 1 DERIVAÇÃO,</t>
        </is>
      </c>
      <c r="J501" s="8" t="inlineStr">
        <is>
          <t>MAQUENZE</t>
        </is>
      </c>
      <c r="K501" s="8" t="inlineStr">
        <is>
          <t>MAQUENZE</t>
        </is>
      </c>
      <c r="L501" s="9" t="n">
        <v>45692</v>
      </c>
      <c r="M501" s="9" t="n">
        <v>45700</v>
      </c>
      <c r="N501" s="7" t="inlineStr"/>
      <c r="O501" s="7" t="inlineStr"/>
      <c r="P501" s="7" t="inlineStr">
        <is>
          <t>NÃO PRECISA</t>
        </is>
      </c>
      <c r="Q501" s="9" t="n">
        <v>45785</v>
      </c>
      <c r="R501" s="7" t="inlineStr">
        <is>
          <t>Concluído Campo</t>
        </is>
      </c>
      <c r="S501" s="9" t="n">
        <v>45715</v>
      </c>
      <c r="T501" s="10" t="inlineStr"/>
      <c r="U501" s="7" t="inlineStr">
        <is>
          <t>4645145</t>
        </is>
      </c>
      <c r="V501" s="7" t="inlineStr"/>
      <c r="W501" s="7" t="inlineStr"/>
      <c r="X501" s="7" t="inlineStr">
        <is>
          <t>MEDIÇÃO CONCLUÍDA</t>
        </is>
      </c>
      <c r="Y501" s="11">
        <f>IF(AND(L501&lt;&gt;"", S501&lt;&gt;""), S501-L501, IF(L501&lt;&gt;"", TODAY()-L501, ""))</f>
        <v/>
      </c>
      <c r="Z501" s="7">
        <f>IF(Y501="", "", IF(Y501&lt;=3, "NO PRAZO", "ATRASADO"))</f>
        <v/>
      </c>
      <c r="AA501" s="8" t="inlineStr"/>
    </row>
    <row r="502" ht="20" customHeight="1">
      <c r="A502" s="7" t="inlineStr">
        <is>
          <t>RSCLER0500</t>
        </is>
      </c>
      <c r="B502" s="8" t="inlineStr">
        <is>
          <t>TORRES</t>
        </is>
      </c>
      <c r="C502" s="7" t="inlineStr">
        <is>
          <t>CLC</t>
        </is>
      </c>
      <c r="D502" s="7" t="inlineStr"/>
      <c r="E502" s="7" t="inlineStr"/>
      <c r="F502" s="8" t="inlineStr"/>
      <c r="G502" s="8" t="inlineStr">
        <is>
          <t>R. Marechal Deodoro, 220</t>
        </is>
      </c>
      <c r="H502" s="7" t="inlineStr">
        <is>
          <t>CLC013-M2</t>
        </is>
      </c>
      <c r="I502" s="8" t="inlineStr">
        <is>
          <t>INSUFICIENCIA DE FIBRA</t>
        </is>
      </c>
      <c r="J502" s="8" t="inlineStr"/>
      <c r="K502" s="8" t="inlineStr">
        <is>
          <t>MAQUENZE</t>
        </is>
      </c>
      <c r="L502" s="9" t="n">
        <v>45692</v>
      </c>
      <c r="M502" s="9" t="n">
        <v>45700</v>
      </c>
      <c r="N502" s="9" t="n">
        <v>45714</v>
      </c>
      <c r="O502" s="7" t="inlineStr">
        <is>
          <t>CANCELADO</t>
        </is>
      </c>
      <c r="P502" s="7" t="inlineStr">
        <is>
          <t>NÃO PRECISA</t>
        </is>
      </c>
      <c r="Q502" s="7" t="inlineStr"/>
      <c r="R502" s="7" t="inlineStr">
        <is>
          <t>Cancelado</t>
        </is>
      </c>
      <c r="S502" s="9" t="n">
        <v>45700</v>
      </c>
      <c r="T502" s="10" t="inlineStr"/>
      <c r="U502" s="7" t="inlineStr">
        <is>
          <t>4597373</t>
        </is>
      </c>
      <c r="V502" s="7" t="inlineStr"/>
      <c r="W502" s="7" t="inlineStr"/>
      <c r="X502" s="7" t="inlineStr">
        <is>
          <t>CANCELADO</t>
        </is>
      </c>
      <c r="Y502" s="11">
        <f>IF(AND(L502&lt;&gt;"", S502&lt;&gt;""), S502-L502, IF(L502&lt;&gt;"", TODAY()-L502, ""))</f>
        <v/>
      </c>
      <c r="Z502" s="7">
        <f>IF(Y502="", "", IF(Y502&lt;=3, "NO PRAZO", "ATRASADO"))</f>
        <v/>
      </c>
      <c r="AA502" s="8" t="inlineStr"/>
    </row>
    <row r="503" ht="20" customHeight="1">
      <c r="A503" s="7" t="inlineStr">
        <is>
          <t>RSCLER0501</t>
        </is>
      </c>
      <c r="B503" s="8" t="inlineStr">
        <is>
          <t>PORTO ALEGRE</t>
        </is>
      </c>
      <c r="C503" s="7" t="inlineStr">
        <is>
          <t>VNVAA</t>
        </is>
      </c>
      <c r="D503" s="7" t="inlineStr">
        <is>
          <t>VNVAC</t>
        </is>
      </c>
      <c r="E503" s="7" t="inlineStr">
        <is>
          <t>RSPSU13</t>
        </is>
      </c>
      <c r="F503" s="8" t="inlineStr">
        <is>
          <t>VILLE ESTILLE</t>
        </is>
      </c>
      <c r="G503" s="8" t="inlineStr">
        <is>
          <t>AV. JOÃO SALOMONI, 600</t>
        </is>
      </c>
      <c r="H503" s="7" t="inlineStr"/>
      <c r="I503" s="8" t="inlineStr">
        <is>
          <t>FOI LANÇADO 537 METROS DE CABO DE 12FO, 1 ABERTURA E FECHAMENTO, 1 CX NOVA, 6 NAP NOVA, 1 DERIVAÇÃO, 14 FUSÕES, 18 TESTES.</t>
        </is>
      </c>
      <c r="J503" s="8" t="inlineStr">
        <is>
          <t>LUIS SCHUCH</t>
        </is>
      </c>
      <c r="K503" s="8" t="inlineStr">
        <is>
          <t>LUIS SCHUCH</t>
        </is>
      </c>
      <c r="L503" s="9" t="n">
        <v>45694</v>
      </c>
      <c r="M503" s="9" t="n">
        <v>45702</v>
      </c>
      <c r="N503" s="9" t="n">
        <v>45715</v>
      </c>
      <c r="O503" s="9" t="n">
        <v>45715</v>
      </c>
      <c r="P503" s="7" t="inlineStr">
        <is>
          <t>NÃO PRECISA</t>
        </is>
      </c>
      <c r="Q503" s="9" t="n">
        <v>45734</v>
      </c>
      <c r="R503" s="7" t="inlineStr">
        <is>
          <t>Concluído Campo</t>
        </is>
      </c>
      <c r="S503" s="9" t="n">
        <v>45703</v>
      </c>
      <c r="T503" s="10" t="inlineStr"/>
      <c r="U503" s="7" t="inlineStr">
        <is>
          <t>4646218</t>
        </is>
      </c>
      <c r="V503" s="7" t="inlineStr"/>
      <c r="W503" s="7" t="inlineStr"/>
      <c r="X503" s="7" t="inlineStr">
        <is>
          <t>MEDIÇÃO CONCLUÍDA</t>
        </is>
      </c>
      <c r="Y503" s="11">
        <f>IF(AND(L503&lt;&gt;"", S503&lt;&gt;""), S503-L503, IF(L503&lt;&gt;"", TODAY()-L503, ""))</f>
        <v/>
      </c>
      <c r="Z503" s="7">
        <f>IF(Y503="", "", IF(Y503&lt;=3, "NO PRAZO", "ATRASADO"))</f>
        <v/>
      </c>
      <c r="AA503" s="8" t="inlineStr"/>
    </row>
    <row r="504" ht="20" customHeight="1">
      <c r="A504" s="7" t="inlineStr">
        <is>
          <t>RSCLER0502</t>
        </is>
      </c>
      <c r="B504" s="8" t="inlineStr">
        <is>
          <t>PORTO ALEGRE</t>
        </is>
      </c>
      <c r="C504" s="7" t="inlineStr">
        <is>
          <t>MNDAB</t>
        </is>
      </c>
      <c r="D504" s="7" t="inlineStr">
        <is>
          <t>MNDAD</t>
        </is>
      </c>
      <c r="E504" s="7" t="inlineStr">
        <is>
          <t>RSPCE20</t>
        </is>
      </c>
      <c r="F504" s="8" t="inlineStr">
        <is>
          <t>Cond Ed Dom Ricardo</t>
        </is>
      </c>
      <c r="G504" s="8" t="inlineStr">
        <is>
          <t>R. Marcílio Dias, 710</t>
        </is>
      </c>
      <c r="H504" s="7" t="inlineStr">
        <is>
          <t>MNDAB.051.M080.</t>
        </is>
      </c>
      <c r="I504" s="8" t="inlineStr">
        <is>
          <t>3 ABERTURA E FECHAMENTO</t>
        </is>
      </c>
      <c r="J504" s="8" t="inlineStr"/>
      <c r="K504" s="8" t="inlineStr">
        <is>
          <t>AUGUSTO</t>
        </is>
      </c>
      <c r="L504" s="9" t="n">
        <v>45694</v>
      </c>
      <c r="M504" s="9" t="n">
        <v>45700</v>
      </c>
      <c r="N504" s="9" t="n">
        <v>45700</v>
      </c>
      <c r="O504" s="9" t="n">
        <v>45700</v>
      </c>
      <c r="P504" s="7" t="inlineStr">
        <is>
          <t>NÃO PRECISA</t>
        </is>
      </c>
      <c r="Q504" s="9" t="n">
        <v>45700</v>
      </c>
      <c r="R504" s="7" t="inlineStr">
        <is>
          <t>Concluído Campo</t>
        </is>
      </c>
      <c r="S504" s="9" t="n">
        <v>45706</v>
      </c>
      <c r="T504" s="10" t="inlineStr"/>
      <c r="U504" s="7" t="inlineStr">
        <is>
          <t>4645346</t>
        </is>
      </c>
      <c r="V504" s="7" t="inlineStr"/>
      <c r="W504" s="7" t="inlineStr"/>
      <c r="X504" s="7" t="inlineStr">
        <is>
          <t>MEDIÇÃO CONCLUÍDA</t>
        </is>
      </c>
      <c r="Y504" s="11">
        <f>IF(AND(L504&lt;&gt;"", S504&lt;&gt;""), S504-L504, IF(L504&lt;&gt;"", TODAY()-L504, ""))</f>
        <v/>
      </c>
      <c r="Z504" s="7">
        <f>IF(Y504="", "", IF(Y504&lt;=3, "NO PRAZO", "ATRASADO"))</f>
        <v/>
      </c>
      <c r="AA504" s="8" t="inlineStr">
        <is>
          <t>100% - OK</t>
        </is>
      </c>
    </row>
    <row r="505" ht="20" customHeight="1">
      <c r="A505" s="7" t="inlineStr">
        <is>
          <t>RSCLER0503</t>
        </is>
      </c>
      <c r="B505" s="8" t="inlineStr">
        <is>
          <t>PORTO ALEGRE</t>
        </is>
      </c>
      <c r="C505" s="7" t="inlineStr">
        <is>
          <t>CMQAA</t>
        </is>
      </c>
      <c r="D505" s="7" t="inlineStr">
        <is>
          <t>CMQAG</t>
        </is>
      </c>
      <c r="E505" s="7" t="inlineStr">
        <is>
          <t>RSPSU87</t>
        </is>
      </c>
      <c r="F505" s="8" t="inlineStr">
        <is>
          <t>Cond. Terra Bella</t>
        </is>
      </c>
      <c r="G505" s="8" t="inlineStr">
        <is>
          <t>Rua Cel. Massot, 1229</t>
        </is>
      </c>
      <c r="H505" s="7" t="inlineStr">
        <is>
          <t>CMQAA.093.M080</t>
        </is>
      </c>
      <c r="I505" s="8" t="inlineStr">
        <is>
          <t>FOI LANÇADO 550 METROS DE CABO DE 12FO, 6 ABERTURA E FECHAMENTO, 20 FUSÃO, 1 DERIVAÇÃO, 1 CX NOVA, 5 TESTES</t>
        </is>
      </c>
      <c r="J505" s="8" t="inlineStr">
        <is>
          <t>AUGUSTO</t>
        </is>
      </c>
      <c r="K505" s="8" t="inlineStr">
        <is>
          <t>AUGUSTO</t>
        </is>
      </c>
      <c r="L505" s="9" t="n">
        <v>45694</v>
      </c>
      <c r="M505" s="9" t="n">
        <v>45701</v>
      </c>
      <c r="N505" s="9" t="n">
        <v>45703</v>
      </c>
      <c r="O505" s="9" t="n">
        <v>45703</v>
      </c>
      <c r="P505" s="7" t="inlineStr">
        <is>
          <t>NÃO PRECISA</t>
        </is>
      </c>
      <c r="Q505" s="9" t="n">
        <v>45734</v>
      </c>
      <c r="R505" s="7" t="inlineStr">
        <is>
          <t>Concluído Campo</t>
        </is>
      </c>
      <c r="S505" s="9" t="n">
        <v>45701</v>
      </c>
      <c r="T505" s="10" t="inlineStr"/>
      <c r="U505" s="7" t="inlineStr">
        <is>
          <t>4648326</t>
        </is>
      </c>
      <c r="V505" s="7" t="inlineStr"/>
      <c r="W505" s="7" t="inlineStr"/>
      <c r="X505" s="7" t="inlineStr">
        <is>
          <t>MEDIÇÃO CONCLUÍDA</t>
        </is>
      </c>
      <c r="Y505" s="11">
        <f>IF(AND(L505&lt;&gt;"", S505&lt;&gt;""), S505-L505, IF(L505&lt;&gt;"", TODAY()-L505, ""))</f>
        <v/>
      </c>
      <c r="Z505" s="7">
        <f>IF(Y505="", "", IF(Y505&lt;=3, "NO PRAZO", "ATRASADO"))</f>
        <v/>
      </c>
      <c r="AA505" s="8" t="inlineStr">
        <is>
          <t>100% - OK</t>
        </is>
      </c>
    </row>
    <row r="506" ht="20" customHeight="1">
      <c r="A506" s="7" t="inlineStr">
        <is>
          <t>RSCLER0504</t>
        </is>
      </c>
      <c r="B506" s="8" t="inlineStr">
        <is>
          <t>PORTO ALEGRE</t>
        </is>
      </c>
      <c r="C506" s="7" t="inlineStr">
        <is>
          <t>RBTAA</t>
        </is>
      </c>
      <c r="D506" s="7" t="inlineStr"/>
      <c r="E506" s="7" t="inlineStr">
        <is>
          <t>PAE ARY</t>
        </is>
      </c>
      <c r="F506" s="8" t="inlineStr">
        <is>
          <t>Cond Horizontal Vivenda Ecoville</t>
        </is>
      </c>
      <c r="G506" s="8" t="inlineStr">
        <is>
          <t>Av. Willy Eugênio Fleck, 1500</t>
        </is>
      </c>
      <c r="H506" s="7" t="inlineStr">
        <is>
          <t>RBTAA.091.M010 - RBTAA.091.M020</t>
        </is>
      </c>
      <c r="I506" s="8" t="inlineStr">
        <is>
          <t>5 ABERTURA E FECHAMENTO, 9 FUSÕES, 8 TESTES</t>
        </is>
      </c>
      <c r="J506" s="8" t="inlineStr"/>
      <c r="K506" s="8" t="inlineStr">
        <is>
          <t>AUGUSTO</t>
        </is>
      </c>
      <c r="L506" s="9" t="n">
        <v>45694</v>
      </c>
      <c r="M506" s="9" t="n">
        <v>45701</v>
      </c>
      <c r="N506" s="9" t="n">
        <v>45706</v>
      </c>
      <c r="O506" s="9" t="n">
        <v>45706</v>
      </c>
      <c r="P506" s="7" t="inlineStr">
        <is>
          <t>NÃO PRECISA</t>
        </is>
      </c>
      <c r="Q506" s="9" t="n">
        <v>45734</v>
      </c>
      <c r="R506" s="7" t="inlineStr">
        <is>
          <t>Concluído Campo</t>
        </is>
      </c>
      <c r="S506" s="9" t="n">
        <v>45697</v>
      </c>
      <c r="T506" s="10" t="inlineStr"/>
      <c r="U506" s="7" t="inlineStr">
        <is>
          <t>4597176</t>
        </is>
      </c>
      <c r="V506" s="7" t="inlineStr"/>
      <c r="W506" s="7" t="inlineStr"/>
      <c r="X506" s="7" t="inlineStr">
        <is>
          <t>MEDIÇÃO CONCLUÍDA</t>
        </is>
      </c>
      <c r="Y506" s="11">
        <f>IF(AND(L506&lt;&gt;"", S506&lt;&gt;""), S506-L506, IF(L506&lt;&gt;"", TODAY()-L506, ""))</f>
        <v/>
      </c>
      <c r="Z506" s="7">
        <f>IF(Y506="", "", IF(Y506&lt;=3, "NO PRAZO", "ATRASADO"))</f>
        <v/>
      </c>
      <c r="AA506" s="8" t="inlineStr"/>
    </row>
    <row r="507" ht="20" customHeight="1">
      <c r="A507" s="7" t="inlineStr">
        <is>
          <t>RSCLER0505</t>
        </is>
      </c>
      <c r="B507" s="8" t="inlineStr">
        <is>
          <t>ESTEIO</t>
        </is>
      </c>
      <c r="C507" s="7" t="inlineStr">
        <is>
          <t>CNTAB</t>
        </is>
      </c>
      <c r="D507" s="7" t="inlineStr">
        <is>
          <t>EIO27A</t>
        </is>
      </c>
      <c r="E507" s="7" t="inlineStr">
        <is>
          <t>RSEIO01</t>
        </is>
      </c>
      <c r="F507" s="8" t="inlineStr">
        <is>
          <t>Hannover Residencial Clube</t>
        </is>
      </c>
      <c r="G507" s="8" t="inlineStr">
        <is>
          <t>Rua Charrua N°114</t>
        </is>
      </c>
      <c r="H507" s="7" t="inlineStr">
        <is>
          <t>CNTAB.171.M010</t>
        </is>
      </c>
      <c r="I507" s="8" t="inlineStr">
        <is>
          <t>FOI LANÇADO 2309 METROS DE CABO DE 12FO, 110 METROS DE CORDOALHA, 2 CX NOVAS, 1 DERIVÇÃO, 1 ABERTURA E FECHAMENTO, 6 FUSÃO, COBRAR 5 ADEQUAÇÃO DE POSTES.</t>
        </is>
      </c>
      <c r="J507" s="8" t="inlineStr">
        <is>
          <t>LUIS SCHUCH</t>
        </is>
      </c>
      <c r="K507" s="8" t="inlineStr">
        <is>
          <t>LUIS SCHUCH</t>
        </is>
      </c>
      <c r="L507" s="9" t="n">
        <v>45694</v>
      </c>
      <c r="M507" s="9" t="n">
        <v>45698</v>
      </c>
      <c r="N507" s="9" t="n">
        <v>45701</v>
      </c>
      <c r="O507" s="9" t="n">
        <v>45701</v>
      </c>
      <c r="P507" s="7" t="inlineStr">
        <is>
          <t>NÃO PRECISA</t>
        </is>
      </c>
      <c r="Q507" s="9" t="n">
        <v>45734</v>
      </c>
      <c r="R507" s="7" t="inlineStr">
        <is>
          <t>Concluído Campo</t>
        </is>
      </c>
      <c r="S507" s="7" t="inlineStr"/>
      <c r="T507" s="10" t="inlineStr"/>
      <c r="U507" s="7" t="inlineStr"/>
      <c r="V507" s="7" t="inlineStr"/>
      <c r="W507" s="7" t="inlineStr"/>
      <c r="X507" s="7" t="inlineStr">
        <is>
          <t>AG. MEDIÇÃO</t>
        </is>
      </c>
      <c r="Y507" s="11">
        <f>IF(AND(L507&lt;&gt;"", S507&lt;&gt;""), S507-L507, IF(L507&lt;&gt;"", TODAY()-L507, ""))</f>
        <v/>
      </c>
      <c r="Z507" s="7">
        <f>IF(Y507="", "", IF(Y507&lt;=3, "NO PRAZO", "ATRASADO"))</f>
        <v/>
      </c>
      <c r="AA507" s="8" t="inlineStr">
        <is>
          <t>100% - OK</t>
        </is>
      </c>
    </row>
    <row r="508" ht="20" customHeight="1">
      <c r="A508" s="7" t="inlineStr">
        <is>
          <t>RSCLER0506</t>
        </is>
      </c>
      <c r="B508" s="8" t="inlineStr">
        <is>
          <t>PORTO ALEGRE</t>
        </is>
      </c>
      <c r="C508" s="7" t="inlineStr">
        <is>
          <t>MTSAA</t>
        </is>
      </c>
      <c r="D508" s="7" t="inlineStr">
        <is>
          <t>MSTAFB</t>
        </is>
      </c>
      <c r="E508" s="7" t="inlineStr">
        <is>
          <t>PAE BV</t>
        </is>
      </c>
      <c r="F508" s="8" t="inlineStr">
        <is>
          <t>Open Potássio (Melnick)</t>
        </is>
      </c>
      <c r="G508" s="8" t="inlineStr">
        <is>
          <t>Av Protasio Alves N° 8129</t>
        </is>
      </c>
      <c r="H508" s="7" t="inlineStr">
        <is>
          <t>MTSAA.051.M030</t>
        </is>
      </c>
      <c r="I508" s="8" t="inlineStr">
        <is>
          <t>4 ABERTURA E FECHAMENTO, 2 FUSÃO, 1 TESTE</t>
        </is>
      </c>
      <c r="J508" s="8" t="inlineStr"/>
      <c r="K508" s="8" t="inlineStr">
        <is>
          <t>AUGUSTO</t>
        </is>
      </c>
      <c r="L508" s="9" t="n">
        <v>45694</v>
      </c>
      <c r="M508" s="9" t="n">
        <v>45697</v>
      </c>
      <c r="N508" s="9" t="n">
        <v>45697</v>
      </c>
      <c r="O508" s="9" t="n">
        <v>45697</v>
      </c>
      <c r="P508" s="7" t="inlineStr">
        <is>
          <t>NÃO PRECISA</t>
        </is>
      </c>
      <c r="Q508" s="9" t="n">
        <v>45700</v>
      </c>
      <c r="R508" s="7" t="inlineStr">
        <is>
          <t>Concluído Campo</t>
        </is>
      </c>
      <c r="S508" s="7" t="inlineStr"/>
      <c r="T508" s="10" t="inlineStr"/>
      <c r="U508" s="7" t="inlineStr"/>
      <c r="V508" s="7" t="inlineStr"/>
      <c r="W508" s="7" t="inlineStr"/>
      <c r="X508" s="7" t="inlineStr">
        <is>
          <t>AG. MEDIÇÃO</t>
        </is>
      </c>
      <c r="Y508" s="11">
        <f>IF(AND(L508&lt;&gt;"", S508&lt;&gt;""), S508-L508, IF(L508&lt;&gt;"", TODAY()-L508, ""))</f>
        <v/>
      </c>
      <c r="Z508" s="7">
        <f>IF(Y508="", "", IF(Y508&lt;=3, "NO PRAZO", "ATRASADO"))</f>
        <v/>
      </c>
      <c r="AA508" s="8" t="inlineStr">
        <is>
          <t>100% - OK</t>
        </is>
      </c>
    </row>
    <row r="509" ht="20" customHeight="1">
      <c r="A509" s="7" t="inlineStr">
        <is>
          <t>RSCLER0507</t>
        </is>
      </c>
      <c r="B509" s="8" t="inlineStr">
        <is>
          <t>IMBÉ</t>
        </is>
      </c>
      <c r="C509" s="7" t="inlineStr">
        <is>
          <t>CNT</t>
        </is>
      </c>
      <c r="D509" s="7" t="inlineStr"/>
      <c r="E509" s="7" t="inlineStr">
        <is>
          <t>RSIBD01</t>
        </is>
      </c>
      <c r="F509" s="8" t="inlineStr">
        <is>
          <t>NAP LOTADA</t>
        </is>
      </c>
      <c r="G509" s="8" t="inlineStr">
        <is>
          <t>AV PARAGUASSU, 1760, 1607</t>
        </is>
      </c>
      <c r="H509" s="7" t="inlineStr">
        <is>
          <t>CNT.026.03.03 - CNT.026.03.01</t>
        </is>
      </c>
      <c r="I509" s="8" t="inlineStr">
        <is>
          <t>INSUFICIENCIA DE FIBRA</t>
        </is>
      </c>
      <c r="J509" s="8" t="inlineStr"/>
      <c r="K509" s="8" t="inlineStr">
        <is>
          <t>FABIO AMARILIO</t>
        </is>
      </c>
      <c r="L509" s="9" t="n">
        <v>45694</v>
      </c>
      <c r="M509" s="9" t="n">
        <v>45707</v>
      </c>
      <c r="N509" s="7" t="inlineStr"/>
      <c r="O509" s="7" t="inlineStr">
        <is>
          <t>CANCELADO</t>
        </is>
      </c>
      <c r="P509" s="7" t="inlineStr">
        <is>
          <t>NÃO PRECISA</t>
        </is>
      </c>
      <c r="Q509" s="7" t="inlineStr"/>
      <c r="R509" s="7" t="inlineStr">
        <is>
          <t>Cancelado</t>
        </is>
      </c>
      <c r="S509" s="9" t="n">
        <v>45698</v>
      </c>
      <c r="T509" s="10" t="inlineStr"/>
      <c r="U509" s="7" t="inlineStr"/>
      <c r="V509" s="7" t="inlineStr"/>
      <c r="W509" s="7" t="inlineStr"/>
      <c r="X509" s="7" t="inlineStr">
        <is>
          <t>CANCELADO</t>
        </is>
      </c>
      <c r="Y509" s="11">
        <f>IF(AND(L509&lt;&gt;"", S509&lt;&gt;""), S509-L509, IF(L509&lt;&gt;"", TODAY()-L509, ""))</f>
        <v/>
      </c>
      <c r="Z509" s="7">
        <f>IF(Y509="", "", IF(Y509&lt;=3, "NO PRAZO", "ATRASADO"))</f>
        <v/>
      </c>
      <c r="AA509" s="8" t="inlineStr"/>
    </row>
    <row r="510" ht="20" customHeight="1">
      <c r="A510" s="7" t="inlineStr">
        <is>
          <t>RSCLER0508</t>
        </is>
      </c>
      <c r="B510" s="8" t="inlineStr">
        <is>
          <t>TRAMANDAI</t>
        </is>
      </c>
      <c r="C510" s="7" t="inlineStr">
        <is>
          <t>TRA</t>
        </is>
      </c>
      <c r="D510" s="7" t="inlineStr"/>
      <c r="E510" s="7" t="inlineStr">
        <is>
          <t>RSTRI01</t>
        </is>
      </c>
      <c r="F510" s="8" t="inlineStr">
        <is>
          <t>NAP LOTADA</t>
        </is>
      </c>
      <c r="G510" s="8" t="inlineStr">
        <is>
          <t>RUA JORGE SPERB, 129</t>
        </is>
      </c>
      <c r="H510" s="7" t="inlineStr">
        <is>
          <t>TRA.063.03.01</t>
        </is>
      </c>
      <c r="I510" s="8" t="inlineStr"/>
      <c r="J510" s="8" t="inlineStr"/>
      <c r="K510" s="8" t="inlineStr">
        <is>
          <t>FABIO AMARILIO</t>
        </is>
      </c>
      <c r="L510" s="9" t="n">
        <v>45694</v>
      </c>
      <c r="M510" s="9" t="n">
        <v>45707</v>
      </c>
      <c r="N510" s="7" t="inlineStr"/>
      <c r="O510" s="7" t="inlineStr">
        <is>
          <t>CANCELADO</t>
        </is>
      </c>
      <c r="P510" s="7" t="inlineStr">
        <is>
          <t>NÃO PRECISA</t>
        </is>
      </c>
      <c r="Q510" s="7" t="inlineStr"/>
      <c r="R510" s="7" t="inlineStr">
        <is>
          <t>Cancelado</t>
        </is>
      </c>
      <c r="S510" s="9" t="n">
        <v>45714</v>
      </c>
      <c r="T510" s="10" t="inlineStr"/>
      <c r="U510" s="7" t="inlineStr">
        <is>
          <t>4645125</t>
        </is>
      </c>
      <c r="V510" s="7" t="inlineStr"/>
      <c r="W510" s="7" t="inlineStr"/>
      <c r="X510" s="7" t="inlineStr">
        <is>
          <t>CANCELADO</t>
        </is>
      </c>
      <c r="Y510" s="11">
        <f>IF(AND(L510&lt;&gt;"", S510&lt;&gt;""), S510-L510, IF(L510&lt;&gt;"", TODAY()-L510, ""))</f>
        <v/>
      </c>
      <c r="Z510" s="7">
        <f>IF(Y510="", "", IF(Y510&lt;=3, "NO PRAZO", "ATRASADO"))</f>
        <v/>
      </c>
      <c r="AA510" s="8" t="inlineStr"/>
    </row>
    <row r="511" ht="20" customHeight="1">
      <c r="A511" s="7" t="inlineStr">
        <is>
          <t>RSCLER0509</t>
        </is>
      </c>
      <c r="B511" s="8" t="inlineStr">
        <is>
          <t>PORTO ALEGRE</t>
        </is>
      </c>
      <c r="C511" s="7" t="inlineStr">
        <is>
          <t>BVSAA</t>
        </is>
      </c>
      <c r="D511" s="7" t="inlineStr">
        <is>
          <t>VJDAKA</t>
        </is>
      </c>
      <c r="E511" s="7" t="inlineStr">
        <is>
          <t>RSPLE07</t>
        </is>
      </c>
      <c r="F511" s="8" t="inlineStr">
        <is>
          <t>Arte Country Club</t>
        </is>
      </c>
      <c r="G511" s="8" t="inlineStr">
        <is>
          <t>Av Dr. Nilo Peçanha N°2278</t>
        </is>
      </c>
      <c r="H511" s="7" t="inlineStr">
        <is>
          <t>BVSAA.122.M070</t>
        </is>
      </c>
      <c r="I511" s="8" t="inlineStr">
        <is>
          <t>FOI LANÇADO 193 METROS DE CABO DE 12FO, 4 ABERTURA E FECHAMENTO, 20 FUSÃO, 1 CX NOVA, 1 DERIVAÇÃO, 5 TESTES</t>
        </is>
      </c>
      <c r="J511" s="8" t="inlineStr">
        <is>
          <t>AUGUSTO</t>
        </is>
      </c>
      <c r="K511" s="8" t="inlineStr">
        <is>
          <t>AUGUSTO</t>
        </is>
      </c>
      <c r="L511" s="9" t="n">
        <v>45694</v>
      </c>
      <c r="M511" s="9" t="n">
        <v>45701</v>
      </c>
      <c r="N511" s="9" t="n">
        <v>45703</v>
      </c>
      <c r="O511" s="9" t="n">
        <v>45703</v>
      </c>
      <c r="P511" s="7" t="inlineStr">
        <is>
          <t>NÃO PRECISA</t>
        </is>
      </c>
      <c r="Q511" s="9" t="n">
        <v>45734</v>
      </c>
      <c r="R511" s="7" t="inlineStr">
        <is>
          <t>Concluído Campo</t>
        </is>
      </c>
      <c r="S511" s="9" t="n">
        <v>45771</v>
      </c>
      <c r="T511" s="10" t="inlineStr"/>
      <c r="U511" s="7" t="inlineStr">
        <is>
          <t>4810136</t>
        </is>
      </c>
      <c r="V511" s="7" t="inlineStr"/>
      <c r="W511" s="7" t="inlineStr"/>
      <c r="X511" s="7" t="inlineStr">
        <is>
          <t>MEDIÇÃO CONCLUÍDA</t>
        </is>
      </c>
      <c r="Y511" s="11">
        <f>IF(AND(L511&lt;&gt;"", S511&lt;&gt;""), S511-L511, IF(L511&lt;&gt;"", TODAY()-L511, ""))</f>
        <v/>
      </c>
      <c r="Z511" s="7">
        <f>IF(Y511="", "", IF(Y511&lt;=3, "NO PRAZO", "ATRASADO"))</f>
        <v/>
      </c>
      <c r="AA511" s="8" t="inlineStr">
        <is>
          <t>100% - OK</t>
        </is>
      </c>
    </row>
    <row r="512" ht="20" customHeight="1">
      <c r="A512" s="7" t="inlineStr">
        <is>
          <t>RSCLER0510</t>
        </is>
      </c>
      <c r="B512" s="8" t="inlineStr">
        <is>
          <t>MONTENEGRO</t>
        </is>
      </c>
      <c r="C512" s="7" t="inlineStr">
        <is>
          <t>PGO</t>
        </is>
      </c>
      <c r="D512" s="7" t="inlineStr"/>
      <c r="E512" s="7" t="inlineStr"/>
      <c r="F512" s="8" t="inlineStr"/>
      <c r="G512" s="8" t="inlineStr">
        <is>
          <t>RUA FLORES DA CUNHA, 574</t>
        </is>
      </c>
      <c r="H512" s="7" t="inlineStr">
        <is>
          <t>PGO.019.M010</t>
        </is>
      </c>
      <c r="I512" s="8" t="inlineStr">
        <is>
          <t>3 ABERTURA E FECHAMENTO, 4 FUSÕES, 2 TESTES</t>
        </is>
      </c>
      <c r="J512" s="8" t="inlineStr"/>
      <c r="K512" s="8" t="inlineStr">
        <is>
          <t>BAIRON</t>
        </is>
      </c>
      <c r="L512" s="9" t="n">
        <v>45698</v>
      </c>
      <c r="M512" s="9" t="n">
        <v>45698</v>
      </c>
      <c r="N512" s="9" t="n">
        <v>45698</v>
      </c>
      <c r="O512" s="9" t="n">
        <v>45698</v>
      </c>
      <c r="P512" s="7" t="inlineStr">
        <is>
          <t>NÃO PRECISA</t>
        </is>
      </c>
      <c r="Q512" s="9" t="n">
        <v>45700</v>
      </c>
      <c r="R512" s="7" t="inlineStr">
        <is>
          <t>Concluído Campo</t>
        </is>
      </c>
      <c r="S512" s="9" t="n">
        <v>45701</v>
      </c>
      <c r="T512" s="10" t="inlineStr"/>
      <c r="U512" s="7" t="inlineStr">
        <is>
          <t>4646264</t>
        </is>
      </c>
      <c r="V512" s="7" t="inlineStr"/>
      <c r="W512" s="7" t="inlineStr"/>
      <c r="X512" s="7" t="inlineStr">
        <is>
          <t>MEDIÇÃO CONCLUÍDA</t>
        </is>
      </c>
      <c r="Y512" s="11">
        <f>IF(AND(L512&lt;&gt;"", S512&lt;&gt;""), S512-L512, IF(L512&lt;&gt;"", TODAY()-L512, ""))</f>
        <v/>
      </c>
      <c r="Z512" s="7">
        <f>IF(Y512="", "", IF(Y512&lt;=3, "NO PRAZO", "ATRASADO"))</f>
        <v/>
      </c>
      <c r="AA512" s="8" t="inlineStr">
        <is>
          <t>100% - OK</t>
        </is>
      </c>
    </row>
    <row r="513" ht="20" customHeight="1">
      <c r="A513" s="7" t="inlineStr">
        <is>
          <t>RSCLER0511</t>
        </is>
      </c>
      <c r="B513" s="8" t="inlineStr">
        <is>
          <t>TORRES</t>
        </is>
      </c>
      <c r="C513" s="7" t="inlineStr">
        <is>
          <t>CLC</t>
        </is>
      </c>
      <c r="D513" s="7" t="inlineStr"/>
      <c r="E513" s="7" t="inlineStr"/>
      <c r="F513" s="8" t="inlineStr"/>
      <c r="G513" s="8" t="inlineStr">
        <is>
          <t>R. JOAQUIM PORTO, 141</t>
        </is>
      </c>
      <c r="H513" s="7" t="inlineStr">
        <is>
          <t>CLC013-M2.</t>
        </is>
      </c>
      <c r="I513" s="8" t="inlineStr">
        <is>
          <t>5 ABERTURA E FECHAMENTO, 5 FUSÕES, 1 TESTE</t>
        </is>
      </c>
      <c r="J513" s="8" t="inlineStr"/>
      <c r="K513" s="8" t="inlineStr">
        <is>
          <t>MAQUENZE</t>
        </is>
      </c>
      <c r="L513" s="9" t="n">
        <v>45699</v>
      </c>
      <c r="M513" s="9" t="n">
        <v>45700</v>
      </c>
      <c r="N513" s="7" t="inlineStr"/>
      <c r="O513" s="9" t="n">
        <v>45714</v>
      </c>
      <c r="P513" s="7" t="inlineStr">
        <is>
          <t>NÃO PRECISA</t>
        </is>
      </c>
      <c r="Q513" s="9" t="n">
        <v>45734</v>
      </c>
      <c r="R513" s="7" t="inlineStr">
        <is>
          <t>Concluído Campo</t>
        </is>
      </c>
      <c r="S513" s="7" t="inlineStr"/>
      <c r="T513" s="10" t="inlineStr"/>
      <c r="U513" s="7" t="inlineStr"/>
      <c r="V513" s="7" t="inlineStr"/>
      <c r="W513" s="7" t="inlineStr"/>
      <c r="X513" s="7" t="inlineStr">
        <is>
          <t>AG. MEDIÇÃO</t>
        </is>
      </c>
      <c r="Y513" s="11">
        <f>IF(AND(L513&lt;&gt;"", S513&lt;&gt;""), S513-L513, IF(L513&lt;&gt;"", TODAY()-L513, ""))</f>
        <v/>
      </c>
      <c r="Z513" s="7">
        <f>IF(Y513="", "", IF(Y513&lt;=3, "NO PRAZO", "ATRASADO"))</f>
        <v/>
      </c>
      <c r="AA513" s="8" t="inlineStr"/>
    </row>
    <row r="514" ht="20" customHeight="1">
      <c r="A514" s="7" t="inlineStr">
        <is>
          <t>RSCLER0512</t>
        </is>
      </c>
      <c r="B514" s="8" t="inlineStr">
        <is>
          <t>OSORIO</t>
        </is>
      </c>
      <c r="C514" s="7" t="inlineStr">
        <is>
          <t>CTO</t>
        </is>
      </c>
      <c r="D514" s="7" t="inlineStr"/>
      <c r="E514" s="7" t="inlineStr">
        <is>
          <t>RSOSR01</t>
        </is>
      </c>
      <c r="F514" s="8" t="inlineStr"/>
      <c r="G514" s="8" t="inlineStr">
        <is>
          <t>R. VOLUNTÁRIOS DA PÁTRIA, 171 - OSÓRIO</t>
        </is>
      </c>
      <c r="H514" s="7" t="inlineStr">
        <is>
          <t>CTO.027.M030</t>
        </is>
      </c>
      <c r="I514" s="8" t="inlineStr">
        <is>
          <t>5 ABERTURA E FECHAMENTO, 8 FUSÕES, 4 TESTES</t>
        </is>
      </c>
      <c r="J514" s="8" t="inlineStr"/>
      <c r="K514" s="8" t="inlineStr">
        <is>
          <t>FABIO AMARILIO</t>
        </is>
      </c>
      <c r="L514" s="9" t="n">
        <v>45699</v>
      </c>
      <c r="M514" s="9" t="n">
        <v>45707</v>
      </c>
      <c r="N514" s="7" t="inlineStr"/>
      <c r="O514" s="9" t="n">
        <v>45768</v>
      </c>
      <c r="P514" s="7" t="inlineStr">
        <is>
          <t>NÃO PRECISA</t>
        </is>
      </c>
      <c r="Q514" s="9" t="n">
        <v>45785</v>
      </c>
      <c r="R514" s="7" t="inlineStr">
        <is>
          <t>Concluído Campo</t>
        </is>
      </c>
      <c r="S514" s="9" t="n">
        <v>45706</v>
      </c>
      <c r="T514" s="10" t="inlineStr"/>
      <c r="U514" s="7" t="inlineStr">
        <is>
          <t>4646011</t>
        </is>
      </c>
      <c r="V514" s="7" t="inlineStr"/>
      <c r="W514" s="7" t="inlineStr"/>
      <c r="X514" s="7" t="inlineStr">
        <is>
          <t>MEDIÇÃO CONCLUÍDA</t>
        </is>
      </c>
      <c r="Y514" s="11">
        <f>IF(AND(L514&lt;&gt;"", S514&lt;&gt;""), S514-L514, IF(L514&lt;&gt;"", TODAY()-L514, ""))</f>
        <v/>
      </c>
      <c r="Z514" s="7">
        <f>IF(Y514="", "", IF(Y514&lt;=3, "NO PRAZO", "ATRASADO"))</f>
        <v/>
      </c>
      <c r="AA514" s="8" t="inlineStr">
        <is>
          <t>100% - OK</t>
        </is>
      </c>
    </row>
    <row r="515" ht="20" customHeight="1">
      <c r="A515" s="7" t="inlineStr">
        <is>
          <t>RSCLER0513</t>
        </is>
      </c>
      <c r="B515" s="8" t="inlineStr">
        <is>
          <t>PORTO ALEGRE</t>
        </is>
      </c>
      <c r="C515" s="7" t="inlineStr">
        <is>
          <t>SSOAA</t>
        </is>
      </c>
      <c r="D515" s="7" t="inlineStr">
        <is>
          <t>SSOAFA</t>
        </is>
      </c>
      <c r="E515" s="7" t="inlineStr">
        <is>
          <t>RSPNO07</t>
        </is>
      </c>
      <c r="F515" s="8" t="inlineStr"/>
      <c r="G515" s="8" t="inlineStr">
        <is>
          <t>Rua Filipinas, 80</t>
        </is>
      </c>
      <c r="H515" s="7" t="inlineStr">
        <is>
          <t>SSOAA.091.15.01</t>
        </is>
      </c>
      <c r="I515" s="8" t="inlineStr">
        <is>
          <t>FOI LANÇADO 517 METROS DE CABO DE 12FO, 3 ABERTURA E FECHAMENTO, 1 DERIVAÇÃO 4 FUSÃO, 1 NAP NOVA, 3 TESTES</t>
        </is>
      </c>
      <c r="J515" s="8" t="inlineStr">
        <is>
          <t>AUGUSTO</t>
        </is>
      </c>
      <c r="K515" s="8" t="inlineStr">
        <is>
          <t>AUGUSTO</t>
        </is>
      </c>
      <c r="L515" s="9" t="n">
        <v>45700</v>
      </c>
      <c r="M515" s="9" t="n">
        <v>45701</v>
      </c>
      <c r="N515" s="9" t="n">
        <v>45701</v>
      </c>
      <c r="O515" s="9" t="n">
        <v>45701</v>
      </c>
      <c r="P515" s="7" t="inlineStr">
        <is>
          <t>NÃO PRECISA</t>
        </is>
      </c>
      <c r="Q515" s="9" t="n">
        <v>45734</v>
      </c>
      <c r="R515" s="7" t="inlineStr">
        <is>
          <t>Concluído Campo</t>
        </is>
      </c>
      <c r="S515" s="9" t="n">
        <v>45706</v>
      </c>
      <c r="T515" s="10" t="inlineStr"/>
      <c r="U515" s="7" t="inlineStr">
        <is>
          <t>4648306</t>
        </is>
      </c>
      <c r="V515" s="7" t="inlineStr"/>
      <c r="W515" s="7" t="inlineStr"/>
      <c r="X515" s="7" t="inlineStr">
        <is>
          <t>MEDIÇÃO CONCLUÍDA</t>
        </is>
      </c>
      <c r="Y515" s="11">
        <f>IF(AND(L515&lt;&gt;"", S515&lt;&gt;""), S515-L515, IF(L515&lt;&gt;"", TODAY()-L515, ""))</f>
        <v/>
      </c>
      <c r="Z515" s="7">
        <f>IF(Y515="", "", IF(Y515&lt;=3, "NO PRAZO", "ATRASADO"))</f>
        <v/>
      </c>
      <c r="AA515" s="8" t="inlineStr">
        <is>
          <t>100% - OK</t>
        </is>
      </c>
    </row>
    <row r="516" ht="20" customHeight="1">
      <c r="A516" s="7" t="inlineStr">
        <is>
          <t>RSCLER0514</t>
        </is>
      </c>
      <c r="B516" s="8" t="inlineStr">
        <is>
          <t>SÃO LEOPOLDO</t>
        </is>
      </c>
      <c r="C516" s="7" t="inlineStr">
        <is>
          <t>FEIAA</t>
        </is>
      </c>
      <c r="D516" s="7" t="inlineStr"/>
      <c r="E516" s="7" t="inlineStr"/>
      <c r="F516" s="8" t="inlineStr">
        <is>
          <t>JLE TELECOMUNICAÇÕES LTDA.</t>
        </is>
      </c>
      <c r="G516" s="8" t="inlineStr">
        <is>
          <t>AV IMPERATRIZ LEOPOLDINA, 2244</t>
        </is>
      </c>
      <c r="H516" s="7" t="inlineStr">
        <is>
          <t>FEIAA.013.03.08</t>
        </is>
      </c>
      <c r="I516" s="8" t="inlineStr">
        <is>
          <t>FOI LANÇADO 730 METROS DE CABO DE 12FO, 2 ABERTURA E FECHAMENTO, 1 NAP NOVA, 1 DERIVAÇÃO, 3 FUSÃO, 3 TESTES</t>
        </is>
      </c>
      <c r="J516" s="8" t="inlineStr">
        <is>
          <t>TIAGO FERREIRA</t>
        </is>
      </c>
      <c r="K516" s="8" t="inlineStr">
        <is>
          <t>LUCAS HOBERT</t>
        </is>
      </c>
      <c r="L516" s="9" t="n">
        <v>45700</v>
      </c>
      <c r="M516" s="9" t="n">
        <v>45702</v>
      </c>
      <c r="N516" s="9" t="n">
        <v>45704</v>
      </c>
      <c r="O516" s="9" t="n">
        <v>45706</v>
      </c>
      <c r="P516" s="7" t="inlineStr">
        <is>
          <t>NÃO PRECISA</t>
        </is>
      </c>
      <c r="Q516" s="7" t="inlineStr">
        <is>
          <t>NÃO COBRAR</t>
        </is>
      </c>
      <c r="R516" s="7" t="inlineStr">
        <is>
          <t>Concluído Campo</t>
        </is>
      </c>
      <c r="S516" s="9" t="n">
        <v>45742</v>
      </c>
      <c r="T516" s="10" t="inlineStr"/>
      <c r="U516" s="7" t="inlineStr">
        <is>
          <t>4649893</t>
        </is>
      </c>
      <c r="V516" s="7" t="inlineStr"/>
      <c r="W516" s="7" t="inlineStr"/>
      <c r="X516" s="7" t="inlineStr">
        <is>
          <t>MEDIÇÃO CONCLUÍDA</t>
        </is>
      </c>
      <c r="Y516" s="11">
        <f>IF(AND(L516&lt;&gt;"", S516&lt;&gt;""), S516-L516, IF(L516&lt;&gt;"", TODAY()-L516, ""))</f>
        <v/>
      </c>
      <c r="Z516" s="7">
        <f>IF(Y516="", "", IF(Y516&lt;=3, "NO PRAZO", "ATRASADO"))</f>
        <v/>
      </c>
      <c r="AA516" s="8" t="inlineStr">
        <is>
          <t>100% - OK</t>
        </is>
      </c>
    </row>
    <row r="517" ht="20" customHeight="1">
      <c r="A517" s="7" t="inlineStr">
        <is>
          <t>RSCLER0515</t>
        </is>
      </c>
      <c r="B517" s="8" t="inlineStr">
        <is>
          <t>NOVO HAMBURGO</t>
        </is>
      </c>
      <c r="C517" s="7" t="inlineStr">
        <is>
          <t>CNTAA</t>
        </is>
      </c>
      <c r="D517" s="7" t="inlineStr">
        <is>
          <t>CNTAGB</t>
        </is>
      </c>
      <c r="E517" s="7" t="inlineStr">
        <is>
          <t>NHO LO</t>
        </is>
      </c>
      <c r="F517" s="8" t="inlineStr"/>
      <c r="G517" s="8" t="inlineStr">
        <is>
          <t>Rua Aracaju 390</t>
        </is>
      </c>
      <c r="H517" s="7" t="inlineStr">
        <is>
          <t>CNTAA.111.M050</t>
        </is>
      </c>
      <c r="I517" s="8" t="inlineStr">
        <is>
          <t>FOI LANÇADO 605 METROS DE CABO DE 12FO, 3 ABERTURA E FECHAMENTO, 1 CX NOVA, 1 DERIVAÇÃO, 4 FUSÕES, 2 TESTES</t>
        </is>
      </c>
      <c r="J517" s="8" t="inlineStr">
        <is>
          <t>TIAGO FERREIRA</t>
        </is>
      </c>
      <c r="K517" s="8" t="inlineStr">
        <is>
          <t>LUIS SCHUCH</t>
        </is>
      </c>
      <c r="L517" s="9" t="n">
        <v>45698</v>
      </c>
      <c r="M517" s="9" t="n">
        <v>45703</v>
      </c>
      <c r="N517" s="9" t="n">
        <v>45705</v>
      </c>
      <c r="O517" s="9" t="n">
        <v>45706</v>
      </c>
      <c r="P517" s="7" t="inlineStr">
        <is>
          <t>NÃO PRECISA</t>
        </is>
      </c>
      <c r="Q517" s="9" t="n">
        <v>45734</v>
      </c>
      <c r="R517" s="7" t="inlineStr">
        <is>
          <t>Concluído Campo</t>
        </is>
      </c>
      <c r="S517" s="9" t="n">
        <v>45714</v>
      </c>
      <c r="T517" s="10" t="inlineStr"/>
      <c r="U517" s="7" t="inlineStr">
        <is>
          <t>4643701</t>
        </is>
      </c>
      <c r="V517" s="7" t="inlineStr"/>
      <c r="W517" s="7" t="inlineStr"/>
      <c r="X517" s="7" t="inlineStr">
        <is>
          <t>MEDIÇÃO CONCLUÍDA</t>
        </is>
      </c>
      <c r="Y517" s="11">
        <f>IF(AND(L517&lt;&gt;"", S517&lt;&gt;""), S517-L517, IF(L517&lt;&gt;"", TODAY()-L517, ""))</f>
        <v/>
      </c>
      <c r="Z517" s="7">
        <f>IF(Y517="", "", IF(Y517&lt;=3, "NO PRAZO", "ATRASADO"))</f>
        <v/>
      </c>
      <c r="AA517" s="8" t="inlineStr"/>
    </row>
    <row r="518" ht="20" customHeight="1">
      <c r="A518" s="7" t="inlineStr">
        <is>
          <t>RSCLER0516</t>
        </is>
      </c>
      <c r="B518" s="8" t="inlineStr">
        <is>
          <t>CANOAS</t>
        </is>
      </c>
      <c r="C518" s="7" t="inlineStr">
        <is>
          <t>CNTAB</t>
        </is>
      </c>
      <c r="D518" s="7" t="inlineStr">
        <is>
          <t>CNT04</t>
        </is>
      </c>
      <c r="E518" s="7" t="inlineStr">
        <is>
          <t>RSCAN03</t>
        </is>
      </c>
      <c r="F518" s="8" t="inlineStr">
        <is>
          <t>Cond. Edifício Adelaide</t>
        </is>
      </c>
      <c r="G518" s="8" t="inlineStr">
        <is>
          <t>Rua Luiz de Camões, 86</t>
        </is>
      </c>
      <c r="H518" s="7" t="inlineStr">
        <is>
          <t>CNTAB.012.M040</t>
        </is>
      </c>
      <c r="I518" s="8" t="inlineStr">
        <is>
          <t>FOI LANÇADO 440 METROS DE CABO DE 12FO, 1 ABERTURA E FECHAMENTO, 1 CX NOVA, 2 FUSÕES, 1 DERIVAÇÃO,1 TESTE, COBRAR 2 ADEQUAÇÕES DE POSTE</t>
        </is>
      </c>
      <c r="J518" s="8" t="inlineStr">
        <is>
          <t>LUIS SCHUCH</t>
        </is>
      </c>
      <c r="K518" s="8" t="inlineStr">
        <is>
          <t>LUIS SCHUCH</t>
        </is>
      </c>
      <c r="L518" s="9" t="n">
        <v>45702</v>
      </c>
      <c r="M518" s="9" t="n">
        <v>45706</v>
      </c>
      <c r="N518" s="9" t="n">
        <v>45707</v>
      </c>
      <c r="O518" s="9" t="n">
        <v>45706</v>
      </c>
      <c r="P518" s="7" t="inlineStr">
        <is>
          <t>NÃO PRECISA</t>
        </is>
      </c>
      <c r="Q518" s="9" t="n">
        <v>45734</v>
      </c>
      <c r="R518" s="7" t="inlineStr">
        <is>
          <t>Concluído Campo</t>
        </is>
      </c>
      <c r="S518" s="9" t="n">
        <v>45713</v>
      </c>
      <c r="T518" s="10" t="inlineStr"/>
      <c r="U518" s="7" t="inlineStr">
        <is>
          <t>4645209</t>
        </is>
      </c>
      <c r="V518" s="7" t="inlineStr"/>
      <c r="W518" s="7" t="inlineStr"/>
      <c r="X518" s="7" t="inlineStr">
        <is>
          <t>MEDIÇÃO CONCLUÍDA</t>
        </is>
      </c>
      <c r="Y518" s="11">
        <f>IF(AND(L518&lt;&gt;"", S518&lt;&gt;""), S518-L518, IF(L518&lt;&gt;"", TODAY()-L518, ""))</f>
        <v/>
      </c>
      <c r="Z518" s="7">
        <f>IF(Y518="", "", IF(Y518&lt;=3, "NO PRAZO", "ATRASADO"))</f>
        <v/>
      </c>
      <c r="AA518" s="8" t="inlineStr"/>
    </row>
    <row r="519" ht="20" customHeight="1">
      <c r="A519" s="7" t="inlineStr">
        <is>
          <t>RSCLER0517</t>
        </is>
      </c>
      <c r="B519" s="8" t="inlineStr">
        <is>
          <t>PORTO ALEGRE</t>
        </is>
      </c>
      <c r="C519" s="7" t="inlineStr">
        <is>
          <t>TRZAA</t>
        </is>
      </c>
      <c r="D519" s="7" t="inlineStr">
        <is>
          <t>TRZAL</t>
        </is>
      </c>
      <c r="E519" s="7" t="inlineStr">
        <is>
          <t>RSPSU11</t>
        </is>
      </c>
      <c r="F519" s="8" t="inlineStr">
        <is>
          <t>Garden Home Resort</t>
        </is>
      </c>
      <c r="G519" s="8" t="inlineStr">
        <is>
          <t>Av Otto Niemeyer, 809</t>
        </is>
      </c>
      <c r="H519" s="7" t="inlineStr">
        <is>
          <t>TRZAA.021.M030</t>
        </is>
      </c>
      <c r="I519" s="8" t="inlineStr">
        <is>
          <t>FOI LANÇADO 757 METROS DE CABO DE 12FO E 167 METROS DE CABO DE 24FO, 3 ABERTURA E FECHAMENTO, 2 CX NOVA, 1 DERIVAÇÃO, 26 FUSÕES, 2 TESTES</t>
        </is>
      </c>
      <c r="J519" s="8" t="inlineStr">
        <is>
          <t>AUGUSTO</t>
        </is>
      </c>
      <c r="K519" s="8" t="inlineStr">
        <is>
          <t>AUGUSTO</t>
        </is>
      </c>
      <c r="L519" s="9" t="n">
        <v>45705</v>
      </c>
      <c r="M519" s="9" t="n">
        <v>45708</v>
      </c>
      <c r="N519" s="9" t="n">
        <v>45742</v>
      </c>
      <c r="O519" s="9" t="n">
        <v>45742</v>
      </c>
      <c r="P519" s="7" t="inlineStr">
        <is>
          <t>NÃO PRECISA</t>
        </is>
      </c>
      <c r="Q519" s="9" t="n">
        <v>45785</v>
      </c>
      <c r="R519" s="7" t="inlineStr">
        <is>
          <t>Concluído Campo</t>
        </is>
      </c>
      <c r="S519" s="9" t="n">
        <v>45714</v>
      </c>
      <c r="T519" s="10" t="inlineStr"/>
      <c r="U519" s="7" t="inlineStr">
        <is>
          <t>4645167</t>
        </is>
      </c>
      <c r="V519" s="7" t="inlineStr"/>
      <c r="W519" s="7" t="inlineStr"/>
      <c r="X519" s="7" t="inlineStr">
        <is>
          <t>MEDIÇÃO CONCLUÍDA</t>
        </is>
      </c>
      <c r="Y519" s="11">
        <f>IF(AND(L519&lt;&gt;"", S519&lt;&gt;""), S519-L519, IF(L519&lt;&gt;"", TODAY()-L519, ""))</f>
        <v/>
      </c>
      <c r="Z519" s="7">
        <f>IF(Y519="", "", IF(Y519&lt;=3, "NO PRAZO", "ATRASADO"))</f>
        <v/>
      </c>
      <c r="AA519" s="8" t="inlineStr">
        <is>
          <t>100% - OK</t>
        </is>
      </c>
    </row>
    <row r="520" ht="20" customHeight="1">
      <c r="A520" s="7" t="inlineStr">
        <is>
          <t>RSCLER0518</t>
        </is>
      </c>
      <c r="B520" s="8" t="inlineStr">
        <is>
          <t>PORTO ALEGRE</t>
        </is>
      </c>
      <c r="C520" s="7" t="inlineStr">
        <is>
          <t>BFMAA</t>
        </is>
      </c>
      <c r="D520" s="7" t="inlineStr">
        <is>
          <t>BFMADA</t>
        </is>
      </c>
      <c r="E520" s="7" t="inlineStr">
        <is>
          <t>PAE IND</t>
        </is>
      </c>
      <c r="F520" s="8" t="inlineStr">
        <is>
          <t>Cond. Vitória Régia</t>
        </is>
      </c>
      <c r="G520" s="8" t="inlineStr">
        <is>
          <t>Av Independencia, 742</t>
        </is>
      </c>
      <c r="H520" s="7" t="inlineStr">
        <is>
          <t>BFMAA.022.M010</t>
        </is>
      </c>
      <c r="I520" s="8" t="inlineStr">
        <is>
          <t>5 ABERTURA E FECHAMENTO, 5 FUSÃO, 1 TESTE</t>
        </is>
      </c>
      <c r="J520" s="8" t="inlineStr"/>
      <c r="K520" s="8" t="inlineStr">
        <is>
          <t>AUGUSTO</t>
        </is>
      </c>
      <c r="L520" s="9" t="n">
        <v>45705</v>
      </c>
      <c r="M520" s="9" t="n">
        <v>45708</v>
      </c>
      <c r="N520" s="9" t="n">
        <v>45714</v>
      </c>
      <c r="O520" s="9" t="n">
        <v>45714</v>
      </c>
      <c r="P520" s="7" t="inlineStr">
        <is>
          <t>NÃO PRECISA</t>
        </is>
      </c>
      <c r="Q520" s="9" t="n">
        <v>45739</v>
      </c>
      <c r="R520" s="7" t="inlineStr">
        <is>
          <t>Concluído Campo</t>
        </is>
      </c>
      <c r="S520" s="9" t="n">
        <v>45712</v>
      </c>
      <c r="T520" s="10" t="inlineStr"/>
      <c r="U520" s="7" t="inlineStr">
        <is>
          <t>4645256</t>
        </is>
      </c>
      <c r="V520" s="7" t="inlineStr"/>
      <c r="W520" s="7" t="inlineStr"/>
      <c r="X520" s="7" t="inlineStr">
        <is>
          <t>MEDIÇÃO CONCLUÍDA</t>
        </is>
      </c>
      <c r="Y520" s="11">
        <f>IF(AND(L520&lt;&gt;"", S520&lt;&gt;""), S520-L520, IF(L520&lt;&gt;"", TODAY()-L520, ""))</f>
        <v/>
      </c>
      <c r="Z520" s="7">
        <f>IF(Y520="", "", IF(Y520&lt;=3, "NO PRAZO", "ATRASADO"))</f>
        <v/>
      </c>
      <c r="AA520" s="8" t="inlineStr">
        <is>
          <t>100% - OK</t>
        </is>
      </c>
    </row>
    <row r="521" ht="20" customHeight="1">
      <c r="A521" s="7" t="inlineStr">
        <is>
          <t>RSCLER0519</t>
        </is>
      </c>
      <c r="B521" s="8" t="inlineStr">
        <is>
          <t>PORTO ALEGRE</t>
        </is>
      </c>
      <c r="C521" s="7" t="inlineStr">
        <is>
          <t>CTLAA</t>
        </is>
      </c>
      <c r="D521" s="7" t="inlineStr"/>
      <c r="E521" s="7" t="inlineStr"/>
      <c r="F521" s="8" t="inlineStr"/>
      <c r="G521" s="8" t="inlineStr">
        <is>
          <t>R CURUPAITI 1062</t>
        </is>
      </c>
      <c r="H521" s="7" t="inlineStr">
        <is>
          <t>CTLAA.063.M050</t>
        </is>
      </c>
      <c r="I521" s="8" t="inlineStr">
        <is>
          <t>FOI LANÇADO 220 METROS DE CABO DE 12FO, 2 ABERTURA E FECHAMENTO, 11 FUSÃO, 1 DERIVAÇÃO, 1 CX NOVA, 4 TESTE</t>
        </is>
      </c>
      <c r="J521" s="8" t="inlineStr">
        <is>
          <t>UBIRATAN</t>
        </is>
      </c>
      <c r="K521" s="8" t="inlineStr">
        <is>
          <t>ANDERSON</t>
        </is>
      </c>
      <c r="L521" s="9" t="n">
        <v>45706</v>
      </c>
      <c r="M521" s="9" t="n">
        <v>45707</v>
      </c>
      <c r="N521" s="9" t="n">
        <v>45713</v>
      </c>
      <c r="O521" s="9" t="n">
        <v>45713</v>
      </c>
      <c r="P521" s="7" t="inlineStr">
        <is>
          <t>NÃO PRECISA</t>
        </is>
      </c>
      <c r="Q521" s="9" t="n">
        <v>45734</v>
      </c>
      <c r="R521" s="7" t="inlineStr">
        <is>
          <t>Concluído Campo</t>
        </is>
      </c>
      <c r="S521" s="9" t="n">
        <v>45713</v>
      </c>
      <c r="T521" s="10" t="inlineStr"/>
      <c r="U521" s="7" t="inlineStr">
        <is>
          <t>4645035</t>
        </is>
      </c>
      <c r="V521" s="7" t="inlineStr"/>
      <c r="W521" s="7" t="inlineStr"/>
      <c r="X521" s="7" t="inlineStr">
        <is>
          <t>MEDIÇÃO CONCLUÍDA</t>
        </is>
      </c>
      <c r="Y521" s="11">
        <f>IF(AND(L521&lt;&gt;"", S521&lt;&gt;""), S521-L521, IF(L521&lt;&gt;"", TODAY()-L521, ""))</f>
        <v/>
      </c>
      <c r="Z521" s="7">
        <f>IF(Y521="", "", IF(Y521&lt;=3, "NO PRAZO", "ATRASADO"))</f>
        <v/>
      </c>
      <c r="AA521" s="8" t="inlineStr">
        <is>
          <t>100% - OK</t>
        </is>
      </c>
    </row>
    <row r="522" ht="20" customHeight="1">
      <c r="A522" s="7" t="inlineStr">
        <is>
          <t>RSCLER0520</t>
        </is>
      </c>
      <c r="B522" s="8" t="inlineStr">
        <is>
          <t>PORTO ALEGRE</t>
        </is>
      </c>
      <c r="C522" s="7" t="inlineStr">
        <is>
          <t>HMTAA</t>
        </is>
      </c>
      <c r="D522" s="7" t="inlineStr">
        <is>
          <t>NAVAG</t>
        </is>
      </c>
      <c r="E522" s="7" t="inlineStr">
        <is>
          <t>RSPNO02</t>
        </is>
      </c>
      <c r="F522" s="8" t="inlineStr"/>
      <c r="G522" s="8" t="inlineStr">
        <is>
          <t>Rua Padre Blasio Vogel, 107/181</t>
        </is>
      </c>
      <c r="H522" s="7" t="inlineStr">
        <is>
          <t>HMTAA.022.09.02 / HMTAA.022.09.01</t>
        </is>
      </c>
      <c r="I522" s="8" t="inlineStr">
        <is>
          <t>12 ABERTURA E FECHAMENTO, 12 FUSÃO, 6 TESTES</t>
        </is>
      </c>
      <c r="J522" s="8" t="inlineStr"/>
      <c r="K522" s="8" t="inlineStr">
        <is>
          <t>ANDERSON</t>
        </is>
      </c>
      <c r="L522" s="9" t="n">
        <v>45707</v>
      </c>
      <c r="M522" s="9" t="n">
        <v>45712</v>
      </c>
      <c r="N522" s="9" t="n">
        <v>45714</v>
      </c>
      <c r="O522" s="9" t="n">
        <v>45714</v>
      </c>
      <c r="P522" s="7" t="inlineStr">
        <is>
          <t>NÃO PRECISA</t>
        </is>
      </c>
      <c r="Q522" s="9" t="n">
        <v>45734</v>
      </c>
      <c r="R522" s="7" t="inlineStr">
        <is>
          <t>Concluído Campo</t>
        </is>
      </c>
      <c r="S522" s="9" t="n">
        <v>45716</v>
      </c>
      <c r="T522" s="10" t="inlineStr"/>
      <c r="U522" s="7" t="inlineStr">
        <is>
          <t>4645077</t>
        </is>
      </c>
      <c r="V522" s="7" t="inlineStr"/>
      <c r="W522" s="7" t="inlineStr"/>
      <c r="X522" s="7" t="inlineStr">
        <is>
          <t>MEDIÇÃO CONCLUÍDA</t>
        </is>
      </c>
      <c r="Y522" s="11">
        <f>IF(AND(L522&lt;&gt;"", S522&lt;&gt;""), S522-L522, IF(L522&lt;&gt;"", TODAY()-L522, ""))</f>
        <v/>
      </c>
      <c r="Z522" s="7">
        <f>IF(Y522="", "", IF(Y522&lt;=3, "NO PRAZO", "ATRASADO"))</f>
        <v/>
      </c>
      <c r="AA522" s="8" t="inlineStr">
        <is>
          <t>100% - OK</t>
        </is>
      </c>
    </row>
    <row r="523" ht="20" customHeight="1">
      <c r="A523" s="7" t="inlineStr">
        <is>
          <t>RSCLER0521</t>
        </is>
      </c>
      <c r="B523" s="8" t="inlineStr">
        <is>
          <t>PORTO ALEGRE</t>
        </is>
      </c>
      <c r="C523" s="7" t="inlineStr">
        <is>
          <t>MNDAB</t>
        </is>
      </c>
      <c r="D523" s="7" t="inlineStr">
        <is>
          <t>MNDAB</t>
        </is>
      </c>
      <c r="E523" s="7" t="inlineStr">
        <is>
          <t>RSPCE20</t>
        </is>
      </c>
      <c r="F523" s="8" t="inlineStr"/>
      <c r="G523" s="8" t="inlineStr">
        <is>
          <t>Rua Cel. Belo, 370</t>
        </is>
      </c>
      <c r="H523" s="7" t="inlineStr">
        <is>
          <t>MNDAB.061.M040</t>
        </is>
      </c>
      <c r="I523" s="8" t="inlineStr">
        <is>
          <t>2 ABERTURA E FECHAMENTO, 1 FUSÃO, 1 TESTE</t>
        </is>
      </c>
      <c r="J523" s="8" t="inlineStr"/>
      <c r="K523" s="8" t="inlineStr">
        <is>
          <t>AUGUSTO</t>
        </is>
      </c>
      <c r="L523" s="9" t="n">
        <v>45707</v>
      </c>
      <c r="M523" s="9" t="n">
        <v>45712</v>
      </c>
      <c r="N523" s="9" t="n">
        <v>45712</v>
      </c>
      <c r="O523" s="9" t="n">
        <v>45712</v>
      </c>
      <c r="P523" s="7" t="inlineStr">
        <is>
          <t>NÃO PRECISA</t>
        </is>
      </c>
      <c r="Q523" s="9" t="n">
        <v>45734</v>
      </c>
      <c r="R523" s="7" t="inlineStr">
        <is>
          <t>Concluído Campo</t>
        </is>
      </c>
      <c r="S523" s="9" t="n">
        <v>45715</v>
      </c>
      <c r="T523" s="10" t="inlineStr"/>
      <c r="U523" s="7" t="inlineStr">
        <is>
          <t>4645108</t>
        </is>
      </c>
      <c r="V523" s="7" t="inlineStr"/>
      <c r="W523" s="7" t="inlineStr"/>
      <c r="X523" s="7" t="inlineStr">
        <is>
          <t>MEDIÇÃO CONCLUÍDA</t>
        </is>
      </c>
      <c r="Y523" s="11">
        <f>IF(AND(L523&lt;&gt;"", S523&lt;&gt;""), S523-L523, IF(L523&lt;&gt;"", TODAY()-L523, ""))</f>
        <v/>
      </c>
      <c r="Z523" s="7">
        <f>IF(Y523="", "", IF(Y523&lt;=3, "NO PRAZO", "ATRASADO"))</f>
        <v/>
      </c>
      <c r="AA523" s="8" t="inlineStr">
        <is>
          <t>100% - OK</t>
        </is>
      </c>
    </row>
    <row r="524" ht="20" customHeight="1">
      <c r="A524" s="7" t="inlineStr">
        <is>
          <t>RSCLER0522</t>
        </is>
      </c>
      <c r="B524" s="8" t="inlineStr">
        <is>
          <t>PORTO ALEGRE</t>
        </is>
      </c>
      <c r="C524" s="7" t="inlineStr">
        <is>
          <t>CNTAB</t>
        </is>
      </c>
      <c r="D524" s="7" t="inlineStr">
        <is>
          <t>CNTAG</t>
        </is>
      </c>
      <c r="E524" s="7" t="inlineStr">
        <is>
          <t>RSPCE14</t>
        </is>
      </c>
      <c r="F524" s="8" t="inlineStr">
        <is>
          <t>Residencial Quintana</t>
        </is>
      </c>
      <c r="G524" s="8" t="inlineStr">
        <is>
          <t>Rua Marechal Floriano, 631</t>
        </is>
      </c>
      <c r="H524" s="7" t="inlineStr">
        <is>
          <t>CNTAB.071.M060</t>
        </is>
      </c>
      <c r="I524" s="8" t="inlineStr">
        <is>
          <t>FOI LANÇADO 181 METROS DE CABO DE 12FO, 2 ABERTURA E FECHAMENTO, 1 CX NOVA, 6 FUSÕES, 1 DERIVAÇÃO 3 TESTES.</t>
        </is>
      </c>
      <c r="J524" s="8" t="inlineStr">
        <is>
          <t>AUGUSTO</t>
        </is>
      </c>
      <c r="K524" s="8" t="inlineStr">
        <is>
          <t>AUGUSTO</t>
        </is>
      </c>
      <c r="L524" s="9" t="n">
        <v>45713</v>
      </c>
      <c r="M524" s="9" t="n">
        <v>45715</v>
      </c>
      <c r="N524" s="7" t="inlineStr"/>
      <c r="O524" s="7" t="inlineStr"/>
      <c r="P524" s="7" t="inlineStr">
        <is>
          <t>NÃO PRECISA</t>
        </is>
      </c>
      <c r="Q524" s="9" t="n">
        <v>45734</v>
      </c>
      <c r="R524" s="7" t="inlineStr">
        <is>
          <t>Concluído Campo</t>
        </is>
      </c>
      <c r="S524" s="7" t="inlineStr">
        <is>
          <t>00:00:00</t>
        </is>
      </c>
      <c r="T524" s="10" t="inlineStr"/>
      <c r="U524" s="7" t="inlineStr">
        <is>
          <t>4644974</t>
        </is>
      </c>
      <c r="V524" s="7" t="inlineStr"/>
      <c r="W524" s="7" t="inlineStr"/>
      <c r="X524" s="7" t="inlineStr">
        <is>
          <t>MEDIÇÃO CONCLUÍDA</t>
        </is>
      </c>
      <c r="Y524" s="11">
        <f>IF(AND(L524&lt;&gt;"", S524&lt;&gt;""), S524-L524, IF(L524&lt;&gt;"", TODAY()-L524, ""))</f>
        <v/>
      </c>
      <c r="Z524" s="7">
        <f>IF(Y524="", "", IF(Y524&lt;=3, "NO PRAZO", "ATRASADO"))</f>
        <v/>
      </c>
      <c r="AA524" s="8" t="inlineStr"/>
    </row>
    <row r="525" ht="20" customHeight="1">
      <c r="A525" s="7" t="inlineStr">
        <is>
          <t>RSCLER0523</t>
        </is>
      </c>
      <c r="B525" s="8" t="inlineStr">
        <is>
          <t>PORTO ALEGRE</t>
        </is>
      </c>
      <c r="C525" s="7" t="inlineStr">
        <is>
          <t>PETAA</t>
        </is>
      </c>
      <c r="D525" s="7" t="inlineStr">
        <is>
          <t>PETAO</t>
        </is>
      </c>
      <c r="E525" s="7" t="inlineStr">
        <is>
          <t>RSPLE11</t>
        </is>
      </c>
      <c r="F525" s="8" t="inlineStr">
        <is>
          <t>Condomínio Lageado 167</t>
        </is>
      </c>
      <c r="G525" s="8" t="inlineStr">
        <is>
          <t>Av Lageado, 167</t>
        </is>
      </c>
      <c r="H525" s="7" t="inlineStr">
        <is>
          <t>PETAA.132.M070</t>
        </is>
      </c>
      <c r="I525" s="8" t="inlineStr">
        <is>
          <t>FOI LANÇADO 236 METROS DE CABO DE 12FO, 2 ABERTURA E FECHAMENTO, 6 FUSÕES, 1 CX NOVA, 1 DERIVAÇÃO, 3 TESTES</t>
        </is>
      </c>
      <c r="J525" s="8" t="inlineStr">
        <is>
          <t>AUGUSTO</t>
        </is>
      </c>
      <c r="K525" s="8" t="inlineStr">
        <is>
          <t>AUGUSTO</t>
        </is>
      </c>
      <c r="L525" s="9" t="n">
        <v>45713</v>
      </c>
      <c r="M525" s="9" t="n">
        <v>45715</v>
      </c>
      <c r="N525" s="9" t="n">
        <v>45716</v>
      </c>
      <c r="O525" s="9" t="n">
        <v>45716</v>
      </c>
      <c r="P525" s="7" t="inlineStr">
        <is>
          <t>NÃO PRECISA</t>
        </is>
      </c>
      <c r="Q525" s="9" t="n">
        <v>45734</v>
      </c>
      <c r="R525" s="7" t="inlineStr">
        <is>
          <t>Concluído Campo</t>
        </is>
      </c>
      <c r="S525" s="9" t="n">
        <v>45771</v>
      </c>
      <c r="T525" s="10" t="inlineStr"/>
      <c r="U525" s="7" t="inlineStr">
        <is>
          <t>4810186</t>
        </is>
      </c>
      <c r="V525" s="7" t="inlineStr"/>
      <c r="W525" s="7" t="inlineStr"/>
      <c r="X525" s="7" t="inlineStr">
        <is>
          <t>MEDIÇÃO CONCLUÍDA</t>
        </is>
      </c>
      <c r="Y525" s="11">
        <f>IF(AND(L525&lt;&gt;"", S525&lt;&gt;""), S525-L525, IF(L525&lt;&gt;"", TODAY()-L525, ""))</f>
        <v/>
      </c>
      <c r="Z525" s="7">
        <f>IF(Y525="", "", IF(Y525&lt;=3, "NO PRAZO", "ATRASADO"))</f>
        <v/>
      </c>
      <c r="AA525" s="8" t="inlineStr"/>
    </row>
    <row r="526" ht="20" customHeight="1">
      <c r="A526" s="7" t="inlineStr">
        <is>
          <t>RSCLER0524</t>
        </is>
      </c>
      <c r="B526" s="8" t="inlineStr">
        <is>
          <t>PORTO ALEGRE</t>
        </is>
      </c>
      <c r="C526" s="7" t="inlineStr">
        <is>
          <t>MNDAA</t>
        </is>
      </c>
      <c r="D526" s="7" t="inlineStr">
        <is>
          <t>MNDAS</t>
        </is>
      </c>
      <c r="E526" s="7" t="inlineStr">
        <is>
          <t>PAE MAD</t>
        </is>
      </c>
      <c r="F526" s="8" t="inlineStr">
        <is>
          <t>Cond. Pallazio Di Milano</t>
        </is>
      </c>
      <c r="G526" s="8" t="inlineStr">
        <is>
          <t>Rua Barão do Triunfo, 261</t>
        </is>
      </c>
      <c r="H526" s="7" t="inlineStr">
        <is>
          <t>MNDAA.131.M060</t>
        </is>
      </c>
      <c r="I526" s="8" t="inlineStr">
        <is>
          <t>FOI LANÇADO 179 METROS DE CABO DE 12FO, 9 ABERTURA E FECHAMENTO, 1 CX NOVA, 24 FUSÕES, 1 DERIVAÇÃO, 5 TESTES</t>
        </is>
      </c>
      <c r="J526" s="8" t="inlineStr">
        <is>
          <t>AUGUSTO</t>
        </is>
      </c>
      <c r="K526" s="8" t="inlineStr">
        <is>
          <t>AUGUSTO</t>
        </is>
      </c>
      <c r="L526" s="9" t="n">
        <v>45714</v>
      </c>
      <c r="M526" s="9" t="n">
        <v>45715</v>
      </c>
      <c r="N526" s="7" t="inlineStr"/>
      <c r="O526" s="9" t="n">
        <v>45715</v>
      </c>
      <c r="P526" s="7" t="inlineStr">
        <is>
          <t>NÃO PRECISA</t>
        </is>
      </c>
      <c r="Q526" s="9" t="n">
        <v>45734</v>
      </c>
      <c r="R526" s="7" t="inlineStr">
        <is>
          <t>Concluído Campo</t>
        </is>
      </c>
      <c r="S526" s="9" t="n">
        <v>45720</v>
      </c>
      <c r="T526" s="10" t="inlineStr"/>
      <c r="U526" s="7" t="inlineStr">
        <is>
          <t>4715929</t>
        </is>
      </c>
      <c r="V526" s="7" t="inlineStr"/>
      <c r="W526" s="7" t="inlineStr"/>
      <c r="X526" s="7" t="inlineStr">
        <is>
          <t>MEDIÇÃO CONCLUÍDA</t>
        </is>
      </c>
      <c r="Y526" s="11">
        <f>IF(AND(L526&lt;&gt;"", S526&lt;&gt;""), S526-L526, IF(L526&lt;&gt;"", TODAY()-L526, ""))</f>
        <v/>
      </c>
      <c r="Z526" s="7">
        <f>IF(Y526="", "", IF(Y526&lt;=3, "NO PRAZO", "ATRASADO"))</f>
        <v/>
      </c>
      <c r="AA526" s="8" t="inlineStr"/>
    </row>
    <row r="527" ht="20" customHeight="1">
      <c r="A527" s="7" t="inlineStr">
        <is>
          <t>RSCLER0525</t>
        </is>
      </c>
      <c r="B527" s="8" t="inlineStr">
        <is>
          <t>PORTO ALEGRE</t>
        </is>
      </c>
      <c r="C527" s="7" t="inlineStr">
        <is>
          <t>VNVAA</t>
        </is>
      </c>
      <c r="D527" s="7" t="inlineStr">
        <is>
          <t>VNVAE</t>
        </is>
      </c>
      <c r="E527" s="7" t="inlineStr">
        <is>
          <t>RSPSU13</t>
        </is>
      </c>
      <c r="F527" s="8" t="inlineStr">
        <is>
          <t>Summer Residence</t>
        </is>
      </c>
      <c r="G527" s="8" t="inlineStr">
        <is>
          <t>Av Cavalhada, 4414</t>
        </is>
      </c>
      <c r="H527" s="7" t="inlineStr">
        <is>
          <t>VNVAA.131.M010</t>
        </is>
      </c>
      <c r="I527" s="8" t="inlineStr">
        <is>
          <t>3 ABERTURA E FECHAMENTO, 2 FUSÕES, 1 TESTE</t>
        </is>
      </c>
      <c r="J527" s="8" t="inlineStr"/>
      <c r="K527" s="8" t="inlineStr">
        <is>
          <t>AUGUSTO</t>
        </is>
      </c>
      <c r="L527" s="9" t="n">
        <v>45714</v>
      </c>
      <c r="M527" s="9" t="n">
        <v>45715</v>
      </c>
      <c r="N527" s="7" t="inlineStr"/>
      <c r="O527" s="7" t="inlineStr"/>
      <c r="P527" s="7" t="inlineStr">
        <is>
          <t>NÃO PRECISA</t>
        </is>
      </c>
      <c r="Q527" s="9" t="n">
        <v>45734</v>
      </c>
      <c r="R527" s="7" t="inlineStr">
        <is>
          <t>Concluído Campo</t>
        </is>
      </c>
      <c r="S527" s="9" t="n">
        <v>45716</v>
      </c>
      <c r="T527" s="10" t="inlineStr"/>
      <c r="U527" s="7" t="inlineStr">
        <is>
          <t>4645092</t>
        </is>
      </c>
      <c r="V527" s="7" t="inlineStr"/>
      <c r="W527" s="7" t="inlineStr"/>
      <c r="X527" s="7" t="inlineStr">
        <is>
          <t>MEDIÇÃO CONCLUÍDA</t>
        </is>
      </c>
      <c r="Y527" s="11">
        <f>IF(AND(L527&lt;&gt;"", S527&lt;&gt;""), S527-L527, IF(L527&lt;&gt;"", TODAY()-L527, ""))</f>
        <v/>
      </c>
      <c r="Z527" s="7">
        <f>IF(Y527="", "", IF(Y527&lt;=3, "NO PRAZO", "ATRASADO"))</f>
        <v/>
      </c>
      <c r="AA527" s="8" t="inlineStr"/>
    </row>
    <row r="528" ht="20" customHeight="1">
      <c r="A528" s="7" t="inlineStr">
        <is>
          <t>RSCLER0526</t>
        </is>
      </c>
      <c r="B528" s="8" t="inlineStr">
        <is>
          <t>TRAMANDAI</t>
        </is>
      </c>
      <c r="C528" s="7" t="inlineStr">
        <is>
          <t>TRA</t>
        </is>
      </c>
      <c r="D528" s="7" t="inlineStr"/>
      <c r="E528" s="7" t="inlineStr">
        <is>
          <t>RSTRI01</t>
        </is>
      </c>
      <c r="F528" s="8" t="inlineStr"/>
      <c r="G528" s="8" t="inlineStr">
        <is>
          <t>R. UBATUBA DE FARIAS, 616</t>
        </is>
      </c>
      <c r="H528" s="7" t="inlineStr">
        <is>
          <t>TRA.037.M010</t>
        </is>
      </c>
      <c r="I528" s="8" t="inlineStr">
        <is>
          <t>6 ABERTURA E FECHAMENTO, 5 FUSÕES, 1 TESTE</t>
        </is>
      </c>
      <c r="J528" s="8" t="inlineStr"/>
      <c r="K528" s="8" t="inlineStr">
        <is>
          <t>FABIO AMARILIO</t>
        </is>
      </c>
      <c r="L528" s="9" t="n">
        <v>45714</v>
      </c>
      <c r="M528" s="9" t="n">
        <v>45727</v>
      </c>
      <c r="N528" s="9" t="n">
        <v>45730</v>
      </c>
      <c r="O528" s="9" t="n">
        <v>45768</v>
      </c>
      <c r="P528" s="7" t="inlineStr">
        <is>
          <t>NÃO PRECISA</t>
        </is>
      </c>
      <c r="Q528" s="9" t="n">
        <v>45785</v>
      </c>
      <c r="R528" s="7" t="inlineStr">
        <is>
          <t>Concluído Campo</t>
        </is>
      </c>
      <c r="S528" s="9" t="n">
        <v>45729</v>
      </c>
      <c r="T528" s="10" t="inlineStr"/>
      <c r="U528" s="7" t="inlineStr">
        <is>
          <t>4644088</t>
        </is>
      </c>
      <c r="V528" s="7" t="inlineStr"/>
      <c r="W528" s="7" t="inlineStr"/>
      <c r="X528" s="7" t="inlineStr">
        <is>
          <t>MEDIÇÃO CONCLUÍDA</t>
        </is>
      </c>
      <c r="Y528" s="11">
        <f>IF(AND(L528&lt;&gt;"", S528&lt;&gt;""), S528-L528, IF(L528&lt;&gt;"", TODAY()-L528, ""))</f>
        <v/>
      </c>
      <c r="Z528" s="7">
        <f>IF(Y528="", "", IF(Y528&lt;=3, "NO PRAZO", "ATRASADO"))</f>
        <v/>
      </c>
      <c r="AA528" s="8" t="inlineStr">
        <is>
          <t>100% - OK</t>
        </is>
      </c>
    </row>
    <row r="529" ht="20" customHeight="1">
      <c r="A529" s="7" t="inlineStr">
        <is>
          <t>RSCLER0527</t>
        </is>
      </c>
      <c r="B529" s="8" t="inlineStr">
        <is>
          <t>CACHOERINHA</t>
        </is>
      </c>
      <c r="C529" s="7" t="inlineStr">
        <is>
          <t>JBQAA</t>
        </is>
      </c>
      <c r="D529" s="7" t="inlineStr"/>
      <c r="E529" s="7" t="inlineStr">
        <is>
          <t>RSCHN05</t>
        </is>
      </c>
      <c r="F529" s="8" t="inlineStr">
        <is>
          <t>Shopping do Vale</t>
        </is>
      </c>
      <c r="G529" s="8" t="inlineStr">
        <is>
          <t>Av General Flores da Cunha, 4001</t>
        </is>
      </c>
      <c r="H529" s="7" t="inlineStr">
        <is>
          <t>JBQAA.007.M030</t>
        </is>
      </c>
      <c r="I529" s="8" t="inlineStr">
        <is>
          <t>FOI LANÇADO 370 METROS DE CABO DE 12FO, 6 ABERTURA E FECHAMENTO, 12 FUSÕES, 1 CX NOVA, 1 DERIVAÇÃO, 2 TESTES</t>
        </is>
      </c>
      <c r="J529" s="8" t="inlineStr">
        <is>
          <t>CESAR LEANDRO</t>
        </is>
      </c>
      <c r="K529" s="8" t="inlineStr">
        <is>
          <t>CESAR LEANDRO</t>
        </is>
      </c>
      <c r="L529" s="9" t="n">
        <v>45715</v>
      </c>
      <c r="M529" s="9" t="n">
        <v>45716</v>
      </c>
      <c r="N529" s="9" t="n">
        <v>45719</v>
      </c>
      <c r="O529" s="9" t="n">
        <v>45720</v>
      </c>
      <c r="P529" s="7" t="inlineStr">
        <is>
          <t>NÃO PRECISA</t>
        </is>
      </c>
      <c r="Q529" s="9" t="n">
        <v>45740</v>
      </c>
      <c r="R529" s="7" t="inlineStr">
        <is>
          <t>Concluído Campo</t>
        </is>
      </c>
      <c r="S529" s="9" t="n">
        <v>45732</v>
      </c>
      <c r="T529" s="10" t="inlineStr"/>
      <c r="U529" s="7" t="inlineStr">
        <is>
          <t>4643951</t>
        </is>
      </c>
      <c r="V529" s="7" t="inlineStr"/>
      <c r="W529" s="7" t="inlineStr"/>
      <c r="X529" s="7" t="inlineStr">
        <is>
          <t>MEDIÇÃO CONCLUÍDA</t>
        </is>
      </c>
      <c r="Y529" s="11">
        <f>IF(AND(L529&lt;&gt;"", S529&lt;&gt;""), S529-L529, IF(L529&lt;&gt;"", TODAY()-L529, ""))</f>
        <v/>
      </c>
      <c r="Z529" s="7">
        <f>IF(Y529="", "", IF(Y529&lt;=3, "NO PRAZO", "ATRASADO"))</f>
        <v/>
      </c>
      <c r="AA529" s="8" t="inlineStr"/>
    </row>
    <row r="530" ht="20" customHeight="1">
      <c r="A530" s="7" t="inlineStr">
        <is>
          <t>RSCLER0528</t>
        </is>
      </c>
      <c r="B530" s="8" t="inlineStr">
        <is>
          <t>PORTO ALEGRE</t>
        </is>
      </c>
      <c r="C530" s="7" t="inlineStr">
        <is>
          <t>PRTAB</t>
        </is>
      </c>
      <c r="D530" s="7" t="inlineStr">
        <is>
          <t>PRTAE</t>
        </is>
      </c>
      <c r="E530" s="7" t="inlineStr">
        <is>
          <t>RSPLE21</t>
        </is>
      </c>
      <c r="F530" s="8" t="inlineStr">
        <is>
          <t>Condomínio</t>
        </is>
      </c>
      <c r="G530" s="8" t="inlineStr">
        <is>
          <t>Rua Antonio Ribeiro, 186</t>
        </is>
      </c>
      <c r="H530" s="7" t="inlineStr">
        <is>
          <t>PRTAB.021.M040</t>
        </is>
      </c>
      <c r="I530" s="8" t="inlineStr">
        <is>
          <t>4 ABERTURA E FECHAMENTO, 6 SUÕES, 2 TESTES</t>
        </is>
      </c>
      <c r="J530" s="8" t="inlineStr"/>
      <c r="K530" s="8" t="inlineStr">
        <is>
          <t>AUGUSTO</t>
        </is>
      </c>
      <c r="L530" s="9" t="n">
        <v>45715</v>
      </c>
      <c r="M530" s="9" t="n">
        <v>45716</v>
      </c>
      <c r="N530" s="7" t="inlineStr"/>
      <c r="O530" s="9" t="n">
        <v>45716</v>
      </c>
      <c r="P530" s="7" t="inlineStr">
        <is>
          <t>NÃO PRECISA</t>
        </is>
      </c>
      <c r="Q530" s="9" t="n">
        <v>45734</v>
      </c>
      <c r="R530" s="7" t="inlineStr">
        <is>
          <t>Concluído Campo</t>
        </is>
      </c>
      <c r="S530" s="9" t="n">
        <v>45737</v>
      </c>
      <c r="T530" s="10" t="inlineStr"/>
      <c r="U530" s="7" t="inlineStr">
        <is>
          <t>4643065</t>
        </is>
      </c>
      <c r="V530" s="7" t="inlineStr"/>
      <c r="W530" s="7" t="inlineStr"/>
      <c r="X530" s="7" t="inlineStr">
        <is>
          <t>MEDIÇÃO CONCLUÍDA</t>
        </is>
      </c>
      <c r="Y530" s="11">
        <f>IF(AND(L530&lt;&gt;"", S530&lt;&gt;""), S530-L530, IF(L530&lt;&gt;"", TODAY()-L530, ""))</f>
        <v/>
      </c>
      <c r="Z530" s="7">
        <f>IF(Y530="", "", IF(Y530&lt;=3, "NO PRAZO", "ATRASADO"))</f>
        <v/>
      </c>
      <c r="AA530" s="8" t="inlineStr">
        <is>
          <t>100% - OK</t>
        </is>
      </c>
    </row>
    <row r="531" ht="20" customHeight="1">
      <c r="A531" s="7" t="inlineStr">
        <is>
          <t>RSCLER0529</t>
        </is>
      </c>
      <c r="B531" s="8" t="inlineStr">
        <is>
          <t>PORTO ALEGRE</t>
        </is>
      </c>
      <c r="C531" s="7" t="inlineStr">
        <is>
          <t>SANAB</t>
        </is>
      </c>
      <c r="D531" s="7" t="inlineStr">
        <is>
          <t>SANAH</t>
        </is>
      </c>
      <c r="E531" s="7" t="inlineStr">
        <is>
          <t>RSPCE27</t>
        </is>
      </c>
      <c r="F531" s="8" t="inlineStr">
        <is>
          <t>Cond. Jardim Santana</t>
        </is>
      </c>
      <c r="G531" s="8" t="inlineStr">
        <is>
          <t>Rua Santana, 998</t>
        </is>
      </c>
      <c r="H531" s="7" t="inlineStr">
        <is>
          <t>SANAB.061.M070</t>
        </is>
      </c>
      <c r="I531" s="8" t="inlineStr">
        <is>
          <t>FOI LANÇADO 378 METROS DE CABO DE 12FO, 1 ABERTURA E FECHAMENTO, 1 CX NOVA, 1 DERIVAÇÃO, 1 FUSÃO</t>
        </is>
      </c>
      <c r="J531" s="8" t="inlineStr">
        <is>
          <t>LUIS SCHUCH</t>
        </is>
      </c>
      <c r="K531" s="8" t="inlineStr">
        <is>
          <t>LUIS SCHUCH</t>
        </is>
      </c>
      <c r="L531" s="9" t="n">
        <v>45716</v>
      </c>
      <c r="M531" s="9" t="n">
        <v>45721</v>
      </c>
      <c r="N531" s="9" t="n">
        <v>45729</v>
      </c>
      <c r="O531" s="9" t="n">
        <v>45729</v>
      </c>
      <c r="P531" s="7" t="inlineStr">
        <is>
          <t>NÃO PRECISA</t>
        </is>
      </c>
      <c r="Q531" s="9" t="n">
        <v>45734</v>
      </c>
      <c r="R531" s="7" t="inlineStr">
        <is>
          <t>Concluído Campo</t>
        </is>
      </c>
      <c r="S531" s="9" t="n">
        <v>45732</v>
      </c>
      <c r="T531" s="10" t="inlineStr"/>
      <c r="U531" s="7" t="inlineStr">
        <is>
          <t>4643796</t>
        </is>
      </c>
      <c r="V531" s="7" t="inlineStr"/>
      <c r="W531" s="7" t="inlineStr"/>
      <c r="X531" s="7" t="inlineStr">
        <is>
          <t>MEDIÇÃO CONCLUÍDA</t>
        </is>
      </c>
      <c r="Y531" s="11">
        <f>IF(AND(L531&lt;&gt;"", S531&lt;&gt;""), S531-L531, IF(L531&lt;&gt;"", TODAY()-L531, ""))</f>
        <v/>
      </c>
      <c r="Z531" s="7">
        <f>IF(Y531="", "", IF(Y531&lt;=3, "NO PRAZO", "ATRASADO"))</f>
        <v/>
      </c>
      <c r="AA531" s="8" t="inlineStr"/>
    </row>
    <row r="532" ht="20" customHeight="1">
      <c r="A532" s="7" t="inlineStr">
        <is>
          <t>RSCLER0530</t>
        </is>
      </c>
      <c r="B532" s="8" t="inlineStr">
        <is>
          <t>DOIS IRMÃOS</t>
        </is>
      </c>
      <c r="C532" s="7" t="inlineStr">
        <is>
          <t>CNT</t>
        </is>
      </c>
      <c r="D532" s="7" t="inlineStr"/>
      <c r="E532" s="7" t="inlineStr">
        <is>
          <t>RSDSR01</t>
        </is>
      </c>
      <c r="F532" s="8" t="inlineStr">
        <is>
          <t>RESIDENCIAL MONTE CARLO</t>
        </is>
      </c>
      <c r="G532" s="8" t="inlineStr">
        <is>
          <t>R JOSE ARMINDO SCHMIDT 36</t>
        </is>
      </c>
      <c r="H532" s="7" t="inlineStr">
        <is>
          <t>CNT.029.M010</t>
        </is>
      </c>
      <c r="I532" s="8" t="inlineStr">
        <is>
          <t>FOI LANÇADO 435 METROS DE CABO DE 12FO, 9 ABERTURA E FRECHAMENTO,  15 FUSÕES, 1 DERIVAÇÃO, 1 CX NOVA, 4 TESTES</t>
        </is>
      </c>
      <c r="J532" s="8" t="inlineStr">
        <is>
          <t>TIAGO FERREIRA</t>
        </is>
      </c>
      <c r="K532" s="8" t="inlineStr">
        <is>
          <t>CESAR LEANDRO</t>
        </is>
      </c>
      <c r="L532" s="9" t="n">
        <v>45722</v>
      </c>
      <c r="M532" s="9" t="n">
        <v>45727</v>
      </c>
      <c r="N532" s="9" t="n">
        <v>45729</v>
      </c>
      <c r="O532" s="9" t="n">
        <v>45732</v>
      </c>
      <c r="P532" s="7" t="inlineStr">
        <is>
          <t>NÃO PRECISA</t>
        </is>
      </c>
      <c r="Q532" s="9" t="n">
        <v>45734</v>
      </c>
      <c r="R532" s="7" t="inlineStr">
        <is>
          <t>Concluído Campo</t>
        </is>
      </c>
      <c r="S532" s="9" t="n">
        <v>45728</v>
      </c>
      <c r="T532" s="10" t="inlineStr"/>
      <c r="U532" s="7" t="inlineStr">
        <is>
          <t>4644582</t>
        </is>
      </c>
      <c r="V532" s="7" t="inlineStr"/>
      <c r="W532" s="7" t="inlineStr"/>
      <c r="X532" s="7" t="inlineStr">
        <is>
          <t>MEDIÇÃO CONCLUÍDA</t>
        </is>
      </c>
      <c r="Y532" s="11">
        <f>IF(AND(L532&lt;&gt;"", S532&lt;&gt;""), S532-L532, IF(L532&lt;&gt;"", TODAY()-L532, ""))</f>
        <v/>
      </c>
      <c r="Z532" s="7">
        <f>IF(Y532="", "", IF(Y532&lt;=3, "NO PRAZO", "ATRASADO"))</f>
        <v/>
      </c>
      <c r="AA532" s="8" t="inlineStr"/>
    </row>
    <row r="533" ht="20" customHeight="1">
      <c r="A533" s="7" t="inlineStr">
        <is>
          <t>RSCLER0531</t>
        </is>
      </c>
      <c r="B533" s="8" t="inlineStr">
        <is>
          <t>PORTO ALEGRE</t>
        </is>
      </c>
      <c r="C533" s="7" t="inlineStr">
        <is>
          <t>SPEAA</t>
        </is>
      </c>
      <c r="D533" s="7" t="inlineStr">
        <is>
          <t>SPEACA</t>
        </is>
      </c>
      <c r="E533" s="7" t="inlineStr">
        <is>
          <t>PAE DAM</t>
        </is>
      </c>
      <c r="F533" s="8" t="inlineStr">
        <is>
          <t>HDI SEGUROS S A</t>
        </is>
      </c>
      <c r="G533" s="8" t="inlineStr">
        <is>
          <t>Av Sertório, 4890</t>
        </is>
      </c>
      <c r="H533" s="7" t="inlineStr">
        <is>
          <t>SPEAA.061.02.08</t>
        </is>
      </c>
      <c r="I533" s="8" t="inlineStr">
        <is>
          <t>FOI LANÇADO 140 METROS DE CABO DE 12FO, 5 ABERTURA E FECHAMENTO, 1 DERIVAÇÃO, 6 FUSÕES, 1 NAP NOVA, 3 TESTES</t>
        </is>
      </c>
      <c r="J533" s="8" t="inlineStr">
        <is>
          <t>AUGUSTO</t>
        </is>
      </c>
      <c r="K533" s="8" t="inlineStr">
        <is>
          <t>AUGUSTO</t>
        </is>
      </c>
      <c r="L533" s="9" t="n">
        <v>45723</v>
      </c>
      <c r="M533" s="9" t="n">
        <v>45728</v>
      </c>
      <c r="N533" s="9" t="n">
        <v>45738</v>
      </c>
      <c r="O533" s="9" t="n">
        <v>45737</v>
      </c>
      <c r="P533" s="7" t="inlineStr">
        <is>
          <t>NÃO PRECISA</t>
        </is>
      </c>
      <c r="Q533" s="9" t="n">
        <v>45739</v>
      </c>
      <c r="R533" s="7" t="inlineStr">
        <is>
          <t>Concluído Campo</t>
        </is>
      </c>
      <c r="S533" s="9" t="n">
        <v>45730</v>
      </c>
      <c r="T533" s="10" t="inlineStr"/>
      <c r="U533" s="7" t="inlineStr">
        <is>
          <t>4644380</t>
        </is>
      </c>
      <c r="V533" s="7" t="inlineStr"/>
      <c r="W533" s="7" t="inlineStr"/>
      <c r="X533" s="7" t="inlineStr">
        <is>
          <t>MEDIÇÃO CONCLUÍDA</t>
        </is>
      </c>
      <c r="Y533" s="11">
        <f>IF(AND(L533&lt;&gt;"", S533&lt;&gt;""), S533-L533, IF(L533&lt;&gt;"", TODAY()-L533, ""))</f>
        <v/>
      </c>
      <c r="Z533" s="7">
        <f>IF(Y533="", "", IF(Y533&lt;=3, "NO PRAZO", "ATRASADO"))</f>
        <v/>
      </c>
      <c r="AA533" s="8" t="inlineStr">
        <is>
          <t>100% - OK</t>
        </is>
      </c>
    </row>
    <row r="534" ht="20" customHeight="1">
      <c r="A534" s="7" t="inlineStr">
        <is>
          <t>RSCLER0532</t>
        </is>
      </c>
      <c r="B534" s="8" t="inlineStr">
        <is>
          <t>PORTO ALEGRE</t>
        </is>
      </c>
      <c r="C534" s="7" t="inlineStr">
        <is>
          <t>GUAAA</t>
        </is>
      </c>
      <c r="D534" s="7" t="inlineStr"/>
      <c r="E534" s="7" t="inlineStr">
        <is>
          <t>RSPSU21</t>
        </is>
      </c>
      <c r="F534" s="8" t="inlineStr">
        <is>
          <t>Condomínio Ipanema Residence</t>
        </is>
      </c>
      <c r="G534" s="8" t="inlineStr">
        <is>
          <t>Estrada Campo Novo, 459</t>
        </is>
      </c>
      <c r="H534" s="7" t="inlineStr">
        <is>
          <t>GUAAA.172.M020</t>
        </is>
      </c>
      <c r="I534" s="8" t="inlineStr">
        <is>
          <t>FOI LANÇADO 730 METROS DE CABO DE 12FO, 2 ABERTURA E FECHAMENTO, 12 FUSÕES, 1 DERIVAÇÃO, 1 CX NOVA, 6 TESTES</t>
        </is>
      </c>
      <c r="J534" s="8" t="inlineStr">
        <is>
          <t>UBIRATAN</t>
        </is>
      </c>
      <c r="K534" s="8" t="inlineStr">
        <is>
          <t>AUGUSTO</t>
        </is>
      </c>
      <c r="L534" s="9" t="n">
        <v>45727</v>
      </c>
      <c r="M534" s="9" t="n">
        <v>45729</v>
      </c>
      <c r="N534" s="9" t="n">
        <v>45732</v>
      </c>
      <c r="O534" s="9" t="n">
        <v>45732</v>
      </c>
      <c r="P534" s="9" t="n">
        <v>46048</v>
      </c>
      <c r="Q534" s="9" t="n">
        <v>45734</v>
      </c>
      <c r="R534" s="7" t="inlineStr">
        <is>
          <t>Concluído Campo</t>
        </is>
      </c>
      <c r="S534" s="9" t="n">
        <v>45730</v>
      </c>
      <c r="T534" s="10" t="inlineStr"/>
      <c r="U534" s="7" t="inlineStr">
        <is>
          <t>4644162</t>
        </is>
      </c>
      <c r="V534" s="7" t="inlineStr"/>
      <c r="W534" s="7" t="inlineStr"/>
      <c r="X534" s="7" t="inlineStr">
        <is>
          <t>MEDIÇÃO CONCLUÍDA</t>
        </is>
      </c>
      <c r="Y534" s="11">
        <f>IF(AND(L534&lt;&gt;"", S534&lt;&gt;""), S534-L534, IF(L534&lt;&gt;"", TODAY()-L534, ""))</f>
        <v/>
      </c>
      <c r="Z534" s="7">
        <f>IF(Y534="", "", IF(Y534&lt;=3, "NO PRAZO", "ATRASADO"))</f>
        <v/>
      </c>
      <c r="AA534" s="8" t="inlineStr"/>
    </row>
    <row r="535" ht="20" customHeight="1">
      <c r="A535" s="7" t="inlineStr">
        <is>
          <t>RSCLER0533</t>
        </is>
      </c>
      <c r="B535" s="8" t="inlineStr">
        <is>
          <t>PORTO ALEGRE</t>
        </is>
      </c>
      <c r="C535" s="7" t="inlineStr">
        <is>
          <t>SSOAA</t>
        </is>
      </c>
      <c r="D535" s="7" t="inlineStr">
        <is>
          <t>RBTAHA</t>
        </is>
      </c>
      <c r="E535" s="7" t="inlineStr">
        <is>
          <t>RSPNO07</t>
        </is>
      </c>
      <c r="F535" s="8" t="inlineStr">
        <is>
          <t>- Empresa Procisa</t>
        </is>
      </c>
      <c r="G535" s="8" t="inlineStr">
        <is>
          <t>Rua Sérgio Jungblut Dieterich, 710</t>
        </is>
      </c>
      <c r="H535" s="7" t="inlineStr">
        <is>
          <t>SSOAA.012.03.03</t>
        </is>
      </c>
      <c r="I535" s="8" t="inlineStr">
        <is>
          <t>FOI LANÇADO 160 METROS DE CABO DE 12FO, 7 ABERTURA E FECHAMENTO, 1 DERIVAÇÃO, 7 FUSÕES, 1 NAP NOVA, 3 TESTES.</t>
        </is>
      </c>
      <c r="J535" s="8" t="inlineStr">
        <is>
          <t>CESAR LEANDRO</t>
        </is>
      </c>
      <c r="K535" s="8" t="inlineStr">
        <is>
          <t>CESAR LEANDRO</t>
        </is>
      </c>
      <c r="L535" s="9" t="n">
        <v>45727</v>
      </c>
      <c r="M535" s="9" t="n">
        <v>45728</v>
      </c>
      <c r="N535" s="9" t="n">
        <v>45728</v>
      </c>
      <c r="O535" s="9" t="n">
        <v>45728</v>
      </c>
      <c r="P535" s="7" t="inlineStr">
        <is>
          <t>NÃO PRECISA</t>
        </is>
      </c>
      <c r="Q535" s="9" t="n">
        <v>45734</v>
      </c>
      <c r="R535" s="7" t="inlineStr">
        <is>
          <t>Concluído Campo</t>
        </is>
      </c>
      <c r="S535" s="9" t="n">
        <v>45735</v>
      </c>
      <c r="T535" s="10" t="inlineStr"/>
      <c r="U535" s="7" t="inlineStr">
        <is>
          <t>4715884</t>
        </is>
      </c>
      <c r="V535" s="7" t="inlineStr"/>
      <c r="W535" s="7" t="inlineStr"/>
      <c r="X535" s="7" t="inlineStr">
        <is>
          <t>MEDIÇÃO CONCLUÍDA</t>
        </is>
      </c>
      <c r="Y535" s="11">
        <f>IF(AND(L535&lt;&gt;"", S535&lt;&gt;""), S535-L535, IF(L535&lt;&gt;"", TODAY()-L535, ""))</f>
        <v/>
      </c>
      <c r="Z535" s="7">
        <f>IF(Y535="", "", IF(Y535&lt;=3, "NO PRAZO", "ATRASADO"))</f>
        <v/>
      </c>
      <c r="AA535" s="8" t="inlineStr"/>
    </row>
    <row r="536" ht="20" customHeight="1">
      <c r="A536" s="7" t="inlineStr">
        <is>
          <t>RSCLER0534</t>
        </is>
      </c>
      <c r="B536" s="8" t="inlineStr">
        <is>
          <t>PORTO ALEGRE</t>
        </is>
      </c>
      <c r="C536" s="7" t="inlineStr">
        <is>
          <t>SSOAA</t>
        </is>
      </c>
      <c r="D536" s="7" t="inlineStr"/>
      <c r="E536" s="7" t="inlineStr">
        <is>
          <t>RSPNO08</t>
        </is>
      </c>
      <c r="F536" s="8" t="inlineStr">
        <is>
          <t>Condomínio Village Lindóia</t>
        </is>
      </c>
      <c r="G536" s="8" t="inlineStr">
        <is>
          <t>Av Panamericana, 150</t>
        </is>
      </c>
      <c r="H536" s="7" t="inlineStr">
        <is>
          <t>SSOAA.091.M090.</t>
        </is>
      </c>
      <c r="I536" s="8" t="inlineStr">
        <is>
          <t>8 ABERTURA E FECHAMENTO, 19 FUSÕES, 3 TESTES</t>
        </is>
      </c>
      <c r="J536" s="8" t="inlineStr"/>
      <c r="K536" s="8" t="inlineStr">
        <is>
          <t>ANDERSON</t>
        </is>
      </c>
      <c r="L536" s="9" t="n">
        <v>45727</v>
      </c>
      <c r="M536" s="9" t="n">
        <v>45729</v>
      </c>
      <c r="N536" s="9" t="n">
        <v>45730</v>
      </c>
      <c r="O536" s="9" t="n">
        <v>45730</v>
      </c>
      <c r="P536" s="7" t="inlineStr">
        <is>
          <t>NÃO PRECISA</t>
        </is>
      </c>
      <c r="Q536" s="9" t="n">
        <v>45734</v>
      </c>
      <c r="R536" s="7" t="inlineStr">
        <is>
          <t>Concluído Campo</t>
        </is>
      </c>
      <c r="S536" s="9" t="n">
        <v>45731</v>
      </c>
      <c r="T536" s="10" t="inlineStr"/>
      <c r="U536" s="7" t="inlineStr">
        <is>
          <t>4643143</t>
        </is>
      </c>
      <c r="V536" s="7" t="inlineStr"/>
      <c r="W536" s="7" t="inlineStr"/>
      <c r="X536" s="7" t="inlineStr">
        <is>
          <t>MEDIÇÃO CONCLUÍDA</t>
        </is>
      </c>
      <c r="Y536" s="11">
        <f>IF(AND(L536&lt;&gt;"", S536&lt;&gt;""), S536-L536, IF(L536&lt;&gt;"", TODAY()-L536, ""))</f>
        <v/>
      </c>
      <c r="Z536" s="7">
        <f>IF(Y536="", "", IF(Y536&lt;=3, "NO PRAZO", "ATRASADO"))</f>
        <v/>
      </c>
      <c r="AA536" s="8" t="inlineStr">
        <is>
          <t>100% - OK</t>
        </is>
      </c>
    </row>
    <row r="537" ht="20" customHeight="1">
      <c r="A537" s="7" t="inlineStr">
        <is>
          <t>RSCLER0535</t>
        </is>
      </c>
      <c r="B537" s="8" t="inlineStr">
        <is>
          <t>PORTO ALEGRE</t>
        </is>
      </c>
      <c r="C537" s="7" t="inlineStr">
        <is>
          <t>CNTAB</t>
        </is>
      </c>
      <c r="D537" s="7" t="inlineStr">
        <is>
          <t>CNTAG</t>
        </is>
      </c>
      <c r="E537" s="7" t="inlineStr">
        <is>
          <t>RSPCE14</t>
        </is>
      </c>
      <c r="F537" s="8" t="inlineStr"/>
      <c r="G537" s="8" t="inlineStr">
        <is>
          <t>R. José do Patrocínio, 527</t>
        </is>
      </c>
      <c r="H537" s="7" t="inlineStr">
        <is>
          <t>CNTAB.072.M030.</t>
        </is>
      </c>
      <c r="I537" s="8" t="inlineStr">
        <is>
          <t>FOI LANÇADO 1115 METROS DE CABO DE 12FO, 3 ABERTURA E FECHAMENTO, 10 FUSÕES, 1 DERIVAÇÃO, 5 TESTES</t>
        </is>
      </c>
      <c r="J537" s="8" t="inlineStr">
        <is>
          <t>TIAGO FERREIRA</t>
        </is>
      </c>
      <c r="K537" s="8" t="inlineStr">
        <is>
          <t>ANDERSON</t>
        </is>
      </c>
      <c r="L537" s="9" t="n">
        <v>45728</v>
      </c>
      <c r="M537" s="9" t="n">
        <v>45729</v>
      </c>
      <c r="N537" s="9" t="n">
        <v>45730</v>
      </c>
      <c r="O537" s="9" t="n">
        <v>45730</v>
      </c>
      <c r="P537" s="7" t="inlineStr">
        <is>
          <t>NÃO PRECISA</t>
        </is>
      </c>
      <c r="Q537" s="9" t="n">
        <v>45734</v>
      </c>
      <c r="R537" s="7" t="inlineStr">
        <is>
          <t>Concluído Campo</t>
        </is>
      </c>
      <c r="S537" s="9" t="n">
        <v>45734</v>
      </c>
      <c r="T537" s="10" t="inlineStr"/>
      <c r="U537" s="7" t="inlineStr">
        <is>
          <t>4643712</t>
        </is>
      </c>
      <c r="V537" s="7" t="inlineStr"/>
      <c r="W537" s="7" t="inlineStr"/>
      <c r="X537" s="7" t="inlineStr">
        <is>
          <t>MEDIÇÃO CONCLUÍDA</t>
        </is>
      </c>
      <c r="Y537" s="11">
        <f>IF(AND(L537&lt;&gt;"", S537&lt;&gt;""), S537-L537, IF(L537&lt;&gt;"", TODAY()-L537, ""))</f>
        <v/>
      </c>
      <c r="Z537" s="7">
        <f>IF(Y537="", "", IF(Y537&lt;=3, "NO PRAZO", "ATRASADO"))</f>
        <v/>
      </c>
      <c r="AA537" s="8" t="inlineStr">
        <is>
          <t>100% - OK</t>
        </is>
      </c>
    </row>
    <row r="538" ht="20" customHeight="1">
      <c r="A538" s="7" t="inlineStr">
        <is>
          <t>RSCLER0536</t>
        </is>
      </c>
      <c r="B538" s="8" t="inlineStr">
        <is>
          <t>PORTO ALEGRE</t>
        </is>
      </c>
      <c r="C538" s="7" t="inlineStr">
        <is>
          <t>NAVAB</t>
        </is>
      </c>
      <c r="D538" s="7" t="inlineStr">
        <is>
          <t>NAVAD</t>
        </is>
      </c>
      <c r="E538" s="7" t="inlineStr">
        <is>
          <t>PAE FAR</t>
        </is>
      </c>
      <c r="F538" s="8" t="inlineStr">
        <is>
          <t>ED SOLAR BANDEIRA</t>
        </is>
      </c>
      <c r="G538" s="8" t="inlineStr">
        <is>
          <t>R QUINTINO BANDEIRA 15</t>
        </is>
      </c>
      <c r="H538" s="7" t="inlineStr">
        <is>
          <t>NAVAB.126.M050</t>
        </is>
      </c>
      <c r="I538" s="8" t="inlineStr">
        <is>
          <t>FOI LANÇADO 495 METROS DE CABO DE 12FO, 1 ABERTURA E FECHAMENTO, 1 CAIXA NOVA, 1 FUSÃO, 1 DERIVAÇÃO E 1 TESTE</t>
        </is>
      </c>
      <c r="J538" s="8" t="inlineStr">
        <is>
          <t>UBIRATAN</t>
        </is>
      </c>
      <c r="K538" s="8" t="inlineStr">
        <is>
          <t>AUGUSTO</t>
        </is>
      </c>
      <c r="L538" s="9" t="n">
        <v>45728</v>
      </c>
      <c r="M538" s="9" t="n">
        <v>45730</v>
      </c>
      <c r="N538" s="9" t="n">
        <v>45735</v>
      </c>
      <c r="O538" s="9" t="n">
        <v>45735</v>
      </c>
      <c r="P538" s="7" t="inlineStr">
        <is>
          <t>NÃO PRECISA</t>
        </is>
      </c>
      <c r="Q538" s="9" t="n">
        <v>45739</v>
      </c>
      <c r="R538" s="7" t="inlineStr">
        <is>
          <t>Concluído Campo</t>
        </is>
      </c>
      <c r="S538" s="9" t="n">
        <v>45729</v>
      </c>
      <c r="T538" s="10" t="inlineStr"/>
      <c r="U538" s="7" t="inlineStr">
        <is>
          <t>4643643</t>
        </is>
      </c>
      <c r="V538" s="7" t="inlineStr"/>
      <c r="W538" s="7" t="inlineStr"/>
      <c r="X538" s="7" t="inlineStr">
        <is>
          <t>MEDIÇÃO CONCLUÍDA</t>
        </is>
      </c>
      <c r="Y538" s="11">
        <f>IF(AND(L538&lt;&gt;"", S538&lt;&gt;""), S538-L538, IF(L538&lt;&gt;"", TODAY()-L538, ""))</f>
        <v/>
      </c>
      <c r="Z538" s="7">
        <f>IF(Y538="", "", IF(Y538&lt;=3, "NO PRAZO", "ATRASADO"))</f>
        <v/>
      </c>
      <c r="AA538" s="8" t="inlineStr">
        <is>
          <t>100% - OK</t>
        </is>
      </c>
    </row>
    <row r="539" ht="20" customHeight="1">
      <c r="A539" s="7" t="inlineStr">
        <is>
          <t>RSCLER0537</t>
        </is>
      </c>
      <c r="B539" s="8" t="inlineStr">
        <is>
          <t>PORTO ALEGRE</t>
        </is>
      </c>
      <c r="C539" s="7" t="inlineStr">
        <is>
          <t>RBRAA</t>
        </is>
      </c>
      <c r="D539" s="7" t="inlineStr"/>
      <c r="E539" s="7" t="inlineStr"/>
      <c r="F539" s="8" t="inlineStr">
        <is>
          <t>Condominio Edificio Ilha de Corfou</t>
        </is>
      </c>
      <c r="G539" s="8" t="inlineStr">
        <is>
          <t>Rua Miguel Tostes, 225</t>
        </is>
      </c>
      <c r="H539" s="7" t="inlineStr">
        <is>
          <t>RBRAA.013.M090.</t>
        </is>
      </c>
      <c r="I539" s="8" t="inlineStr">
        <is>
          <t>FOI LANÇADO 322 METROS DE CABO DE 12FO, 5 ABERTURA E FECHAMENTO, 14 FUSÕES, 3 DERIVAÇÕES, 5 TESTES</t>
        </is>
      </c>
      <c r="J539" s="8" t="inlineStr">
        <is>
          <t>UBIRATAN</t>
        </is>
      </c>
      <c r="K539" s="8" t="inlineStr">
        <is>
          <t>ALEXANDRE (MARCOS EMILIANO)</t>
        </is>
      </c>
      <c r="L539" s="9" t="n">
        <v>45728</v>
      </c>
      <c r="M539" s="9" t="n">
        <v>45729</v>
      </c>
      <c r="N539" s="9" t="n">
        <v>45730</v>
      </c>
      <c r="O539" s="9" t="n">
        <v>45731</v>
      </c>
      <c r="P539" s="7" t="inlineStr">
        <is>
          <t>NÃO PRECISA</t>
        </is>
      </c>
      <c r="Q539" s="9" t="n">
        <v>45740</v>
      </c>
      <c r="R539" s="7" t="inlineStr">
        <is>
          <t>Concluído Campo</t>
        </is>
      </c>
      <c r="S539" s="9" t="n">
        <v>45738</v>
      </c>
      <c r="T539" s="10" t="inlineStr"/>
      <c r="U539" s="7" t="inlineStr">
        <is>
          <t>4643086</t>
        </is>
      </c>
      <c r="V539" s="7" t="inlineStr"/>
      <c r="W539" s="7" t="inlineStr"/>
      <c r="X539" s="7" t="inlineStr">
        <is>
          <t>MEDIÇÃO CONCLUÍDA</t>
        </is>
      </c>
      <c r="Y539" s="11">
        <f>IF(AND(L539&lt;&gt;"", S539&lt;&gt;""), S539-L539, IF(L539&lt;&gt;"", TODAY()-L539, ""))</f>
        <v/>
      </c>
      <c r="Z539" s="7">
        <f>IF(Y539="", "", IF(Y539&lt;=3, "NO PRAZO", "ATRASADO"))</f>
        <v/>
      </c>
      <c r="AA539" s="8" t="inlineStr">
        <is>
          <t>100% - OK</t>
        </is>
      </c>
    </row>
    <row r="540" ht="20" customHeight="1">
      <c r="A540" s="7" t="inlineStr">
        <is>
          <t>RSCLER0538</t>
        </is>
      </c>
      <c r="B540" s="8" t="inlineStr">
        <is>
          <t>PORTO ALEGRE</t>
        </is>
      </c>
      <c r="C540" s="7" t="inlineStr">
        <is>
          <t>VIPAA</t>
        </is>
      </c>
      <c r="D540" s="7" t="inlineStr">
        <is>
          <t>VIPAA</t>
        </is>
      </c>
      <c r="E540" s="7" t="inlineStr">
        <is>
          <t>RSPNO19</t>
        </is>
      </c>
      <c r="F540" s="8" t="inlineStr"/>
      <c r="G540" s="8" t="inlineStr">
        <is>
          <t>Rua Fernando Cortez, 553</t>
        </is>
      </c>
      <c r="H540" s="7" t="inlineStr">
        <is>
          <t>VIPAA.012.M050</t>
        </is>
      </c>
      <c r="I540" s="8" t="inlineStr">
        <is>
          <t>FOI LANÇADO 550 METROS DE CABO DE 12FO, 2 ABERTURA E FECHAMENTO, 8 FUSÕES, 1 CX NOVA, 1 DERIVAÇÃO, 6 TESTES</t>
        </is>
      </c>
      <c r="J540" s="8" t="inlineStr">
        <is>
          <t>UBIRATAN</t>
        </is>
      </c>
      <c r="K540" s="8" t="inlineStr">
        <is>
          <t>AUGUSTO</t>
        </is>
      </c>
      <c r="L540" s="9" t="n">
        <v>45728</v>
      </c>
      <c r="M540" s="9" t="n">
        <v>45730</v>
      </c>
      <c r="N540" s="9" t="n">
        <v>45734</v>
      </c>
      <c r="O540" s="9" t="n">
        <v>45734</v>
      </c>
      <c r="P540" s="7" t="inlineStr">
        <is>
          <t>NÃO PRECISA</t>
        </is>
      </c>
      <c r="Q540" s="9" t="n">
        <v>45734</v>
      </c>
      <c r="R540" s="7" t="inlineStr">
        <is>
          <t>Concluído Campo</t>
        </is>
      </c>
      <c r="S540" s="9" t="n">
        <v>45734</v>
      </c>
      <c r="T540" s="10" t="inlineStr"/>
      <c r="U540" s="7" t="inlineStr">
        <is>
          <t>4715872</t>
        </is>
      </c>
      <c r="V540" s="7" t="inlineStr"/>
      <c r="W540" s="7" t="inlineStr"/>
      <c r="X540" s="7" t="inlineStr">
        <is>
          <t>MEDIÇÃO CONCLUÍDA</t>
        </is>
      </c>
      <c r="Y540" s="11">
        <f>IF(AND(L540&lt;&gt;"", S540&lt;&gt;""), S540-L540, IF(L540&lt;&gt;"", TODAY()-L540, ""))</f>
        <v/>
      </c>
      <c r="Z540" s="7">
        <f>IF(Y540="", "", IF(Y540&lt;=3, "NO PRAZO", "ATRASADO"))</f>
        <v/>
      </c>
      <c r="AA540" s="8" t="inlineStr">
        <is>
          <t>100% - OK</t>
        </is>
      </c>
    </row>
    <row r="541" ht="20" customHeight="1">
      <c r="A541" s="7" t="inlineStr">
        <is>
          <t>RSCLER0539</t>
        </is>
      </c>
      <c r="B541" s="8" t="inlineStr">
        <is>
          <t>PORTO ALEGRE</t>
        </is>
      </c>
      <c r="C541" s="7" t="inlineStr">
        <is>
          <t>BFMAA</t>
        </is>
      </c>
      <c r="D541" s="7" t="inlineStr">
        <is>
          <t>BFMADB</t>
        </is>
      </c>
      <c r="E541" s="7" t="inlineStr">
        <is>
          <t>PAE IND</t>
        </is>
      </c>
      <c r="F541" s="8" t="inlineStr"/>
      <c r="G541" s="8" t="inlineStr">
        <is>
          <t>Rua Gal. João Telles, 324</t>
        </is>
      </c>
      <c r="H541" s="7" t="inlineStr">
        <is>
          <t>BFMAA.083.M030</t>
        </is>
      </c>
      <c r="I541" s="8" t="inlineStr">
        <is>
          <t>3 ABERTURA E FECHAMENTO, 19 FUSÕES, 6 TESTES</t>
        </is>
      </c>
      <c r="J541" s="8" t="inlineStr"/>
      <c r="K541" s="8" t="inlineStr">
        <is>
          <t>ALEXANDRE (MARCOS EMILIANO) / LUIS SCHUCH</t>
        </is>
      </c>
      <c r="L541" s="9" t="n">
        <v>45728</v>
      </c>
      <c r="M541" s="9" t="n">
        <v>45729</v>
      </c>
      <c r="N541" s="9" t="n">
        <v>45730</v>
      </c>
      <c r="O541" s="9" t="n">
        <v>45729</v>
      </c>
      <c r="P541" s="7" t="inlineStr">
        <is>
          <t>NÃO PRECISA</t>
        </is>
      </c>
      <c r="Q541" s="9" t="n">
        <v>45740</v>
      </c>
      <c r="R541" s="7" t="inlineStr">
        <is>
          <t>Concluído Campo</t>
        </is>
      </c>
      <c r="S541" s="9" t="n">
        <v>45736</v>
      </c>
      <c r="T541" s="10" t="inlineStr"/>
      <c r="U541" s="7" t="inlineStr">
        <is>
          <t>4715903</t>
        </is>
      </c>
      <c r="V541" s="7" t="inlineStr"/>
      <c r="W541" s="7" t="inlineStr"/>
      <c r="X541" s="7" t="inlineStr">
        <is>
          <t>MEDIÇÃO CONCLUÍDA</t>
        </is>
      </c>
      <c r="Y541" s="11">
        <f>IF(AND(L541&lt;&gt;"", S541&lt;&gt;""), S541-L541, IF(L541&lt;&gt;"", TODAY()-L541, ""))</f>
        <v/>
      </c>
      <c r="Z541" s="7">
        <f>IF(Y541="", "", IF(Y541&lt;=3, "NO PRAZO", "ATRASADO"))</f>
        <v/>
      </c>
      <c r="AA541" s="8" t="inlineStr">
        <is>
          <t>100% - OK</t>
        </is>
      </c>
    </row>
    <row r="542" ht="20" customHeight="1">
      <c r="A542" s="7" t="inlineStr">
        <is>
          <t>RSCLER0540</t>
        </is>
      </c>
      <c r="B542" s="8" t="inlineStr">
        <is>
          <t>PORTO ALEGRE</t>
        </is>
      </c>
      <c r="C542" s="7" t="inlineStr">
        <is>
          <t>FLOAA</t>
        </is>
      </c>
      <c r="D542" s="7" t="inlineStr">
        <is>
          <t>FLOAF</t>
        </is>
      </c>
      <c r="E542" s="7" t="inlineStr">
        <is>
          <t>RSPNO11</t>
        </is>
      </c>
      <c r="F542" s="8" t="inlineStr">
        <is>
          <t>Condomínio Moinhos Hall</t>
        </is>
      </c>
      <c r="G542" s="8" t="inlineStr">
        <is>
          <t>Rua Mariante, 21</t>
        </is>
      </c>
      <c r="H542" s="7" t="inlineStr">
        <is>
          <t>FLOAA.112.M050</t>
        </is>
      </c>
      <c r="I542" s="8" t="inlineStr">
        <is>
          <t>FOI LANÇADO 255 METROS DE CABO DE 12 FO, 5 ABERTURA E FECHAMENTO, 20 FUSÕES, 1 DERIVAÇÃO, 1 CX NOVA, 4 TESTES.</t>
        </is>
      </c>
      <c r="J542" s="8" t="inlineStr">
        <is>
          <t>AUGUSTO</t>
        </is>
      </c>
      <c r="K542" s="8" t="inlineStr">
        <is>
          <t>AUGUSTO</t>
        </is>
      </c>
      <c r="L542" s="9" t="n">
        <v>45730</v>
      </c>
      <c r="M542" s="9" t="n">
        <v>45735</v>
      </c>
      <c r="N542" s="9" t="n">
        <v>45738</v>
      </c>
      <c r="O542" s="9" t="n">
        <v>45738</v>
      </c>
      <c r="P542" s="7" t="inlineStr">
        <is>
          <t>NÃO PRECISA</t>
        </is>
      </c>
      <c r="Q542" s="9" t="n">
        <v>45739</v>
      </c>
      <c r="R542" s="7" t="inlineStr">
        <is>
          <t>Concluído Campo</t>
        </is>
      </c>
      <c r="S542" s="9" t="n">
        <v>45738</v>
      </c>
      <c r="T542" s="10" t="inlineStr"/>
      <c r="U542" s="7" t="inlineStr">
        <is>
          <t>4715816</t>
        </is>
      </c>
      <c r="V542" s="7" t="inlineStr"/>
      <c r="W542" s="7" t="inlineStr"/>
      <c r="X542" s="7" t="inlineStr">
        <is>
          <t>MEDIÇÃO CONCLUÍDA</t>
        </is>
      </c>
      <c r="Y542" s="11">
        <f>IF(AND(L542&lt;&gt;"", S542&lt;&gt;""), S542-L542, IF(L542&lt;&gt;"", TODAY()-L542, ""))</f>
        <v/>
      </c>
      <c r="Z542" s="7">
        <f>IF(Y542="", "", IF(Y542&lt;=3, "NO PRAZO", "ATRASADO"))</f>
        <v/>
      </c>
      <c r="AA542" s="8" t="inlineStr">
        <is>
          <t>100% - OK</t>
        </is>
      </c>
    </row>
    <row r="543" ht="20" customHeight="1">
      <c r="A543" s="7" t="inlineStr">
        <is>
          <t>RSCLER0541</t>
        </is>
      </c>
      <c r="B543" s="8" t="inlineStr">
        <is>
          <t>PORTO ALEGRE</t>
        </is>
      </c>
      <c r="C543" s="7" t="inlineStr">
        <is>
          <t>PDRAA</t>
        </is>
      </c>
      <c r="D543" s="7" t="inlineStr">
        <is>
          <t>PDRAHA</t>
        </is>
      </c>
      <c r="E543" s="7" t="inlineStr">
        <is>
          <t>RSPNO17</t>
        </is>
      </c>
      <c r="F543" s="8" t="inlineStr">
        <is>
          <t>Condomínio University Place</t>
        </is>
      </c>
      <c r="G543" s="8" t="inlineStr">
        <is>
          <t>R. Paulo Setúbal, 134</t>
        </is>
      </c>
      <c r="H543" s="7" t="inlineStr">
        <is>
          <t>PDRAA.062.M100.</t>
        </is>
      </c>
      <c r="I543" s="8" t="inlineStr">
        <is>
          <t>3 ABERTURAS E FECHAMENTO, 3 FUSÕES, 1 DERIVAÇÃO E 1 TESTE</t>
        </is>
      </c>
      <c r="J543" s="8" t="inlineStr"/>
      <c r="K543" s="8" t="inlineStr">
        <is>
          <t>ANDERSON</t>
        </is>
      </c>
      <c r="L543" s="9" t="n">
        <v>45730</v>
      </c>
      <c r="M543" s="9" t="n">
        <v>45733</v>
      </c>
      <c r="N543" s="9" t="n">
        <v>45734</v>
      </c>
      <c r="O543" s="9" t="n">
        <v>45734</v>
      </c>
      <c r="P543" s="7" t="inlineStr">
        <is>
          <t>NÃO PRECISA</t>
        </is>
      </c>
      <c r="Q543" s="9" t="n">
        <v>45739</v>
      </c>
      <c r="R543" s="7" t="inlineStr">
        <is>
          <t>Concluído Campo</t>
        </is>
      </c>
      <c r="S543" s="9" t="n">
        <v>45736</v>
      </c>
      <c r="T543" s="10" t="inlineStr"/>
      <c r="U543" s="7" t="inlineStr">
        <is>
          <t>4715921</t>
        </is>
      </c>
      <c r="V543" s="7" t="inlineStr"/>
      <c r="W543" s="7" t="inlineStr"/>
      <c r="X543" s="7" t="inlineStr">
        <is>
          <t>MEDIÇÃO CONCLUÍDA</t>
        </is>
      </c>
      <c r="Y543" s="11">
        <f>IF(AND(L543&lt;&gt;"", S543&lt;&gt;""), S543-L543, IF(L543&lt;&gt;"", TODAY()-L543, ""))</f>
        <v/>
      </c>
      <c r="Z543" s="7">
        <f>IF(Y543="", "", IF(Y543&lt;=3, "NO PRAZO", "ATRASADO"))</f>
        <v/>
      </c>
      <c r="AA543" s="8" t="inlineStr">
        <is>
          <t>100% - OK</t>
        </is>
      </c>
    </row>
    <row r="544" ht="20" customHeight="1">
      <c r="A544" s="7" t="inlineStr">
        <is>
          <t>RSCLER0542</t>
        </is>
      </c>
      <c r="B544" s="8" t="inlineStr">
        <is>
          <t>PORTO ALEGRE</t>
        </is>
      </c>
      <c r="C544" s="7" t="inlineStr">
        <is>
          <t>TRLAA</t>
        </is>
      </c>
      <c r="D544" s="7" t="inlineStr">
        <is>
          <t>MNDAR</t>
        </is>
      </c>
      <c r="E544" s="7" t="inlineStr">
        <is>
          <t>PSE HZS</t>
        </is>
      </c>
      <c r="F544" s="8" t="inlineStr"/>
      <c r="G544" s="8" t="inlineStr">
        <is>
          <t>Rua Saldanha Marinho, 396</t>
        </is>
      </c>
      <c r="H544" s="7" t="inlineStr">
        <is>
          <t>TRLAA.014.M010</t>
        </is>
      </c>
      <c r="I544" s="8" t="inlineStr">
        <is>
          <t>3 ABERTURA E FECHAMENTO, 4 FUSÕES, 2 TESTES</t>
        </is>
      </c>
      <c r="J544" s="8" t="inlineStr"/>
      <c r="K544" s="8" t="inlineStr">
        <is>
          <t>AUGUSTO</t>
        </is>
      </c>
      <c r="L544" s="9" t="n">
        <v>45730</v>
      </c>
      <c r="M544" s="9" t="n">
        <v>45733</v>
      </c>
      <c r="N544" s="9" t="n">
        <v>45737</v>
      </c>
      <c r="O544" s="9" t="n">
        <v>45736</v>
      </c>
      <c r="P544" s="7" t="inlineStr">
        <is>
          <t>NÃO PRECISA</t>
        </is>
      </c>
      <c r="Q544" s="9" t="n">
        <v>45739</v>
      </c>
      <c r="R544" s="7" t="inlineStr">
        <is>
          <t>Concluído Campo</t>
        </is>
      </c>
      <c r="S544" s="9" t="n">
        <v>45738</v>
      </c>
      <c r="T544" s="10" t="inlineStr"/>
      <c r="U544" s="7" t="inlineStr">
        <is>
          <t>4643622</t>
        </is>
      </c>
      <c r="V544" s="7" t="inlineStr"/>
      <c r="W544" s="7" t="inlineStr"/>
      <c r="X544" s="7" t="inlineStr">
        <is>
          <t>MEDIÇÃO CONCLUÍDA</t>
        </is>
      </c>
      <c r="Y544" s="11">
        <f>IF(AND(L544&lt;&gt;"", S544&lt;&gt;""), S544-L544, IF(L544&lt;&gt;"", TODAY()-L544, ""))</f>
        <v/>
      </c>
      <c r="Z544" s="7">
        <f>IF(Y544="", "", IF(Y544&lt;=3, "NO PRAZO", "ATRASADO"))</f>
        <v/>
      </c>
      <c r="AA544" s="8" t="inlineStr"/>
    </row>
    <row r="545" ht="20" customHeight="1">
      <c r="A545" s="7" t="inlineStr">
        <is>
          <t>RSCLER0543</t>
        </is>
      </c>
      <c r="B545" s="8" t="inlineStr">
        <is>
          <t>PORTO ALEGRE</t>
        </is>
      </c>
      <c r="C545" s="7" t="inlineStr">
        <is>
          <t>SPEAA</t>
        </is>
      </c>
      <c r="D545" s="7" t="inlineStr">
        <is>
          <t>SPEAB</t>
        </is>
      </c>
      <c r="E545" s="7" t="inlineStr">
        <is>
          <t>PAE DAM</t>
        </is>
      </c>
      <c r="F545" s="8" t="inlineStr"/>
      <c r="G545" s="8" t="inlineStr">
        <is>
          <t>Rua Açores, 68</t>
        </is>
      </c>
      <c r="H545" s="7" t="inlineStr">
        <is>
          <t>SPEAA.016.M050</t>
        </is>
      </c>
      <c r="I545" s="8" t="inlineStr">
        <is>
          <t>3 ABERTURA E FECHAMENTO, 8 FUSÕES, 2 TESTES</t>
        </is>
      </c>
      <c r="J545" s="8" t="inlineStr"/>
      <c r="K545" s="8" t="inlineStr">
        <is>
          <t>AUGUSTO / ANDERSON</t>
        </is>
      </c>
      <c r="L545" s="9" t="n">
        <v>45733</v>
      </c>
      <c r="M545" s="9" t="n">
        <v>45734</v>
      </c>
      <c r="N545" s="9" t="n">
        <v>45736</v>
      </c>
      <c r="O545" s="9" t="n">
        <v>45738</v>
      </c>
      <c r="P545" s="7" t="inlineStr">
        <is>
          <t>NÃO PRECISA</t>
        </is>
      </c>
      <c r="Q545" s="9" t="n">
        <v>45739</v>
      </c>
      <c r="R545" s="7" t="inlineStr">
        <is>
          <t>Concluído Campo</t>
        </is>
      </c>
      <c r="S545" s="7" t="inlineStr"/>
      <c r="T545" s="10" t="inlineStr"/>
      <c r="U545" s="7" t="inlineStr"/>
      <c r="V545" s="7" t="inlineStr"/>
      <c r="W545" s="7" t="inlineStr"/>
      <c r="X545" s="7" t="inlineStr">
        <is>
          <t>AG. MEDIÇÃO</t>
        </is>
      </c>
      <c r="Y545" s="11">
        <f>IF(AND(L545&lt;&gt;"", S545&lt;&gt;""), S545-L545, IF(L545&lt;&gt;"", TODAY()-L545, ""))</f>
        <v/>
      </c>
      <c r="Z545" s="7">
        <f>IF(Y545="", "", IF(Y545&lt;=3, "NO PRAZO", "ATRASADO"))</f>
        <v/>
      </c>
      <c r="AA545" s="8" t="inlineStr">
        <is>
          <t>100% - OK</t>
        </is>
      </c>
    </row>
    <row r="546" ht="20" customHeight="1">
      <c r="A546" s="7" t="inlineStr">
        <is>
          <t>RSCLER0544</t>
        </is>
      </c>
      <c r="B546" s="8" t="inlineStr">
        <is>
          <t>PORTO ALEGRE</t>
        </is>
      </c>
      <c r="C546" s="7" t="inlineStr">
        <is>
          <t>FLOAB</t>
        </is>
      </c>
      <c r="D546" s="7" t="inlineStr">
        <is>
          <t>FLOAKB</t>
        </is>
      </c>
      <c r="E546" s="7" t="inlineStr">
        <is>
          <t>RSPCE05</t>
        </is>
      </c>
      <c r="F546" s="8" t="inlineStr">
        <is>
          <t>Condomínio Edifício Saintmichelle</t>
        </is>
      </c>
      <c r="G546" s="8" t="inlineStr">
        <is>
          <t>Rua Pinheiro Machado, 246</t>
        </is>
      </c>
      <c r="H546" s="7" t="inlineStr">
        <is>
          <t>FLOAB.091.M070</t>
        </is>
      </c>
      <c r="I546" s="8" t="inlineStr">
        <is>
          <t>FOI LANÇADO 271 METROS DE CABO DE 12FO, 1 ABERTURA E FECHAMENTO</t>
        </is>
      </c>
      <c r="J546" s="8" t="inlineStr">
        <is>
          <t>UBIRATAN</t>
        </is>
      </c>
      <c r="K546" s="8" t="inlineStr">
        <is>
          <t>AUGUSTO</t>
        </is>
      </c>
      <c r="L546" s="9" t="n">
        <v>45733</v>
      </c>
      <c r="M546" s="9" t="n">
        <v>45734</v>
      </c>
      <c r="N546" s="9" t="n">
        <v>45737</v>
      </c>
      <c r="O546" s="9" t="n">
        <v>45736</v>
      </c>
      <c r="P546" s="7" t="inlineStr">
        <is>
          <t>NÃO PRECISA</t>
        </is>
      </c>
      <c r="Q546" s="9" t="n">
        <v>45739</v>
      </c>
      <c r="R546" s="7" t="inlineStr">
        <is>
          <t>Concluído Campo</t>
        </is>
      </c>
      <c r="S546" s="9" t="n">
        <v>45736</v>
      </c>
      <c r="T546" s="10" t="inlineStr"/>
      <c r="U546" s="7" t="inlineStr">
        <is>
          <t>4643665</t>
        </is>
      </c>
      <c r="V546" s="7" t="inlineStr"/>
      <c r="W546" s="7" t="inlineStr"/>
      <c r="X546" s="7" t="inlineStr">
        <is>
          <t>MEDIÇÃO CONCLUÍDA</t>
        </is>
      </c>
      <c r="Y546" s="11">
        <f>IF(AND(L546&lt;&gt;"", S546&lt;&gt;""), S546-L546, IF(L546&lt;&gt;"", TODAY()-L546, ""))</f>
        <v/>
      </c>
      <c r="Z546" s="7">
        <f>IF(Y546="", "", IF(Y546&lt;=3, "NO PRAZO", "ATRASADO"))</f>
        <v/>
      </c>
      <c r="AA546" s="8" t="inlineStr"/>
    </row>
    <row r="547" ht="20" customHeight="1">
      <c r="A547" s="7" t="inlineStr">
        <is>
          <t>RSCLER0545</t>
        </is>
      </c>
      <c r="B547" s="8" t="inlineStr">
        <is>
          <t>PORTO ALEGRE</t>
        </is>
      </c>
      <c r="C547" s="7" t="inlineStr">
        <is>
          <t>TRZAA</t>
        </is>
      </c>
      <c r="D547" s="7" t="inlineStr">
        <is>
          <t>TRZAM</t>
        </is>
      </c>
      <c r="E547" s="7" t="inlineStr">
        <is>
          <t>RSPSU11</t>
        </is>
      </c>
      <c r="F547" s="8" t="inlineStr">
        <is>
          <t>Condomínio Village Neuchatel</t>
        </is>
      </c>
      <c r="G547" s="8" t="inlineStr">
        <is>
          <t>Rua Dr. Armando Barbedo, 541</t>
        </is>
      </c>
      <c r="H547" s="7" t="inlineStr">
        <is>
          <t>TRZAA.112.M030</t>
        </is>
      </c>
      <c r="I547" s="8" t="inlineStr">
        <is>
          <t>1 ABERTURA E FECHAMENTO, 3 TESTE</t>
        </is>
      </c>
      <c r="J547" s="8" t="inlineStr"/>
      <c r="K547" s="8" t="inlineStr">
        <is>
          <t>AUGUSTO</t>
        </is>
      </c>
      <c r="L547" s="9" t="n">
        <v>45733</v>
      </c>
      <c r="M547" s="9" t="n">
        <v>45734</v>
      </c>
      <c r="N547" s="9" t="n">
        <v>45735</v>
      </c>
      <c r="O547" s="9" t="n">
        <v>45738</v>
      </c>
      <c r="P547" s="7" t="inlineStr">
        <is>
          <t>NÃO PRECISA</t>
        </is>
      </c>
      <c r="Q547" s="9" t="n">
        <v>45740</v>
      </c>
      <c r="R547" s="7" t="inlineStr">
        <is>
          <t>Concluído Campo</t>
        </is>
      </c>
      <c r="S547" s="9" t="n">
        <v>45737</v>
      </c>
      <c r="T547" s="10" t="inlineStr"/>
      <c r="U547" s="7" t="inlineStr">
        <is>
          <t>4642967</t>
        </is>
      </c>
      <c r="V547" s="7" t="inlineStr"/>
      <c r="W547" s="7" t="inlineStr"/>
      <c r="X547" s="7" t="inlineStr">
        <is>
          <t>MEDIÇÃO CONCLUÍDA</t>
        </is>
      </c>
      <c r="Y547" s="11">
        <f>IF(AND(L547&lt;&gt;"", S547&lt;&gt;""), S547-L547, IF(L547&lt;&gt;"", TODAY()-L547, ""))</f>
        <v/>
      </c>
      <c r="Z547" s="7">
        <f>IF(Y547="", "", IF(Y547&lt;=3, "NO PRAZO", "ATRASADO"))</f>
        <v/>
      </c>
      <c r="AA547" s="8" t="inlineStr">
        <is>
          <t>100% - OK</t>
        </is>
      </c>
    </row>
    <row r="548" ht="20" customHeight="1">
      <c r="A548" s="7" t="inlineStr">
        <is>
          <t>RSCLER0546</t>
        </is>
      </c>
      <c r="B548" s="8" t="inlineStr">
        <is>
          <t>PORTO ALEGRE</t>
        </is>
      </c>
      <c r="C548" s="7" t="inlineStr">
        <is>
          <t>RBRAA</t>
        </is>
      </c>
      <c r="D548" s="7" t="inlineStr">
        <is>
          <t>RBRAO</t>
        </is>
      </c>
      <c r="E548" s="7" t="inlineStr">
        <is>
          <t>RSPLE08</t>
        </is>
      </c>
      <c r="F548" s="8" t="inlineStr">
        <is>
          <t>Condomínio Edifício Jamaica</t>
        </is>
      </c>
      <c r="G548" s="8" t="inlineStr">
        <is>
          <t>Av Lucas de Oliveira, 1601</t>
        </is>
      </c>
      <c r="H548" s="7" t="inlineStr">
        <is>
          <t>RBRAA.121.M030</t>
        </is>
      </c>
      <c r="I548" s="8" t="inlineStr">
        <is>
          <t>9 ABERTURA E FECHAMENTO, 9 FUSÕES, 2 TESTES</t>
        </is>
      </c>
      <c r="J548" s="8" t="inlineStr"/>
      <c r="K548" s="8" t="inlineStr">
        <is>
          <t>AUGUSTO</t>
        </is>
      </c>
      <c r="L548" s="9" t="n">
        <v>45733</v>
      </c>
      <c r="M548" s="9" t="n">
        <v>45734</v>
      </c>
      <c r="N548" s="9" t="n">
        <v>45736</v>
      </c>
      <c r="O548" s="9" t="n">
        <v>45732</v>
      </c>
      <c r="P548" s="7" t="inlineStr">
        <is>
          <t>NÃO PRECISA</t>
        </is>
      </c>
      <c r="Q548" s="9" t="n">
        <v>45741</v>
      </c>
      <c r="R548" s="7" t="inlineStr">
        <is>
          <t>Sem Sinal</t>
        </is>
      </c>
      <c r="S548" s="9" t="n">
        <v>45741</v>
      </c>
      <c r="T548" s="10" t="inlineStr"/>
      <c r="U548" s="7" t="inlineStr">
        <is>
          <t>4648438</t>
        </is>
      </c>
      <c r="V548" s="7" t="inlineStr"/>
      <c r="W548" s="7" t="inlineStr"/>
      <c r="X548" s="7" t="inlineStr">
        <is>
          <t>SEM SINAL</t>
        </is>
      </c>
      <c r="Y548" s="11">
        <f>IF(AND(L548&lt;&gt;"", S548&lt;&gt;""), S548-L548, IF(L548&lt;&gt;"", TODAY()-L548, ""))</f>
        <v/>
      </c>
      <c r="Z548" s="7">
        <f>IF(Y548="", "", IF(Y548&lt;=3, "NO PRAZO", "ATRASADO"))</f>
        <v/>
      </c>
      <c r="AA548" s="8" t="inlineStr">
        <is>
          <t>100% - OK</t>
        </is>
      </c>
    </row>
    <row r="549" ht="20" customHeight="1">
      <c r="A549" s="7" t="inlineStr">
        <is>
          <t>RSCLER0547</t>
        </is>
      </c>
      <c r="B549" s="8" t="inlineStr">
        <is>
          <t>PORTO ALEGRE</t>
        </is>
      </c>
      <c r="C549" s="7" t="inlineStr">
        <is>
          <t>CNTAB</t>
        </is>
      </c>
      <c r="D549" s="7" t="inlineStr">
        <is>
          <t>CNTAG</t>
        </is>
      </c>
      <c r="E549" s="7" t="inlineStr">
        <is>
          <t>RSPLE14</t>
        </is>
      </c>
      <c r="F549" s="8" t="inlineStr">
        <is>
          <t>Condomínio Guapuruvu</t>
        </is>
      </c>
      <c r="G549" s="8" t="inlineStr">
        <is>
          <t>Rua General Lima e Silva, 331</t>
        </is>
      </c>
      <c r="H549" s="7" t="inlineStr">
        <is>
          <t>CNTAB.072.M040</t>
        </is>
      </c>
      <c r="I549" s="8" t="inlineStr">
        <is>
          <t>FOI LANÇADO 572 METROS DE CABO DE 12FO, 2 ABERTURA E FECHAMENTO, 1 CAIXA NOVA, 10 FUSÕES, 1 DERIVAÇÃO E 5 TESTES.</t>
        </is>
      </c>
      <c r="J549" s="8" t="inlineStr">
        <is>
          <t>UBIRATAN</t>
        </is>
      </c>
      <c r="K549" s="8" t="inlineStr">
        <is>
          <t>AUGUSTO</t>
        </is>
      </c>
      <c r="L549" s="9" t="n">
        <v>45733</v>
      </c>
      <c r="M549" s="7" t="inlineStr">
        <is>
          <t>18/0/2025</t>
        </is>
      </c>
      <c r="N549" s="9" t="n">
        <v>45737</v>
      </c>
      <c r="O549" s="9" t="n">
        <v>45736</v>
      </c>
      <c r="P549" s="7" t="inlineStr">
        <is>
          <t>NÃO PRECISA</t>
        </is>
      </c>
      <c r="Q549" s="9" t="n">
        <v>45739</v>
      </c>
      <c r="R549" s="7" t="inlineStr">
        <is>
          <t>Concluído Campo</t>
        </is>
      </c>
      <c r="S549" s="9" t="n">
        <v>45738</v>
      </c>
      <c r="T549" s="10" t="inlineStr"/>
      <c r="U549" s="7" t="inlineStr">
        <is>
          <t>4643339</t>
        </is>
      </c>
      <c r="V549" s="7" t="inlineStr"/>
      <c r="W549" s="7" t="inlineStr"/>
      <c r="X549" s="7" t="inlineStr">
        <is>
          <t>MEDIÇÃO CONCLUÍDA</t>
        </is>
      </c>
      <c r="Y549" s="11">
        <f>IF(AND(L549&lt;&gt;"", S549&lt;&gt;""), S549-L549, IF(L549&lt;&gt;"", TODAY()-L549, ""))</f>
        <v/>
      </c>
      <c r="Z549" s="7">
        <f>IF(Y549="", "", IF(Y549&lt;=3, "NO PRAZO", "ATRASADO"))</f>
        <v/>
      </c>
      <c r="AA549" s="8" t="inlineStr">
        <is>
          <t>100% - OK</t>
        </is>
      </c>
    </row>
    <row r="550" ht="20" customHeight="1">
      <c r="A550" s="7" t="inlineStr">
        <is>
          <t>RSCLER0548</t>
        </is>
      </c>
      <c r="B550" s="8" t="inlineStr">
        <is>
          <t>NOVO HAMBURGO</t>
        </is>
      </c>
      <c r="C550" s="7" t="inlineStr">
        <is>
          <t>CNTAA</t>
        </is>
      </c>
      <c r="D550" s="7" t="inlineStr">
        <is>
          <t>CNTABB</t>
        </is>
      </c>
      <c r="E550" s="7" t="inlineStr">
        <is>
          <t>NHO LO</t>
        </is>
      </c>
      <c r="F550" s="8" t="inlineStr">
        <is>
          <t>RESIDENCIAL ALMAA</t>
        </is>
      </c>
      <c r="G550" s="8" t="inlineStr">
        <is>
          <t>RUA ONZE DE JULHO, 950</t>
        </is>
      </c>
      <c r="H550" s="7" t="inlineStr">
        <is>
          <t>CNTAA.051.M110</t>
        </is>
      </c>
      <c r="I550" s="8" t="inlineStr">
        <is>
          <t>FOI LANÇADO 705 METROS DE CABO DE 12FO, 3 ABERTURA E FECHAMENTO, 12 FUSÕES, 1 DERIVAÇÃO, 1 CX NOVA, 4 TESTES.</t>
        </is>
      </c>
      <c r="J550" s="8" t="inlineStr">
        <is>
          <t>TIAGO FERREIRA</t>
        </is>
      </c>
      <c r="K550" s="8" t="inlineStr">
        <is>
          <t>CESAR LEANDRO</t>
        </is>
      </c>
      <c r="L550" s="9" t="n">
        <v>45733</v>
      </c>
      <c r="M550" s="9" t="n">
        <v>45734</v>
      </c>
      <c r="N550" s="9" t="n">
        <v>45736</v>
      </c>
      <c r="O550" s="9" t="n">
        <v>45737</v>
      </c>
      <c r="P550" s="7" t="inlineStr">
        <is>
          <t>NÃO PRECISA</t>
        </is>
      </c>
      <c r="Q550" s="9" t="n">
        <v>45740</v>
      </c>
      <c r="R550" s="7" t="inlineStr">
        <is>
          <t>Concluído Campo</t>
        </is>
      </c>
      <c r="S550" s="9" t="n">
        <v>45741</v>
      </c>
      <c r="T550" s="10" t="inlineStr"/>
      <c r="U550" s="7" t="inlineStr">
        <is>
          <t>4649812</t>
        </is>
      </c>
      <c r="V550" s="7" t="inlineStr"/>
      <c r="W550" s="7" t="inlineStr"/>
      <c r="X550" s="7" t="inlineStr">
        <is>
          <t>MEDIÇÃO CONCLUÍDA</t>
        </is>
      </c>
      <c r="Y550" s="11">
        <f>IF(AND(L550&lt;&gt;"", S550&lt;&gt;""), S550-L550, IF(L550&lt;&gt;"", TODAY()-L550, ""))</f>
        <v/>
      </c>
      <c r="Z550" s="7">
        <f>IF(Y550="", "", IF(Y550&lt;=3, "NO PRAZO", "ATRASADO"))</f>
        <v/>
      </c>
      <c r="AA550" s="8" t="inlineStr">
        <is>
          <t>100% - OK</t>
        </is>
      </c>
    </row>
    <row r="551" ht="20" customHeight="1">
      <c r="A551" s="7" t="inlineStr">
        <is>
          <t>RSCLER0549</t>
        </is>
      </c>
      <c r="B551" s="8" t="inlineStr">
        <is>
          <t>PORTO ALEGRE</t>
        </is>
      </c>
      <c r="C551" s="7" t="inlineStr">
        <is>
          <t>TRZAB</t>
        </is>
      </c>
      <c r="D551" s="7" t="inlineStr">
        <is>
          <t>TRZANB</t>
        </is>
      </c>
      <c r="E551" s="7" t="inlineStr">
        <is>
          <t>RSPSU22</t>
        </is>
      </c>
      <c r="F551" s="8" t="inlineStr">
        <is>
          <t>CONDOMINIO RESIDENCIAL PORTAL DO GUAIBA</t>
        </is>
      </c>
      <c r="G551" s="8" t="inlineStr">
        <is>
          <t>R. Manoel Leão, 95</t>
        </is>
      </c>
      <c r="H551" s="7" t="inlineStr">
        <is>
          <t>TRZAB.109.M030</t>
        </is>
      </c>
      <c r="I551" s="8" t="inlineStr">
        <is>
          <t>FOI LANÇADO 300 METROS DE CABO DE 12FO, 4 ABERTURA E FECHAMENTO, 9 FUSÕES, 1 CX NOVA, 1 DERIVAÇÃO, 2 TESTES</t>
        </is>
      </c>
      <c r="J551" s="8" t="inlineStr">
        <is>
          <t>AUGUSTO</t>
        </is>
      </c>
      <c r="K551" s="8" t="inlineStr">
        <is>
          <t>AUGUSTO</t>
        </is>
      </c>
      <c r="L551" s="9" t="n">
        <v>45733</v>
      </c>
      <c r="M551" s="9" t="n">
        <v>45735</v>
      </c>
      <c r="N551" s="9" t="n">
        <v>45737</v>
      </c>
      <c r="O551" s="9" t="n">
        <v>45741</v>
      </c>
      <c r="P551" s="7" t="inlineStr">
        <is>
          <t>NÃO PRECISA</t>
        </is>
      </c>
      <c r="Q551" s="9" t="n">
        <v>45742</v>
      </c>
      <c r="R551" s="7" t="inlineStr">
        <is>
          <t>Concluído Campo</t>
        </is>
      </c>
      <c r="S551" s="9" t="n">
        <v>45749</v>
      </c>
      <c r="T551" s="10" t="inlineStr"/>
      <c r="U551" s="7" t="inlineStr">
        <is>
          <t>4719641</t>
        </is>
      </c>
      <c r="V551" s="7" t="inlineStr"/>
      <c r="W551" s="7" t="inlineStr"/>
      <c r="X551" s="7" t="inlineStr">
        <is>
          <t>MEDIÇÃO CONCLUÍDA</t>
        </is>
      </c>
      <c r="Y551" s="11">
        <f>IF(AND(L551&lt;&gt;"", S551&lt;&gt;""), S551-L551, IF(L551&lt;&gt;"", TODAY()-L551, ""))</f>
        <v/>
      </c>
      <c r="Z551" s="7">
        <f>IF(Y551="", "", IF(Y551&lt;=3, "NO PRAZO", "ATRASADO"))</f>
        <v/>
      </c>
      <c r="AA551" s="8" t="inlineStr">
        <is>
          <t>100% - OK</t>
        </is>
      </c>
    </row>
    <row r="552" ht="20" customHeight="1">
      <c r="A552" s="7" t="inlineStr">
        <is>
          <t>RSCLER0550</t>
        </is>
      </c>
      <c r="B552" s="8" t="inlineStr">
        <is>
          <t>PORTO ALEGRE</t>
        </is>
      </c>
      <c r="C552" s="7" t="inlineStr">
        <is>
          <t>TRZAA</t>
        </is>
      </c>
      <c r="D552" s="7" t="inlineStr">
        <is>
          <t>TRZAJB</t>
        </is>
      </c>
      <c r="E552" s="7" t="inlineStr">
        <is>
          <t>RSPSU11</t>
        </is>
      </c>
      <c r="F552" s="8" t="inlineStr">
        <is>
          <t>Casa Assunção</t>
        </is>
      </c>
      <c r="G552" s="8" t="inlineStr">
        <is>
          <t>Av. Copacabana, 182</t>
        </is>
      </c>
      <c r="H552" s="7" t="inlineStr">
        <is>
          <t>TRZAA.101.M040.</t>
        </is>
      </c>
      <c r="I552" s="8" t="inlineStr">
        <is>
          <t>3 ABERTURA E FECHAMENTO, 2 FUSÕES, 1 TESTE</t>
        </is>
      </c>
      <c r="J552" s="8" t="inlineStr"/>
      <c r="K552" s="8" t="inlineStr">
        <is>
          <t>AUGUSTO</t>
        </is>
      </c>
      <c r="L552" s="9" t="n">
        <v>45733</v>
      </c>
      <c r="M552" s="9" t="n">
        <v>45735</v>
      </c>
      <c r="N552" s="9" t="n">
        <v>45737</v>
      </c>
      <c r="O552" s="9" t="n">
        <v>45738</v>
      </c>
      <c r="P552" s="7" t="inlineStr">
        <is>
          <t>NÃO PRECISA</t>
        </is>
      </c>
      <c r="Q552" s="9" t="n">
        <v>45740</v>
      </c>
      <c r="R552" s="7" t="inlineStr">
        <is>
          <t>Concluído Campo</t>
        </is>
      </c>
      <c r="S552" s="9" t="n">
        <v>45738</v>
      </c>
      <c r="T552" s="10" t="inlineStr"/>
      <c r="U552" s="7" t="inlineStr">
        <is>
          <t>4643092</t>
        </is>
      </c>
      <c r="V552" s="7" t="inlineStr"/>
      <c r="W552" s="7" t="inlineStr"/>
      <c r="X552" s="7" t="inlineStr">
        <is>
          <t>MEDIÇÃO CONCLUÍDA</t>
        </is>
      </c>
      <c r="Y552" s="11">
        <f>IF(AND(L552&lt;&gt;"", S552&lt;&gt;""), S552-L552, IF(L552&lt;&gt;"", TODAY()-L552, ""))</f>
        <v/>
      </c>
      <c r="Z552" s="7">
        <f>IF(Y552="", "", IF(Y552&lt;=3, "NO PRAZO", "ATRASADO"))</f>
        <v/>
      </c>
      <c r="AA552" s="8" t="inlineStr">
        <is>
          <t>100% - OK</t>
        </is>
      </c>
    </row>
    <row r="553" ht="20" customHeight="1">
      <c r="A553" s="7" t="inlineStr">
        <is>
          <t>RSCLER0551</t>
        </is>
      </c>
      <c r="B553" s="8" t="inlineStr">
        <is>
          <t>PORTO ALEGRE</t>
        </is>
      </c>
      <c r="C553" s="7" t="inlineStr">
        <is>
          <t>RBRAA</t>
        </is>
      </c>
      <c r="D553" s="7" t="inlineStr">
        <is>
          <t>RBRAO</t>
        </is>
      </c>
      <c r="E553" s="7" t="inlineStr">
        <is>
          <t>RSPLE08</t>
        </is>
      </c>
      <c r="F553" s="8" t="inlineStr">
        <is>
          <t>Condomínio Edifício Ilton</t>
        </is>
      </c>
      <c r="G553" s="8" t="inlineStr">
        <is>
          <t>Av Lucas de Oliveira, 1609</t>
        </is>
      </c>
      <c r="H553" s="7" t="inlineStr">
        <is>
          <t>RBRAA.121.M030.</t>
        </is>
      </c>
      <c r="I553" s="8" t="inlineStr">
        <is>
          <t>COBRAR COM A OS RSCLER0543</t>
        </is>
      </c>
      <c r="J553" s="8" t="inlineStr"/>
      <c r="K553" s="8" t="inlineStr">
        <is>
          <t>AUGUSTO</t>
        </is>
      </c>
      <c r="L553" s="9" t="n">
        <v>45733</v>
      </c>
      <c r="M553" s="9" t="n">
        <v>45736</v>
      </c>
      <c r="N553" s="9" t="n">
        <v>45736</v>
      </c>
      <c r="O553" s="9" t="n">
        <v>45732</v>
      </c>
      <c r="P553" s="7" t="inlineStr">
        <is>
          <t>NÃO PRECISA</t>
        </is>
      </c>
      <c r="Q553" s="9" t="n">
        <v>45741</v>
      </c>
      <c r="R553" s="7" t="inlineStr">
        <is>
          <t>Concluído Campo</t>
        </is>
      </c>
      <c r="S553" s="9" t="n">
        <v>45741</v>
      </c>
      <c r="T553" s="10" t="inlineStr"/>
      <c r="U553" s="7" t="inlineStr"/>
      <c r="V553" s="7" t="inlineStr"/>
      <c r="W553" s="7" t="inlineStr"/>
      <c r="X553" s="7" t="inlineStr">
        <is>
          <t>MEDIÇÃO CONCLUÍDA</t>
        </is>
      </c>
      <c r="Y553" s="11">
        <f>IF(AND(L553&lt;&gt;"", S553&lt;&gt;""), S553-L553, IF(L553&lt;&gt;"", TODAY()-L553, ""))</f>
        <v/>
      </c>
      <c r="Z553" s="7">
        <f>IF(Y553="", "", IF(Y553&lt;=3, "NO PRAZO", "ATRASADO"))</f>
        <v/>
      </c>
      <c r="AA553" s="8" t="inlineStr">
        <is>
          <t>100% - OK</t>
        </is>
      </c>
    </row>
    <row r="554" ht="20" customHeight="1">
      <c r="A554" s="7" t="inlineStr">
        <is>
          <t>RSCLER0552</t>
        </is>
      </c>
      <c r="B554" s="8" t="inlineStr">
        <is>
          <t>PORTO ALEGRE</t>
        </is>
      </c>
      <c r="C554" s="7" t="inlineStr">
        <is>
          <t>RBRAA</t>
        </is>
      </c>
      <c r="D554" s="7" t="inlineStr">
        <is>
          <t>RBRAA</t>
        </is>
      </c>
      <c r="E554" s="7" t="inlineStr">
        <is>
          <t>RSPLE08</t>
        </is>
      </c>
      <c r="F554" s="8" t="inlineStr">
        <is>
          <t>Cond. Edf. Res. Marais</t>
        </is>
      </c>
      <c r="G554" s="8" t="inlineStr">
        <is>
          <t>Rua Coronel Corte Real, 257</t>
        </is>
      </c>
      <c r="H554" s="7" t="inlineStr">
        <is>
          <t>RBRAA.094.M050</t>
        </is>
      </c>
      <c r="I554" s="8" t="inlineStr">
        <is>
          <t>FOI LANÇADO 160 METROS DE CABO DE 12FO, 1 CX NOVA, 1 DERIVAÇÃO, 8 ABERTURA E FECHAMENTO, 15 FUSÕES, 4 TESTES</t>
        </is>
      </c>
      <c r="J554" s="8" t="inlineStr">
        <is>
          <t>CATIA</t>
        </is>
      </c>
      <c r="K554" s="8" t="inlineStr">
        <is>
          <t>CATIA</t>
        </is>
      </c>
      <c r="L554" s="9" t="n">
        <v>45735</v>
      </c>
      <c r="M554" s="9" t="n">
        <v>45736</v>
      </c>
      <c r="N554" s="9" t="n">
        <v>45740</v>
      </c>
      <c r="O554" s="9" t="n">
        <v>45749</v>
      </c>
      <c r="P554" s="7" t="inlineStr">
        <is>
          <t>NÃO PRECISA</t>
        </is>
      </c>
      <c r="Q554" s="9" t="n">
        <v>45785</v>
      </c>
      <c r="R554" s="7" t="inlineStr">
        <is>
          <t>Concluído Campo</t>
        </is>
      </c>
      <c r="S554" s="9" t="n">
        <v>45744</v>
      </c>
      <c r="T554" s="10" t="inlineStr"/>
      <c r="U554" s="7" t="inlineStr">
        <is>
          <t>4722296</t>
        </is>
      </c>
      <c r="V554" s="7" t="inlineStr"/>
      <c r="W554" s="7" t="inlineStr"/>
      <c r="X554" s="7" t="inlineStr">
        <is>
          <t>MEDIÇÃO CONCLUÍDA</t>
        </is>
      </c>
      <c r="Y554" s="11">
        <f>IF(AND(L554&lt;&gt;"", S554&lt;&gt;""), S554-L554, IF(L554&lt;&gt;"", TODAY()-L554, ""))</f>
        <v/>
      </c>
      <c r="Z554" s="7">
        <f>IF(Y554="", "", IF(Y554&lt;=3, "NO PRAZO", "ATRASADO"))</f>
        <v/>
      </c>
      <c r="AA554" s="8" t="inlineStr">
        <is>
          <t>100% - OK</t>
        </is>
      </c>
    </row>
    <row r="555" ht="20" customHeight="1">
      <c r="A555" s="7" t="inlineStr">
        <is>
          <t>RSCLER0553</t>
        </is>
      </c>
      <c r="B555" s="8" t="inlineStr">
        <is>
          <t>PORTO ALEGRE</t>
        </is>
      </c>
      <c r="C555" s="7" t="inlineStr">
        <is>
          <t>SPEAA</t>
        </is>
      </c>
      <c r="D555" s="7" t="inlineStr">
        <is>
          <t>SPEAB</t>
        </is>
      </c>
      <c r="E555" s="7" t="inlineStr">
        <is>
          <t>PAE DAM</t>
        </is>
      </c>
      <c r="F555" s="8" t="inlineStr"/>
      <c r="G555" s="8" t="inlineStr">
        <is>
          <t>Rua Açores, 57</t>
        </is>
      </c>
      <c r="H555" s="7" t="inlineStr">
        <is>
          <t>SPEAA.016.M050.</t>
        </is>
      </c>
      <c r="I555" s="8" t="inlineStr">
        <is>
          <t>FOI LANÇADO 600 METROS DE CABO DE 12 FO, 2 ABERTURA E FECHAMENTO, 12 FUSÕES, 1 CX NOVA, 3 TESTES, 1 DERIVAÇÃO.</t>
        </is>
      </c>
      <c r="J555" s="8" t="inlineStr">
        <is>
          <t>AUGUSTO</t>
        </is>
      </c>
      <c r="K555" s="8" t="inlineStr">
        <is>
          <t>AUGUSTO</t>
        </is>
      </c>
      <c r="L555" s="9" t="n">
        <v>45735</v>
      </c>
      <c r="M555" s="9" t="n">
        <v>45736</v>
      </c>
      <c r="N555" s="9" t="n">
        <v>45740</v>
      </c>
      <c r="O555" s="9" t="n">
        <v>45738</v>
      </c>
      <c r="P555" s="7" t="inlineStr">
        <is>
          <t>NÃO PRECISA</t>
        </is>
      </c>
      <c r="Q555" s="9" t="n">
        <v>45739</v>
      </c>
      <c r="R555" s="7" t="inlineStr">
        <is>
          <t>Concluído Campo</t>
        </is>
      </c>
      <c r="S555" s="7" t="inlineStr"/>
      <c r="T555" s="10" t="inlineStr"/>
      <c r="U555" s="7" t="inlineStr"/>
      <c r="V555" s="7" t="inlineStr"/>
      <c r="W555" s="7" t="inlineStr"/>
      <c r="X555" s="7" t="inlineStr">
        <is>
          <t>AG. MEDIÇÃO</t>
        </is>
      </c>
      <c r="Y555" s="11">
        <f>IF(AND(L555&lt;&gt;"", S555&lt;&gt;""), S555-L555, IF(L555&lt;&gt;"", TODAY()-L555, ""))</f>
        <v/>
      </c>
      <c r="Z555" s="7">
        <f>IF(Y555="", "", IF(Y555&lt;=3, "NO PRAZO", "ATRASADO"))</f>
        <v/>
      </c>
      <c r="AA555" s="8" t="inlineStr">
        <is>
          <t>100% - OK</t>
        </is>
      </c>
    </row>
    <row r="556" ht="20" customHeight="1">
      <c r="A556" s="7" t="inlineStr">
        <is>
          <t>RSCLER0554</t>
        </is>
      </c>
      <c r="B556" s="8" t="inlineStr">
        <is>
          <t>MONTENEGRO</t>
        </is>
      </c>
      <c r="C556" s="7" t="inlineStr">
        <is>
          <t>PGO</t>
        </is>
      </c>
      <c r="D556" s="7" t="inlineStr"/>
      <c r="E556" s="7" t="inlineStr">
        <is>
          <t>MGO CEN</t>
        </is>
      </c>
      <c r="F556" s="8" t="inlineStr"/>
      <c r="G556" s="8" t="inlineStr">
        <is>
          <t>RUA JORGE GUILHERME MOOJEN, 358</t>
        </is>
      </c>
      <c r="H556" s="7" t="inlineStr">
        <is>
          <t>PGO.015.M1</t>
        </is>
      </c>
      <c r="I556" s="8" t="inlineStr">
        <is>
          <t>FOI LANÇADO 30 METROS DE CABO DE 12FO, 3 ABERTURA E FECHAMENTO, 9 FUSÕES, 1 CX NOVA, 1 DERIVAÇÃO, 3 TESTES.</t>
        </is>
      </c>
      <c r="J556" s="8" t="inlineStr">
        <is>
          <t>BAIRON</t>
        </is>
      </c>
      <c r="K556" s="8" t="inlineStr">
        <is>
          <t>BAIRON</t>
        </is>
      </c>
      <c r="L556" s="9" t="n">
        <v>45735</v>
      </c>
      <c r="M556" s="9" t="n">
        <v>45737</v>
      </c>
      <c r="N556" s="9" t="n">
        <v>45738</v>
      </c>
      <c r="O556" s="9" t="n">
        <v>45741</v>
      </c>
      <c r="P556" s="7" t="inlineStr">
        <is>
          <t>NÃO PRECISA</t>
        </is>
      </c>
      <c r="Q556" s="9" t="n">
        <v>45741</v>
      </c>
      <c r="R556" s="7" t="inlineStr">
        <is>
          <t>Concluído Campo</t>
        </is>
      </c>
      <c r="S556" s="7" t="inlineStr"/>
      <c r="T556" s="10" t="inlineStr"/>
      <c r="U556" s="7" t="inlineStr"/>
      <c r="V556" s="7" t="inlineStr"/>
      <c r="W556" s="7" t="inlineStr"/>
      <c r="X556" s="7" t="inlineStr">
        <is>
          <t>AG. MEDIÇÃO</t>
        </is>
      </c>
      <c r="Y556" s="11">
        <f>IF(AND(L556&lt;&gt;"", S556&lt;&gt;""), S556-L556, IF(L556&lt;&gt;"", TODAY()-L556, ""))</f>
        <v/>
      </c>
      <c r="Z556" s="7">
        <f>IF(Y556="", "", IF(Y556&lt;=3, "NO PRAZO", "ATRASADO"))</f>
        <v/>
      </c>
      <c r="AA556" s="8" t="inlineStr">
        <is>
          <t>100% - OK</t>
        </is>
      </c>
    </row>
    <row r="557" ht="20" customHeight="1">
      <c r="A557" s="7" t="inlineStr">
        <is>
          <t>RSCLER0555</t>
        </is>
      </c>
      <c r="B557" s="8" t="inlineStr">
        <is>
          <t>PORTO ALEGRE</t>
        </is>
      </c>
      <c r="C557" s="7" t="inlineStr">
        <is>
          <t>CNTAB</t>
        </is>
      </c>
      <c r="D557" s="7" t="inlineStr">
        <is>
          <t>CNTAG</t>
        </is>
      </c>
      <c r="E557" s="7" t="inlineStr">
        <is>
          <t>RSPCE14</t>
        </is>
      </c>
      <c r="F557" s="8" t="inlineStr">
        <is>
          <t>Condomínio Edifício Sender</t>
        </is>
      </c>
      <c r="G557" s="8" t="inlineStr">
        <is>
          <t>Rua José do Patrocínio, 515</t>
        </is>
      </c>
      <c r="H557" s="7" t="inlineStr">
        <is>
          <t>CNTAB.072.M030..</t>
        </is>
      </c>
      <c r="I557" s="8" t="inlineStr">
        <is>
          <t>2 ABERTURA E FECHAMENTO, 3 FUSÕES, 3 TESTES</t>
        </is>
      </c>
      <c r="J557" s="8" t="inlineStr">
        <is>
          <t>AUGUSTO</t>
        </is>
      </c>
      <c r="K557" s="8" t="inlineStr">
        <is>
          <t>AUGUSTO</t>
        </is>
      </c>
      <c r="L557" s="9" t="n">
        <v>45737</v>
      </c>
      <c r="M557" s="9" t="n">
        <v>45740</v>
      </c>
      <c r="N557" s="9" t="n">
        <v>45741</v>
      </c>
      <c r="O557" s="9" t="n">
        <v>45744</v>
      </c>
      <c r="P557" s="7" t="inlineStr">
        <is>
          <t>NÃO PRECISA</t>
        </is>
      </c>
      <c r="Q557" s="9" t="n">
        <v>45785</v>
      </c>
      <c r="R557" s="7" t="inlineStr">
        <is>
          <t>Concluído Campo</t>
        </is>
      </c>
      <c r="S557" s="9" t="n">
        <v>45762</v>
      </c>
      <c r="T557" s="10" t="inlineStr"/>
      <c r="U557" s="7" t="inlineStr">
        <is>
          <t>4722264</t>
        </is>
      </c>
      <c r="V557" s="7" t="inlineStr"/>
      <c r="W557" s="7" t="inlineStr"/>
      <c r="X557" s="7" t="inlineStr">
        <is>
          <t>MEDIÇÃO CONCLUÍDA</t>
        </is>
      </c>
      <c r="Y557" s="11">
        <f>IF(AND(L557&lt;&gt;"", S557&lt;&gt;""), S557-L557, IF(L557&lt;&gt;"", TODAY()-L557, ""))</f>
        <v/>
      </c>
      <c r="Z557" s="7">
        <f>IF(Y557="", "", IF(Y557&lt;=3, "NO PRAZO", "ATRASADO"))</f>
        <v/>
      </c>
      <c r="AA557" s="8" t="inlineStr"/>
    </row>
    <row r="558" ht="20" customHeight="1">
      <c r="A558" s="7" t="inlineStr">
        <is>
          <t>RSCLER0556</t>
        </is>
      </c>
      <c r="B558" s="8" t="inlineStr">
        <is>
          <t>PORTO ALEGRE</t>
        </is>
      </c>
      <c r="C558" s="7" t="inlineStr">
        <is>
          <t>CNTAB</t>
        </is>
      </c>
      <c r="D558" s="7" t="inlineStr">
        <is>
          <t>CNTAG</t>
        </is>
      </c>
      <c r="E558" s="7" t="inlineStr">
        <is>
          <t>RSPCE14</t>
        </is>
      </c>
      <c r="F558" s="8" t="inlineStr">
        <is>
          <t>Parque da Harmonia</t>
        </is>
      </c>
      <c r="G558" s="8" t="inlineStr">
        <is>
          <t>R. Otávio Francisco Caruso da Rocha,333</t>
        </is>
      </c>
      <c r="H558" s="7" t="inlineStr">
        <is>
          <t>CNTAB.079</t>
        </is>
      </c>
      <c r="I558" s="8" t="inlineStr">
        <is>
          <t>VISTORIA</t>
        </is>
      </c>
      <c r="J558" s="8" t="inlineStr"/>
      <c r="K558" s="8" t="inlineStr"/>
      <c r="L558" s="9" t="n">
        <v>45737</v>
      </c>
      <c r="M558" s="7" t="inlineStr"/>
      <c r="N558" s="7" t="inlineStr"/>
      <c r="O558" s="7" t="inlineStr">
        <is>
          <t>CANCELADO</t>
        </is>
      </c>
      <c r="P558" s="7" t="inlineStr">
        <is>
          <t>Não Precisa</t>
        </is>
      </c>
      <c r="Q558" s="7" t="inlineStr"/>
      <c r="R558" s="7" t="inlineStr">
        <is>
          <t>Cancelado</t>
        </is>
      </c>
      <c r="S558" s="9" t="n">
        <v>45751</v>
      </c>
      <c r="T558" s="10" t="inlineStr"/>
      <c r="U558" s="7" t="inlineStr">
        <is>
          <t>4700842</t>
        </is>
      </c>
      <c r="V558" s="7" t="inlineStr"/>
      <c r="W558" s="7" t="inlineStr"/>
      <c r="X558" s="7" t="inlineStr">
        <is>
          <t>CANCELADO</t>
        </is>
      </c>
      <c r="Y558" s="11">
        <f>IF(AND(L558&lt;&gt;"", S558&lt;&gt;""), S558-L558, IF(L558&lt;&gt;"", TODAY()-L558, ""))</f>
        <v/>
      </c>
      <c r="Z558" s="7">
        <f>IF(Y558="", "", IF(Y558&lt;=3, "NO PRAZO", "ATRASADO"))</f>
        <v/>
      </c>
      <c r="AA558" s="8" t="inlineStr"/>
    </row>
    <row r="559" ht="20" customHeight="1">
      <c r="A559" s="7" t="inlineStr">
        <is>
          <t>RSCLER0557</t>
        </is>
      </c>
      <c r="B559" s="8" t="inlineStr">
        <is>
          <t>PORTO ALEGRE</t>
        </is>
      </c>
      <c r="C559" s="7" t="inlineStr">
        <is>
          <t>CTLAA</t>
        </is>
      </c>
      <c r="D559" s="7" t="inlineStr"/>
      <c r="E559" s="7" t="inlineStr">
        <is>
          <t>RSPSU07</t>
        </is>
      </c>
      <c r="F559" s="8" t="inlineStr">
        <is>
          <t>LINK</t>
        </is>
      </c>
      <c r="G559" s="8" t="inlineStr">
        <is>
          <t>BARRA SHOPPING</t>
        </is>
      </c>
      <c r="H559" s="7" t="inlineStr"/>
      <c r="I559" s="8" t="inlineStr">
        <is>
          <t>9 ABERTURA E FECHAMENTO, 21 FUSÕES, 6 TESTES</t>
        </is>
      </c>
      <c r="J559" s="8" t="inlineStr"/>
      <c r="K559" s="8" t="inlineStr">
        <is>
          <t>MAQUENZE / SIDNEI</t>
        </is>
      </c>
      <c r="L559" s="7" t="inlineStr"/>
      <c r="M559" s="7" t="inlineStr"/>
      <c r="N559" s="7" t="inlineStr"/>
      <c r="O559" s="7" t="inlineStr"/>
      <c r="P559" s="7" t="inlineStr">
        <is>
          <t>NÃO PRECISA</t>
        </is>
      </c>
      <c r="Q559" s="9" t="n">
        <v>45741</v>
      </c>
      <c r="R559" s="7" t="inlineStr">
        <is>
          <t>Concluído Campo</t>
        </is>
      </c>
      <c r="S559" s="9" t="n">
        <v>45751</v>
      </c>
      <c r="T559" s="10" t="inlineStr"/>
      <c r="U559" s="7" t="inlineStr">
        <is>
          <t>4677385</t>
        </is>
      </c>
      <c r="V559" s="7" t="inlineStr"/>
      <c r="W559" s="7" t="inlineStr"/>
      <c r="X559" s="7" t="inlineStr">
        <is>
          <t>MEDIÇÃO CONCLUÍDA</t>
        </is>
      </c>
      <c r="Y559" s="11">
        <f>IF(AND(L559&lt;&gt;"", S559&lt;&gt;""), S559-L559, IF(L559&lt;&gt;"", TODAY()-L559, ""))</f>
        <v/>
      </c>
      <c r="Z559" s="7">
        <f>IF(Y559="", "", IF(Y559&lt;=3, "NO PRAZO", "ATRASADO"))</f>
        <v/>
      </c>
      <c r="AA559" s="8" t="inlineStr"/>
    </row>
    <row r="560" ht="20" customHeight="1">
      <c r="A560" s="7" t="inlineStr">
        <is>
          <t>RSCLER0558</t>
        </is>
      </c>
      <c r="B560" s="8" t="inlineStr">
        <is>
          <t>PORTO ALEGRE</t>
        </is>
      </c>
      <c r="C560" s="7" t="inlineStr">
        <is>
          <t>PDRAA</t>
        </is>
      </c>
      <c r="D560" s="7" t="inlineStr">
        <is>
          <t>VIPAF</t>
        </is>
      </c>
      <c r="E560" s="7" t="inlineStr">
        <is>
          <t>RSPNO17</t>
        </is>
      </c>
      <c r="F560" s="8" t="inlineStr"/>
      <c r="G560" s="8" t="inlineStr">
        <is>
          <t>R. Roque Calage 774 - 812</t>
        </is>
      </c>
      <c r="H560" s="7" t="inlineStr">
        <is>
          <t>PDRAA.125.M040.</t>
        </is>
      </c>
      <c r="I560" s="8" t="inlineStr">
        <is>
          <t>FOI LANÇADO 845 METROS DE CABO DE 12FO, 6 ABERTURA E FECHAMENTO, 3 FUSÕES, 1 TESTE</t>
        </is>
      </c>
      <c r="J560" s="8" t="inlineStr">
        <is>
          <t>TIAGO FERREIRA</t>
        </is>
      </c>
      <c r="K560" s="8" t="inlineStr">
        <is>
          <t>ANDERSON</t>
        </is>
      </c>
      <c r="L560" s="9" t="n">
        <v>45741</v>
      </c>
      <c r="M560" s="9" t="n">
        <v>45743</v>
      </c>
      <c r="N560" s="9" t="n">
        <v>45744</v>
      </c>
      <c r="O560" s="9" t="n">
        <v>45785</v>
      </c>
      <c r="P560" s="7" t="inlineStr">
        <is>
          <t>NÃO PRECISA</t>
        </is>
      </c>
      <c r="Q560" s="9" t="n">
        <v>45785</v>
      </c>
      <c r="R560" s="7" t="inlineStr">
        <is>
          <t>Concluído Campo</t>
        </is>
      </c>
      <c r="S560" s="9" t="n">
        <v>45743</v>
      </c>
      <c r="T560" s="10" t="inlineStr"/>
      <c r="U560" s="7" t="inlineStr">
        <is>
          <t>4677187</t>
        </is>
      </c>
      <c r="V560" s="7" t="inlineStr"/>
      <c r="W560" s="7" t="inlineStr"/>
      <c r="X560" s="7" t="inlineStr">
        <is>
          <t>MEDIÇÃO CONCLUÍDA</t>
        </is>
      </c>
      <c r="Y560" s="11">
        <f>IF(AND(L560&lt;&gt;"", S560&lt;&gt;""), S560-L560, IF(L560&lt;&gt;"", TODAY()-L560, ""))</f>
        <v/>
      </c>
      <c r="Z560" s="7">
        <f>IF(Y560="", "", IF(Y560&lt;=3, "NO PRAZO", "ATRASADO"))</f>
        <v/>
      </c>
      <c r="AA560" s="8" t="inlineStr"/>
    </row>
    <row r="561" ht="20" customHeight="1">
      <c r="A561" s="7" t="inlineStr">
        <is>
          <t>RSCLER0559</t>
        </is>
      </c>
      <c r="B561" s="8" t="inlineStr">
        <is>
          <t>PORTO ALEGRE</t>
        </is>
      </c>
      <c r="C561" s="7" t="inlineStr">
        <is>
          <t>CNTAB</t>
        </is>
      </c>
      <c r="D561" s="7" t="inlineStr">
        <is>
          <t>CNTAG</t>
        </is>
      </c>
      <c r="E561" s="7" t="inlineStr">
        <is>
          <t>RSPCE14</t>
        </is>
      </c>
      <c r="F561" s="8" t="inlineStr"/>
      <c r="G561" s="8" t="inlineStr">
        <is>
          <t>Rua Sarmento Leite 792</t>
        </is>
      </c>
      <c r="H561" s="7" t="inlineStr">
        <is>
          <t>CNTAB.072.M040.</t>
        </is>
      </c>
      <c r="I561" s="8" t="inlineStr">
        <is>
          <t>FOI LANÇADO 1450 METROS DE CABO DE 12FO, 3 ABERTURA E FECHAMENTO, 1 CX NOVA, 2 DERIVAÇÕES, 16 FUSÕES, 4 TESTES</t>
        </is>
      </c>
      <c r="J561" s="8" t="inlineStr">
        <is>
          <t>AFONSO</t>
        </is>
      </c>
      <c r="K561" s="8" t="inlineStr">
        <is>
          <t>CATIA</t>
        </is>
      </c>
      <c r="L561" s="9" t="n">
        <v>45741</v>
      </c>
      <c r="M561" s="9" t="n">
        <v>45742</v>
      </c>
      <c r="N561" s="9" t="n">
        <v>45743</v>
      </c>
      <c r="O561" s="9" t="n">
        <v>45751</v>
      </c>
      <c r="P561" s="7" t="inlineStr">
        <is>
          <t>NÃO PRECISA</t>
        </is>
      </c>
      <c r="Q561" s="9" t="n">
        <v>45785</v>
      </c>
      <c r="R561" s="7" t="inlineStr">
        <is>
          <t>Concluído Campo</t>
        </is>
      </c>
      <c r="S561" s="9" t="n">
        <v>45743</v>
      </c>
      <c r="T561" s="10" t="inlineStr"/>
      <c r="U561" s="7" t="inlineStr">
        <is>
          <t>4722332</t>
        </is>
      </c>
      <c r="V561" s="7" t="inlineStr"/>
      <c r="W561" s="7" t="inlineStr"/>
      <c r="X561" s="7" t="inlineStr">
        <is>
          <t>MEDIÇÃO CONCLUÍDA</t>
        </is>
      </c>
      <c r="Y561" s="11">
        <f>IF(AND(L561&lt;&gt;"", S561&lt;&gt;""), S561-L561, IF(L561&lt;&gt;"", TODAY()-L561, ""))</f>
        <v/>
      </c>
      <c r="Z561" s="7">
        <f>IF(Y561="", "", IF(Y561&lt;=3, "NO PRAZO", "ATRASADO"))</f>
        <v/>
      </c>
      <c r="AA561" s="8" t="inlineStr">
        <is>
          <t>100% - OK</t>
        </is>
      </c>
    </row>
    <row r="562" ht="20" customHeight="1">
      <c r="A562" s="7" t="inlineStr">
        <is>
          <t>RSCLER0560</t>
        </is>
      </c>
      <c r="B562" s="8" t="inlineStr">
        <is>
          <t>PORTO ALEGRE</t>
        </is>
      </c>
      <c r="C562" s="7" t="inlineStr">
        <is>
          <t>BFMAA</t>
        </is>
      </c>
      <c r="D562" s="7" t="inlineStr">
        <is>
          <t>FLOAM</t>
        </is>
      </c>
      <c r="E562" s="7" t="inlineStr">
        <is>
          <t>PAE IND</t>
        </is>
      </c>
      <c r="F562" s="8" t="inlineStr">
        <is>
          <t>Edifício Edelweiss</t>
        </is>
      </c>
      <c r="G562" s="8" t="inlineStr">
        <is>
          <t>Av. Cristóvão Colombo, 508</t>
        </is>
      </c>
      <c r="H562" s="7" t="inlineStr">
        <is>
          <t>BFMAA.241.M070</t>
        </is>
      </c>
      <c r="I562" s="8" t="inlineStr">
        <is>
          <t>FOI LANÇADO 565 METROS CABO DE 12FO, 5 ABERTURA E FECHAMENTO, 1 CX NOVA, 1 DERIVAÇÃO, 6 FUSÕES, 1 TESTE</t>
        </is>
      </c>
      <c r="J562" s="8" t="inlineStr">
        <is>
          <t>TIAGO FERREIRA</t>
        </is>
      </c>
      <c r="K562" s="8" t="inlineStr">
        <is>
          <t>ANDERSON</t>
        </is>
      </c>
      <c r="L562" s="9" t="n">
        <v>45741</v>
      </c>
      <c r="M562" s="9" t="n">
        <v>45743</v>
      </c>
      <c r="N562" s="9" t="n">
        <v>45744</v>
      </c>
      <c r="O562" s="9" t="n">
        <v>45751</v>
      </c>
      <c r="P562" s="7" t="inlineStr">
        <is>
          <t>NÃO PRECISA</t>
        </is>
      </c>
      <c r="Q562" s="9" t="n">
        <v>45785</v>
      </c>
      <c r="R562" s="7" t="inlineStr">
        <is>
          <t>Concluído Campo</t>
        </is>
      </c>
      <c r="S562" s="9" t="n">
        <v>45751</v>
      </c>
      <c r="T562" s="10" t="inlineStr"/>
      <c r="U562" s="7" t="inlineStr">
        <is>
          <t>4700719</t>
        </is>
      </c>
      <c r="V562" s="7" t="inlineStr"/>
      <c r="W562" s="7" t="inlineStr"/>
      <c r="X562" s="7" t="inlineStr">
        <is>
          <t>MEDIÇÃO CONCLUÍDA</t>
        </is>
      </c>
      <c r="Y562" s="11">
        <f>IF(AND(L562&lt;&gt;"", S562&lt;&gt;""), S562-L562, IF(L562&lt;&gt;"", TODAY()-L562, ""))</f>
        <v/>
      </c>
      <c r="Z562" s="7">
        <f>IF(Y562="", "", IF(Y562&lt;=3, "NO PRAZO", "ATRASADO"))</f>
        <v/>
      </c>
      <c r="AA562" s="8" t="inlineStr">
        <is>
          <t>100% - OK</t>
        </is>
      </c>
    </row>
    <row r="563" ht="20" customHeight="1">
      <c r="A563" s="7" t="inlineStr">
        <is>
          <t>RSCLER0561</t>
        </is>
      </c>
      <c r="B563" s="8" t="inlineStr">
        <is>
          <t>PORTO ALEGRE</t>
        </is>
      </c>
      <c r="C563" s="7" t="inlineStr">
        <is>
          <t>SANAB</t>
        </is>
      </c>
      <c r="D563" s="7" t="inlineStr">
        <is>
          <t>SANAH</t>
        </is>
      </c>
      <c r="E563" s="7" t="inlineStr">
        <is>
          <t>RSPCE27</t>
        </is>
      </c>
      <c r="F563" s="8" t="inlineStr">
        <is>
          <t>Ed. Vincent Van Gogh</t>
        </is>
      </c>
      <c r="G563" s="8" t="inlineStr">
        <is>
          <t>R. Vicente da Fontoura, 909</t>
        </is>
      </c>
      <c r="H563" s="7" t="inlineStr">
        <is>
          <t>SANAB.062.M090</t>
        </is>
      </c>
      <c r="I563" s="8" t="inlineStr">
        <is>
          <t>4 ABERTURA E FECHAMENTO, 10 FUSÕES, 5 TESTES</t>
        </is>
      </c>
      <c r="J563" s="8" t="inlineStr"/>
      <c r="K563" s="8" t="inlineStr">
        <is>
          <t>ALANO / AUGUSTO</t>
        </is>
      </c>
      <c r="L563" s="9" t="n">
        <v>45741</v>
      </c>
      <c r="M563" s="9" t="n">
        <v>45742</v>
      </c>
      <c r="N563" s="9" t="n">
        <v>45743</v>
      </c>
      <c r="O563" s="9" t="n">
        <v>45743</v>
      </c>
      <c r="P563" s="7" t="inlineStr">
        <is>
          <t>NÃO PRECISA</t>
        </is>
      </c>
      <c r="Q563" s="9" t="n">
        <v>45785</v>
      </c>
      <c r="R563" s="7" t="inlineStr">
        <is>
          <t>Concluído Campo</t>
        </is>
      </c>
      <c r="S563" s="9" t="n">
        <v>45773</v>
      </c>
      <c r="T563" s="10" t="inlineStr"/>
      <c r="U563" s="7" t="inlineStr">
        <is>
          <t>4730410</t>
        </is>
      </c>
      <c r="V563" s="7" t="inlineStr"/>
      <c r="W563" s="7" t="inlineStr"/>
      <c r="X563" s="7" t="inlineStr">
        <is>
          <t>MEDIÇÃO CONCLUÍDA</t>
        </is>
      </c>
      <c r="Y563" s="11">
        <f>IF(AND(L563&lt;&gt;"", S563&lt;&gt;""), S563-L563, IF(L563&lt;&gt;"", TODAY()-L563, ""))</f>
        <v/>
      </c>
      <c r="Z563" s="7">
        <f>IF(Y563="", "", IF(Y563&lt;=3, "NO PRAZO", "ATRASADO"))</f>
        <v/>
      </c>
      <c r="AA563" s="8" t="inlineStr">
        <is>
          <t>100% - OK</t>
        </is>
      </c>
    </row>
    <row r="564" ht="20" customHeight="1">
      <c r="A564" s="7" t="inlineStr">
        <is>
          <t>RSCLER0562</t>
        </is>
      </c>
      <c r="B564" s="8" t="inlineStr">
        <is>
          <t>PORTO ALEGRE</t>
        </is>
      </c>
      <c r="C564" s="7" t="inlineStr">
        <is>
          <t>TRZAA</t>
        </is>
      </c>
      <c r="D564" s="7" t="inlineStr">
        <is>
          <t>TRZABA</t>
        </is>
      </c>
      <c r="E564" s="7" t="inlineStr">
        <is>
          <t>RSPSU11</t>
        </is>
      </c>
      <c r="F564" s="8" t="inlineStr">
        <is>
          <t>Condomínio Edifício Victória Garden</t>
        </is>
      </c>
      <c r="G564" s="8" t="inlineStr">
        <is>
          <t>Rua Mário Totta, 506</t>
        </is>
      </c>
      <c r="H564" s="7" t="inlineStr">
        <is>
          <t>TRZAA.092.M010</t>
        </is>
      </c>
      <c r="I564" s="8" t="inlineStr">
        <is>
          <t>2 ABERTURA E FECHAMENTO, 4 FUSÕES, 4 TESTES</t>
        </is>
      </c>
      <c r="J564" s="8" t="inlineStr"/>
      <c r="K564" s="8" t="inlineStr">
        <is>
          <t>AUGUSTO</t>
        </is>
      </c>
      <c r="L564" s="9" t="n">
        <v>45743</v>
      </c>
      <c r="M564" s="9" t="n">
        <v>45743</v>
      </c>
      <c r="N564" s="9" t="n">
        <v>45744</v>
      </c>
      <c r="O564" s="9" t="n">
        <v>45743</v>
      </c>
      <c r="P564" s="7" t="inlineStr">
        <is>
          <t>NÃO PRECISA</t>
        </is>
      </c>
      <c r="Q564" s="9" t="n">
        <v>45785</v>
      </c>
      <c r="R564" s="7" t="inlineStr">
        <is>
          <t>Concluído Campo</t>
        </is>
      </c>
      <c r="S564" s="9" t="n">
        <v>45773</v>
      </c>
      <c r="T564" s="10" t="inlineStr"/>
      <c r="U564" s="7" t="inlineStr">
        <is>
          <t>4730428</t>
        </is>
      </c>
      <c r="V564" s="7" t="inlineStr"/>
      <c r="W564" s="7" t="inlineStr"/>
      <c r="X564" s="7" t="inlineStr">
        <is>
          <t>MEDIÇÃO CONCLUÍDA</t>
        </is>
      </c>
      <c r="Y564" s="11">
        <f>IF(AND(L564&lt;&gt;"", S564&lt;&gt;""), S564-L564, IF(L564&lt;&gt;"", TODAY()-L564, ""))</f>
        <v/>
      </c>
      <c r="Z564" s="7">
        <f>IF(Y564="", "", IF(Y564&lt;=3, "NO PRAZO", "ATRASADO"))</f>
        <v/>
      </c>
      <c r="AA564" s="8" t="inlineStr">
        <is>
          <t>100% - OK</t>
        </is>
      </c>
    </row>
    <row r="565" ht="20" customHeight="1">
      <c r="A565" s="7" t="inlineStr">
        <is>
          <t>RSCLER0563</t>
        </is>
      </c>
      <c r="B565" s="8" t="inlineStr">
        <is>
          <t>PORTO ALEGRE</t>
        </is>
      </c>
      <c r="C565" s="7" t="inlineStr">
        <is>
          <t>CNTAB</t>
        </is>
      </c>
      <c r="D565" s="7" t="inlineStr">
        <is>
          <t>CNTAG</t>
        </is>
      </c>
      <c r="E565" s="7" t="inlineStr">
        <is>
          <t>RSPCE14</t>
        </is>
      </c>
      <c r="F565" s="8" t="inlineStr">
        <is>
          <t>Condomínio Vila Morena</t>
        </is>
      </c>
      <c r="G565" s="8" t="inlineStr">
        <is>
          <t>Rua Sarmento Leite, 763</t>
        </is>
      </c>
      <c r="H565" s="7" t="inlineStr">
        <is>
          <t>CNTAB.072.M040..</t>
        </is>
      </c>
      <c r="I565" s="8" t="inlineStr">
        <is>
          <t>4 ABERTURA E FECHAMENTO, 3 FUSÕES, 1 TESTE</t>
        </is>
      </c>
      <c r="J565" s="8" t="inlineStr"/>
      <c r="K565" s="8" t="inlineStr">
        <is>
          <t>CATIA</t>
        </is>
      </c>
      <c r="L565" s="9" t="n">
        <v>45743</v>
      </c>
      <c r="M565" s="9" t="n">
        <v>45744</v>
      </c>
      <c r="N565" s="9" t="n">
        <v>45745</v>
      </c>
      <c r="O565" s="9" t="n">
        <v>45751</v>
      </c>
      <c r="P565" s="7" t="inlineStr">
        <is>
          <t>NÃO PRECISA</t>
        </is>
      </c>
      <c r="Q565" s="9" t="n">
        <v>45785</v>
      </c>
      <c r="R565" s="7" t="inlineStr">
        <is>
          <t>Concluído Campo</t>
        </is>
      </c>
      <c r="S565" s="9" t="n">
        <v>45773</v>
      </c>
      <c r="T565" s="10" t="inlineStr"/>
      <c r="U565" s="7" t="inlineStr">
        <is>
          <t>4730591</t>
        </is>
      </c>
      <c r="V565" s="7" t="inlineStr"/>
      <c r="W565" s="7" t="inlineStr"/>
      <c r="X565" s="7" t="inlineStr">
        <is>
          <t>MEDIÇÃO CONCLUÍDA</t>
        </is>
      </c>
      <c r="Y565" s="11">
        <f>IF(AND(L565&lt;&gt;"", S565&lt;&gt;""), S565-L565, IF(L565&lt;&gt;"", TODAY()-L565, ""))</f>
        <v/>
      </c>
      <c r="Z565" s="7">
        <f>IF(Y565="", "", IF(Y565&lt;=3, "NO PRAZO", "ATRASADO"))</f>
        <v/>
      </c>
      <c r="AA565" s="8" t="inlineStr">
        <is>
          <t>100% - OK</t>
        </is>
      </c>
    </row>
    <row r="566" ht="20" customHeight="1">
      <c r="A566" s="7" t="inlineStr">
        <is>
          <t>RSCLER0564</t>
        </is>
      </c>
      <c r="B566" s="8" t="inlineStr">
        <is>
          <t>PORTO ALEGRE</t>
        </is>
      </c>
      <c r="C566" s="7" t="inlineStr">
        <is>
          <t>CNTAB</t>
        </is>
      </c>
      <c r="D566" s="7" t="inlineStr">
        <is>
          <t>CNTAE</t>
        </is>
      </c>
      <c r="E566" s="7" t="inlineStr">
        <is>
          <t>PAE MF</t>
        </is>
      </c>
      <c r="F566" s="8" t="inlineStr">
        <is>
          <t>Condomínio Studio Cb</t>
        </is>
      </c>
      <c r="G566" s="8" t="inlineStr">
        <is>
          <t>Av. Loureiro da Silva, 1835</t>
        </is>
      </c>
      <c r="H566" s="7" t="inlineStr">
        <is>
          <t>CNTAB.173.M030</t>
        </is>
      </c>
      <c r="I566" s="8" t="inlineStr">
        <is>
          <t>FOI LANÇADO 820 METROS DE CABO DE 24FO, 1 ABERTURA E FECHAMENTO, 2 CX NOVA, 4 FUSÕES, 1 DERIVAÇÃO, 1 TESTE</t>
        </is>
      </c>
      <c r="J566" s="8" t="inlineStr"/>
      <c r="K566" s="8" t="inlineStr">
        <is>
          <t>AUGUSTO</t>
        </is>
      </c>
      <c r="L566" s="9" t="n">
        <v>45743</v>
      </c>
      <c r="M566" s="9" t="n">
        <v>45762</v>
      </c>
      <c r="N566" s="7" t="inlineStr"/>
      <c r="O566" s="9" t="n">
        <v>45773</v>
      </c>
      <c r="P566" s="7" t="inlineStr">
        <is>
          <t>NÃO PRECISA</t>
        </is>
      </c>
      <c r="Q566" s="9" t="n">
        <v>45785</v>
      </c>
      <c r="R566" s="7" t="inlineStr">
        <is>
          <t>Concluído Campo</t>
        </is>
      </c>
      <c r="S566" s="9" t="n">
        <v>45751</v>
      </c>
      <c r="T566" s="10" t="inlineStr"/>
      <c r="U566" s="7" t="inlineStr">
        <is>
          <t>4700898</t>
        </is>
      </c>
      <c r="V566" s="7" t="inlineStr"/>
      <c r="W566" s="7" t="inlineStr"/>
      <c r="X566" s="7" t="inlineStr">
        <is>
          <t>MEDIÇÃO CONCLUÍDA</t>
        </is>
      </c>
      <c r="Y566" s="11">
        <f>IF(AND(L566&lt;&gt;"", S566&lt;&gt;""), S566-L566, IF(L566&lt;&gt;"", TODAY()-L566, ""))</f>
        <v/>
      </c>
      <c r="Z566" s="7">
        <f>IF(Y566="", "", IF(Y566&lt;=3, "NO PRAZO", "ATRASADO"))</f>
        <v/>
      </c>
      <c r="AA566" s="8" t="inlineStr"/>
    </row>
    <row r="567" ht="20" customHeight="1">
      <c r="A567" s="7" t="inlineStr">
        <is>
          <t>RSCLER0565</t>
        </is>
      </c>
      <c r="B567" s="8" t="inlineStr">
        <is>
          <t>PORTO ALEGRE</t>
        </is>
      </c>
      <c r="C567" s="7" t="inlineStr">
        <is>
          <t>CNTAB</t>
        </is>
      </c>
      <c r="D567" s="7" t="inlineStr">
        <is>
          <t>CNTAE</t>
        </is>
      </c>
      <c r="E567" s="7" t="inlineStr">
        <is>
          <t>PAE MF</t>
        </is>
      </c>
      <c r="F567" s="8" t="inlineStr">
        <is>
          <t>Condomínio Cond Edif Vina Del Mar</t>
        </is>
      </c>
      <c r="G567" s="8" t="inlineStr">
        <is>
          <t>Av. João Pessoa, 95</t>
        </is>
      </c>
      <c r="H567" s="7" t="inlineStr">
        <is>
          <t>CNTAB.173.M040</t>
        </is>
      </c>
      <c r="I567" s="8" t="inlineStr">
        <is>
          <t>FOI LANÇADO 450 METROS DE CABO DE 12FO, 2 ABERTURA E FECHAMENTO, 1 DERIVAÇÃO, 1 CX NOVA, 2 FUSÕES, 1 TESTE</t>
        </is>
      </c>
      <c r="J567" s="8" t="inlineStr"/>
      <c r="K567" s="8" t="inlineStr">
        <is>
          <t>AUGUSTO</t>
        </is>
      </c>
      <c r="L567" s="9" t="n">
        <v>45743</v>
      </c>
      <c r="M567" s="9" t="n">
        <v>45762</v>
      </c>
      <c r="N567" s="7" t="inlineStr"/>
      <c r="O567" s="9" t="n">
        <v>45773</v>
      </c>
      <c r="P567" s="7" t="inlineStr">
        <is>
          <t>NÃO PRECISA</t>
        </is>
      </c>
      <c r="Q567" s="9" t="n">
        <v>45785</v>
      </c>
      <c r="R567" s="7" t="inlineStr">
        <is>
          <t>Concluído Campo</t>
        </is>
      </c>
      <c r="S567" s="7" t="inlineStr"/>
      <c r="T567" s="10" t="inlineStr"/>
      <c r="U567" s="7" t="inlineStr"/>
      <c r="V567" s="7" t="inlineStr"/>
      <c r="W567" s="7" t="inlineStr"/>
      <c r="X567" s="7" t="inlineStr">
        <is>
          <t>AG. MEDIÇÃO</t>
        </is>
      </c>
      <c r="Y567" s="11">
        <f>IF(AND(L567&lt;&gt;"", S567&lt;&gt;""), S567-L567, IF(L567&lt;&gt;"", TODAY()-L567, ""))</f>
        <v/>
      </c>
      <c r="Z567" s="7">
        <f>IF(Y567="", "", IF(Y567&lt;=3, "NO PRAZO", "ATRASADO"))</f>
        <v/>
      </c>
      <c r="AA567" s="8" t="inlineStr"/>
    </row>
    <row r="568" ht="20" customHeight="1">
      <c r="A568" s="7" t="inlineStr">
        <is>
          <t>RSCLER0566</t>
        </is>
      </c>
      <c r="B568" s="8" t="inlineStr">
        <is>
          <t>PORTO ALEGRE</t>
        </is>
      </c>
      <c r="C568" s="7" t="inlineStr">
        <is>
          <t>CNTAB</t>
        </is>
      </c>
      <c r="D568" s="7" t="inlineStr">
        <is>
          <t>CNTAE</t>
        </is>
      </c>
      <c r="E568" s="7" t="inlineStr">
        <is>
          <t>PAE MF</t>
        </is>
      </c>
      <c r="F568" s="8" t="inlineStr">
        <is>
          <t>Condomínio Edifício Jequitiba</t>
        </is>
      </c>
      <c r="G568" s="8" t="inlineStr">
        <is>
          <t>Av. Des. André da Rocha, 20</t>
        </is>
      </c>
      <c r="H568" s="7" t="inlineStr">
        <is>
          <t>CNTAB.173.M030.</t>
        </is>
      </c>
      <c r="I568" s="8" t="inlineStr">
        <is>
          <t>2 ABERTURA ENFECHAMENTO, 2 FUSÕES, 1 TESTE</t>
        </is>
      </c>
      <c r="J568" s="8" t="inlineStr"/>
      <c r="K568" s="8" t="inlineStr">
        <is>
          <t>AUGUSTO</t>
        </is>
      </c>
      <c r="L568" s="9" t="n">
        <v>45743</v>
      </c>
      <c r="M568" s="9" t="n">
        <v>45762</v>
      </c>
      <c r="N568" s="7" t="inlineStr"/>
      <c r="O568" s="9" t="n">
        <v>45773</v>
      </c>
      <c r="P568" s="7" t="inlineStr">
        <is>
          <t>NÃO PRECISA</t>
        </is>
      </c>
      <c r="Q568" s="9" t="n">
        <v>45785</v>
      </c>
      <c r="R568" s="7" t="inlineStr">
        <is>
          <t>Concluído Campo</t>
        </is>
      </c>
      <c r="S568" s="9" t="n">
        <v>45749</v>
      </c>
      <c r="T568" s="10" t="inlineStr"/>
      <c r="U568" s="7" t="inlineStr"/>
      <c r="V568" s="7" t="inlineStr"/>
      <c r="W568" s="7" t="inlineStr"/>
      <c r="X568" s="7" t="inlineStr">
        <is>
          <t>MEDIÇÃO CONCLUÍDA</t>
        </is>
      </c>
      <c r="Y568" s="11">
        <f>IF(AND(L568&lt;&gt;"", S568&lt;&gt;""), S568-L568, IF(L568&lt;&gt;"", TODAY()-L568, ""))</f>
        <v/>
      </c>
      <c r="Z568" s="7">
        <f>IF(Y568="", "", IF(Y568&lt;=3, "NO PRAZO", "ATRASADO"))</f>
        <v/>
      </c>
      <c r="AA568" s="8" t="inlineStr"/>
    </row>
    <row r="569" ht="20" customHeight="1">
      <c r="A569" s="7" t="inlineStr">
        <is>
          <t>RSCLER0567</t>
        </is>
      </c>
      <c r="B569" s="8" t="inlineStr">
        <is>
          <t>PORTO ALEGRE</t>
        </is>
      </c>
      <c r="C569" s="7" t="inlineStr">
        <is>
          <t>CNTAB</t>
        </is>
      </c>
      <c r="D569" s="7" t="inlineStr">
        <is>
          <t>CNTAG</t>
        </is>
      </c>
      <c r="E569" s="7" t="inlineStr">
        <is>
          <t>RSPCE14</t>
        </is>
      </c>
      <c r="F569" s="8" t="inlineStr">
        <is>
          <t>EDIFICIO Sunare</t>
        </is>
      </c>
      <c r="G569" s="8" t="inlineStr">
        <is>
          <t>R. Sofia Veloso, 120</t>
        </is>
      </c>
      <c r="H569" s="7" t="inlineStr">
        <is>
          <t>CNTAB.072.M050</t>
        </is>
      </c>
      <c r="I569" s="8" t="inlineStr">
        <is>
          <t>FOI LANÇADO 280 METROS DE CABO DE 12FO, 4 ABERTURA E FECHAMENTO, 2 CX NOVA, 3 DERIVAÇÃO, 30 FUSÕES, 1 TESTES</t>
        </is>
      </c>
      <c r="J569" s="8" t="inlineStr">
        <is>
          <t>CATIA</t>
        </is>
      </c>
      <c r="K569" s="8" t="inlineStr">
        <is>
          <t>CATIA</t>
        </is>
      </c>
      <c r="L569" s="9" t="n">
        <v>45743</v>
      </c>
      <c r="M569" s="9" t="n">
        <v>45744</v>
      </c>
      <c r="N569" s="9" t="n">
        <v>45745</v>
      </c>
      <c r="O569" s="9" t="n">
        <v>45751</v>
      </c>
      <c r="P569" s="7" t="inlineStr">
        <is>
          <t>NÃO PRECISA</t>
        </is>
      </c>
      <c r="Q569" s="9" t="n">
        <v>45785</v>
      </c>
      <c r="R569" s="7" t="inlineStr">
        <is>
          <t>Concluído Campo</t>
        </is>
      </c>
      <c r="S569" s="9" t="n">
        <v>45775</v>
      </c>
      <c r="T569" s="10" t="inlineStr"/>
      <c r="U569" s="7" t="inlineStr">
        <is>
          <t>4810288</t>
        </is>
      </c>
      <c r="V569" s="7" t="inlineStr"/>
      <c r="W569" s="7" t="inlineStr"/>
      <c r="X569" s="7" t="inlineStr">
        <is>
          <t>MEDIÇÃO CONCLUÍDA</t>
        </is>
      </c>
      <c r="Y569" s="11">
        <f>IF(AND(L569&lt;&gt;"", S569&lt;&gt;""), S569-L569, IF(L569&lt;&gt;"", TODAY()-L569, ""))</f>
        <v/>
      </c>
      <c r="Z569" s="7">
        <f>IF(Y569="", "", IF(Y569&lt;=3, "NO PRAZO", "ATRASADO"))</f>
        <v/>
      </c>
      <c r="AA569" s="8" t="inlineStr">
        <is>
          <t>100% - OK</t>
        </is>
      </c>
    </row>
    <row r="570" ht="20" customHeight="1">
      <c r="A570" s="7" t="inlineStr">
        <is>
          <t>RSCLER0568</t>
        </is>
      </c>
      <c r="B570" s="8" t="inlineStr">
        <is>
          <t>SAPUCAIA DO SUL</t>
        </is>
      </c>
      <c r="C570" s="7" t="inlineStr">
        <is>
          <t>CAMAB</t>
        </is>
      </c>
      <c r="D570" s="7" t="inlineStr"/>
      <c r="E570" s="7" t="inlineStr">
        <is>
          <t>RSSPS02</t>
        </is>
      </c>
      <c r="F570" s="8" t="inlineStr">
        <is>
          <t>Condomínio Residencial Anita Garibaldi</t>
        </is>
      </c>
      <c r="G570" s="8" t="inlineStr">
        <is>
          <t>R AMERICO VESPUCIO - 471</t>
        </is>
      </c>
      <c r="H570" s="7" t="inlineStr">
        <is>
          <t>CAMAB.401.M010</t>
        </is>
      </c>
      <c r="I570" s="8" t="inlineStr">
        <is>
          <t>FOI LANÇADO 3640 METROS DE CABO DE 24FO, 4 ABERTURA E FECHAMENTO, 3 CX NOVA, 1 DERIVAÇÃO, 18 FUSÕES, 3 TESTES</t>
        </is>
      </c>
      <c r="J570" s="8" t="inlineStr">
        <is>
          <t>AUGUSTO</t>
        </is>
      </c>
      <c r="K570" s="8" t="inlineStr">
        <is>
          <t>AUGUSTO</t>
        </is>
      </c>
      <c r="L570" s="9" t="n">
        <v>45744</v>
      </c>
      <c r="M570" s="9" t="n">
        <v>45754</v>
      </c>
      <c r="N570" s="9" t="n">
        <v>45757</v>
      </c>
      <c r="O570" s="9" t="n">
        <v>45782</v>
      </c>
      <c r="P570" s="7" t="inlineStr">
        <is>
          <t>NÃO PRECISA</t>
        </is>
      </c>
      <c r="Q570" s="9" t="n">
        <v>45785</v>
      </c>
      <c r="R570" s="7" t="inlineStr">
        <is>
          <t>Concluído Campo</t>
        </is>
      </c>
      <c r="S570" s="9" t="n">
        <v>45768</v>
      </c>
      <c r="T570" s="10" t="inlineStr"/>
      <c r="U570" s="7" t="inlineStr">
        <is>
          <t>4804126</t>
        </is>
      </c>
      <c r="V570" s="7" t="inlineStr"/>
      <c r="W570" s="7" t="inlineStr"/>
      <c r="X570" s="7" t="inlineStr">
        <is>
          <t>MEDIÇÃO CONCLUÍDA</t>
        </is>
      </c>
      <c r="Y570" s="11">
        <f>IF(AND(L570&lt;&gt;"", S570&lt;&gt;""), S570-L570, IF(L570&lt;&gt;"", TODAY()-L570, ""))</f>
        <v/>
      </c>
      <c r="Z570" s="7">
        <f>IF(Y570="", "", IF(Y570&lt;=3, "NO PRAZO", "ATRASADO"))</f>
        <v/>
      </c>
      <c r="AA570" s="8" t="inlineStr"/>
    </row>
    <row r="571" ht="20" customHeight="1">
      <c r="A571" s="7" t="inlineStr">
        <is>
          <t>RSCLER0569</t>
        </is>
      </c>
      <c r="B571" s="8" t="inlineStr">
        <is>
          <t>MONTENEGRO</t>
        </is>
      </c>
      <c r="C571" s="7" t="inlineStr">
        <is>
          <t>PGO</t>
        </is>
      </c>
      <c r="D571" s="7" t="inlineStr"/>
      <c r="E571" s="7" t="inlineStr">
        <is>
          <t>MGO CEN</t>
        </is>
      </c>
      <c r="F571" s="8" t="inlineStr"/>
      <c r="G571" s="8" t="inlineStr">
        <is>
          <t>Rua Flores da Cunha, 420</t>
        </is>
      </c>
      <c r="H571" s="7" t="inlineStr">
        <is>
          <t>PGO019.M6</t>
        </is>
      </c>
      <c r="I571" s="8" t="inlineStr">
        <is>
          <t>3 ABERTURA E FECHAMENTO, 6 FUSÕES, 3 TESTES</t>
        </is>
      </c>
      <c r="J571" s="8" t="inlineStr">
        <is>
          <t>BAIRON</t>
        </is>
      </c>
      <c r="K571" s="8" t="inlineStr">
        <is>
          <t>BAIRON</t>
        </is>
      </c>
      <c r="L571" s="9" t="n">
        <v>45744</v>
      </c>
      <c r="M571" s="9" t="n">
        <v>45747</v>
      </c>
      <c r="N571" s="9" t="n">
        <v>45749</v>
      </c>
      <c r="O571" s="9" t="n">
        <v>45749</v>
      </c>
      <c r="P571" s="7" t="inlineStr">
        <is>
          <t>NÃO PRECISA</t>
        </is>
      </c>
      <c r="Q571" s="9" t="n">
        <v>45785</v>
      </c>
      <c r="R571" s="7" t="inlineStr">
        <is>
          <t>Concluído Campo</t>
        </is>
      </c>
      <c r="S571" s="9" t="n">
        <v>45757</v>
      </c>
      <c r="T571" s="10" t="inlineStr"/>
      <c r="U571" s="7" t="inlineStr">
        <is>
          <t>4810200</t>
        </is>
      </c>
      <c r="V571" s="7" t="inlineStr"/>
      <c r="W571" s="7" t="inlineStr"/>
      <c r="X571" s="7" t="inlineStr">
        <is>
          <t>MEDIÇÃO CONCLUÍDA</t>
        </is>
      </c>
      <c r="Y571" s="11">
        <f>IF(AND(L571&lt;&gt;"", S571&lt;&gt;""), S571-L571, IF(L571&lt;&gt;"", TODAY()-L571, ""))</f>
        <v/>
      </c>
      <c r="Z571" s="7">
        <f>IF(Y571="", "", IF(Y571&lt;=3, "NO PRAZO", "ATRASADO"))</f>
        <v/>
      </c>
      <c r="AA571" s="8" t="inlineStr"/>
    </row>
    <row r="572" ht="20" customHeight="1">
      <c r="A572" s="7" t="inlineStr">
        <is>
          <t>RSCLER0570</t>
        </is>
      </c>
      <c r="B572" s="8" t="inlineStr">
        <is>
          <t>TORRES</t>
        </is>
      </c>
      <c r="C572" s="7" t="inlineStr">
        <is>
          <t>CNT</t>
        </is>
      </c>
      <c r="D572" s="7" t="inlineStr"/>
      <c r="E572" s="7" t="inlineStr">
        <is>
          <t>RSTES14</t>
        </is>
      </c>
      <c r="F572" s="8" t="inlineStr"/>
      <c r="G572" s="8" t="inlineStr">
        <is>
          <t>AV DO RIACHO 1262</t>
        </is>
      </c>
      <c r="H572" s="7" t="inlineStr">
        <is>
          <t>CNT029.M8</t>
        </is>
      </c>
      <c r="I572" s="8" t="inlineStr">
        <is>
          <t>FOI LANÇADO 115 METROS DE CABO DE 12FO, 1 ABERTURA E FECHAMENTO, 1 FUSÃO, 1 CX NOVA, 1 DERIVAÇÃO, 1 TESTES</t>
        </is>
      </c>
      <c r="J572" s="8" t="inlineStr">
        <is>
          <t>MAQUENZE</t>
        </is>
      </c>
      <c r="K572" s="8" t="inlineStr">
        <is>
          <t>MAQUENZE</t>
        </is>
      </c>
      <c r="L572" s="9" t="n">
        <v>45744</v>
      </c>
      <c r="M572" s="9" t="n">
        <v>45747</v>
      </c>
      <c r="N572" s="9" t="n">
        <v>45749</v>
      </c>
      <c r="O572" s="9" t="n">
        <v>45767</v>
      </c>
      <c r="P572" s="7" t="inlineStr">
        <is>
          <t>NÃO PRECISA</t>
        </is>
      </c>
      <c r="Q572" s="9" t="n">
        <v>45785</v>
      </c>
      <c r="R572" s="7" t="inlineStr">
        <is>
          <t>Concluído Campo</t>
        </is>
      </c>
      <c r="S572" s="7" t="inlineStr"/>
      <c r="T572" s="10" t="inlineStr"/>
      <c r="U572" s="7" t="inlineStr"/>
      <c r="V572" s="7" t="inlineStr"/>
      <c r="W572" s="7" t="inlineStr"/>
      <c r="X572" s="7" t="inlineStr">
        <is>
          <t>AG. MEDIÇÃO</t>
        </is>
      </c>
      <c r="Y572" s="11">
        <f>IF(AND(L572&lt;&gt;"", S572&lt;&gt;""), S572-L572, IF(L572&lt;&gt;"", TODAY()-L572, ""))</f>
        <v/>
      </c>
      <c r="Z572" s="7">
        <f>IF(Y572="", "", IF(Y572&lt;=3, "NO PRAZO", "ATRASADO"))</f>
        <v/>
      </c>
      <c r="AA572" s="8" t="inlineStr"/>
    </row>
    <row r="573" ht="20" customHeight="1">
      <c r="A573" s="7" t="inlineStr">
        <is>
          <t>RSCLER0571</t>
        </is>
      </c>
      <c r="B573" s="8" t="inlineStr">
        <is>
          <t>TRAMANDAI</t>
        </is>
      </c>
      <c r="C573" s="7" t="inlineStr">
        <is>
          <t>TRA</t>
        </is>
      </c>
      <c r="D573" s="7" t="inlineStr"/>
      <c r="E573" s="7" t="inlineStr"/>
      <c r="F573" s="8" t="inlineStr"/>
      <c r="G573" s="8" t="inlineStr">
        <is>
          <t>Rua Quinze de Novembro, 124</t>
        </is>
      </c>
      <c r="H573" s="7" t="inlineStr">
        <is>
          <t>TRA.066.M030</t>
        </is>
      </c>
      <c r="I573" s="8" t="inlineStr">
        <is>
          <t>3 ABERTURA E FECHAMENTO, 4 FUSÕES, 2 TESTES</t>
        </is>
      </c>
      <c r="J573" s="8" t="inlineStr"/>
      <c r="K573" s="8" t="inlineStr">
        <is>
          <t>FABIO AMARILIO</t>
        </is>
      </c>
      <c r="L573" s="9" t="n">
        <v>45749</v>
      </c>
      <c r="M573" s="7" t="inlineStr"/>
      <c r="N573" s="7" t="inlineStr"/>
      <c r="O573" s="9" t="n">
        <v>45768</v>
      </c>
      <c r="P573" s="7" t="inlineStr">
        <is>
          <t>NÃO PRECISA</t>
        </is>
      </c>
      <c r="Q573" s="9" t="n">
        <v>45785</v>
      </c>
      <c r="R573" s="7" t="inlineStr">
        <is>
          <t>Concluído Campo</t>
        </is>
      </c>
      <c r="S573" s="9" t="n">
        <v>45761</v>
      </c>
      <c r="T573" s="10" t="inlineStr"/>
      <c r="U573" s="7" t="inlineStr">
        <is>
          <t>4730372</t>
        </is>
      </c>
      <c r="V573" s="7" t="inlineStr"/>
      <c r="W573" s="7" t="inlineStr"/>
      <c r="X573" s="7" t="inlineStr">
        <is>
          <t>MEDIÇÃO CONCLUÍDA</t>
        </is>
      </c>
      <c r="Y573" s="11">
        <f>IF(AND(L573&lt;&gt;"", S573&lt;&gt;""), S573-L573, IF(L573&lt;&gt;"", TODAY()-L573, ""))</f>
        <v/>
      </c>
      <c r="Z573" s="7">
        <f>IF(Y573="", "", IF(Y573&lt;=3, "NO PRAZO", "ATRASADO"))</f>
        <v/>
      </c>
      <c r="AA573" s="8" t="inlineStr"/>
    </row>
    <row r="574" ht="20" customHeight="1">
      <c r="A574" s="7" t="inlineStr">
        <is>
          <t>RSCLER0572</t>
        </is>
      </c>
      <c r="B574" s="8" t="inlineStr">
        <is>
          <t>TRAMANDAI</t>
        </is>
      </c>
      <c r="C574" s="7" t="inlineStr">
        <is>
          <t>TRA</t>
        </is>
      </c>
      <c r="D574" s="7" t="inlineStr"/>
      <c r="E574" s="7" t="inlineStr"/>
      <c r="F574" s="8" t="inlineStr"/>
      <c r="G574" s="8" t="inlineStr">
        <is>
          <t>R SÃO JOAO - Número 1596</t>
        </is>
      </c>
      <c r="H574" s="7" t="inlineStr">
        <is>
          <t>TRA047M020</t>
        </is>
      </c>
      <c r="I574" s="8" t="inlineStr">
        <is>
          <t>5 ABERTURA E FECHAMENTO, 11 FUSÕES, 4 TESTES</t>
        </is>
      </c>
      <c r="J574" s="8" t="inlineStr"/>
      <c r="K574" s="8" t="inlineStr">
        <is>
          <t>FABIO AMARILIO</t>
        </is>
      </c>
      <c r="L574" s="9" t="n">
        <v>45751</v>
      </c>
      <c r="M574" s="9" t="n">
        <v>45755</v>
      </c>
      <c r="N574" s="9" t="n">
        <v>45756</v>
      </c>
      <c r="O574" s="9" t="n">
        <v>45757</v>
      </c>
      <c r="P574" s="7" t="inlineStr">
        <is>
          <t>NÃO PRECISA</t>
        </is>
      </c>
      <c r="Q574" s="9" t="n">
        <v>45785</v>
      </c>
      <c r="R574" s="7" t="inlineStr">
        <is>
          <t>Concluído Campo</t>
        </is>
      </c>
      <c r="S574" s="7" t="inlineStr"/>
      <c r="T574" s="10" t="inlineStr"/>
      <c r="U574" s="7" t="inlineStr"/>
      <c r="V574" s="7" t="inlineStr"/>
      <c r="W574" s="7" t="inlineStr"/>
      <c r="X574" s="7" t="inlineStr">
        <is>
          <t>AG. MEDIÇÃO</t>
        </is>
      </c>
      <c r="Y574" s="11">
        <f>IF(AND(L574&lt;&gt;"", S574&lt;&gt;""), S574-L574, IF(L574&lt;&gt;"", TODAY()-L574, ""))</f>
        <v/>
      </c>
      <c r="Z574" s="7">
        <f>IF(Y574="", "", IF(Y574&lt;=3, "NO PRAZO", "ATRASADO"))</f>
        <v/>
      </c>
      <c r="AA574" s="8" t="inlineStr"/>
    </row>
    <row r="575" ht="20" customHeight="1">
      <c r="A575" s="7" t="inlineStr">
        <is>
          <t>RSCLER0573</t>
        </is>
      </c>
      <c r="B575" s="8" t="inlineStr">
        <is>
          <t>PORTO ALEGRE</t>
        </is>
      </c>
      <c r="C575" s="7" t="inlineStr">
        <is>
          <t>AGRAD</t>
        </is>
      </c>
      <c r="D575" s="7" t="inlineStr"/>
      <c r="E575" s="7" t="inlineStr">
        <is>
          <t>RSPSU98</t>
        </is>
      </c>
      <c r="F575" s="8" t="inlineStr">
        <is>
          <t>COND. RESERVA DO ARVOREDO</t>
        </is>
      </c>
      <c r="G575" s="8" t="inlineStr">
        <is>
          <t>Av Bento Gonçalves, 8083</t>
        </is>
      </c>
      <c r="H575" s="7" t="inlineStr">
        <is>
          <t>LPRAB.010</t>
        </is>
      </c>
      <c r="I575" s="8" t="inlineStr">
        <is>
          <t>FOI LANÇADO 950 METROS DE CABO DE 12FO, FOI LANÇADO 950 METROS DE CABO DE 12 FO, 200 METROS DE CORDOALHA, 2 ABERTURA E FECHAMENTO, 2 CX NOVA, 9 NAP DE POSTE,  25 FUSÃO, 9 DERIVAÇÃO, 27 TESTE</t>
        </is>
      </c>
      <c r="J575" s="8" t="inlineStr">
        <is>
          <t>TIAGO FERREIRA / ALAN VASCONCELOS</t>
        </is>
      </c>
      <c r="K575" s="8" t="inlineStr">
        <is>
          <t>ANDERSON</t>
        </is>
      </c>
      <c r="L575" s="9" t="n">
        <v>45568</v>
      </c>
      <c r="M575" s="7" t="inlineStr"/>
      <c r="N575" s="7" t="inlineStr"/>
      <c r="O575" s="7" t="inlineStr"/>
      <c r="P575" s="7" t="inlineStr">
        <is>
          <t>NÃO PRECISA</t>
        </is>
      </c>
      <c r="Q575" s="9" t="n">
        <v>45608</v>
      </c>
      <c r="R575" s="7" t="inlineStr">
        <is>
          <t>Concluído Campo</t>
        </is>
      </c>
      <c r="S575" s="9" t="n">
        <v>45770</v>
      </c>
      <c r="T575" s="10" t="inlineStr"/>
      <c r="U575" s="7" t="inlineStr">
        <is>
          <t>4807758</t>
        </is>
      </c>
      <c r="V575" s="7" t="inlineStr"/>
      <c r="W575" s="7" t="inlineStr"/>
      <c r="X575" s="7" t="inlineStr">
        <is>
          <t>MEDIÇÃO CONCLUÍDA</t>
        </is>
      </c>
      <c r="Y575" s="11">
        <f>IF(AND(L575&lt;&gt;"", S575&lt;&gt;""), S575-L575, IF(L575&lt;&gt;"", TODAY()-L575, ""))</f>
        <v/>
      </c>
      <c r="Z575" s="7">
        <f>IF(Y575="", "", IF(Y575&lt;=3, "NO PRAZO", "ATRASADO"))</f>
        <v/>
      </c>
      <c r="AA575" s="8" t="inlineStr">
        <is>
          <t>100% - OK</t>
        </is>
      </c>
    </row>
    <row r="576" ht="20" customHeight="1">
      <c r="A576" s="7" t="inlineStr">
        <is>
          <t>RSCLER0574</t>
        </is>
      </c>
      <c r="B576" s="8" t="inlineStr">
        <is>
          <t>PORTO ALEGRE</t>
        </is>
      </c>
      <c r="C576" s="7" t="inlineStr">
        <is>
          <t>NAVAB</t>
        </is>
      </c>
      <c r="D576" s="7" t="inlineStr">
        <is>
          <t>NAVACB</t>
        </is>
      </c>
      <c r="E576" s="7" t="inlineStr">
        <is>
          <t>PAE FAR</t>
        </is>
      </c>
      <c r="F576" s="8" t="inlineStr">
        <is>
          <t>RESID CAIRU</t>
        </is>
      </c>
      <c r="G576" s="8" t="inlineStr">
        <is>
          <t>AV CAIRU 720</t>
        </is>
      </c>
      <c r="H576" s="7" t="inlineStr">
        <is>
          <t>NAVAB.081.M050</t>
        </is>
      </c>
      <c r="I576" s="8" t="inlineStr">
        <is>
          <t>3 ABERTURA E FECHAMENTO, 4 FUSÕES, 2 TESTES</t>
        </is>
      </c>
      <c r="J576" s="8" t="inlineStr"/>
      <c r="K576" s="8" t="inlineStr">
        <is>
          <t>DERIK</t>
        </is>
      </c>
      <c r="L576" s="9" t="n">
        <v>45756</v>
      </c>
      <c r="M576" s="9" t="n">
        <v>45758</v>
      </c>
      <c r="N576" s="7" t="inlineStr"/>
      <c r="O576" s="9" t="n">
        <v>45761</v>
      </c>
      <c r="P576" s="7" t="inlineStr">
        <is>
          <t>NÃO PRECISA</t>
        </is>
      </c>
      <c r="Q576" s="9" t="n">
        <v>45785</v>
      </c>
      <c r="R576" s="7" t="inlineStr">
        <is>
          <t>Concluído Campo</t>
        </is>
      </c>
      <c r="S576" s="9" t="n">
        <v>45771</v>
      </c>
      <c r="T576" s="10" t="inlineStr"/>
      <c r="U576" s="7" t="inlineStr">
        <is>
          <t>4705607</t>
        </is>
      </c>
      <c r="V576" s="7" t="inlineStr"/>
      <c r="W576" s="7" t="inlineStr"/>
      <c r="X576" s="7" t="inlineStr">
        <is>
          <t>MEDIÇÃO CONCLUÍDA</t>
        </is>
      </c>
      <c r="Y576" s="11">
        <f>IF(AND(L576&lt;&gt;"", S576&lt;&gt;""), S576-L576, IF(L576&lt;&gt;"", TODAY()-L576, ""))</f>
        <v/>
      </c>
      <c r="Z576" s="7">
        <f>IF(Y576="", "", IF(Y576&lt;=3, "NO PRAZO", "ATRASADO"))</f>
        <v/>
      </c>
      <c r="AA576" s="8" t="inlineStr"/>
    </row>
    <row r="577" ht="20" customHeight="1">
      <c r="A577" s="7" t="inlineStr">
        <is>
          <t>RSCLER0575</t>
        </is>
      </c>
      <c r="B577" s="8" t="inlineStr">
        <is>
          <t>PORTO ALEGRE</t>
        </is>
      </c>
      <c r="C577" s="7" t="inlineStr">
        <is>
          <t>TRLAA</t>
        </is>
      </c>
      <c r="D577" s="7" t="inlineStr">
        <is>
          <t>MNDAR</t>
        </is>
      </c>
      <c r="E577" s="7" t="inlineStr">
        <is>
          <t>HZS</t>
        </is>
      </c>
      <c r="F577" s="8" t="inlineStr">
        <is>
          <t>Cond. Urbano Menino Deus</t>
        </is>
      </c>
      <c r="G577" s="8" t="inlineStr">
        <is>
          <t>R Mariano de Matos, 520</t>
        </is>
      </c>
      <c r="H577" s="7" t="inlineStr">
        <is>
          <t>TRLAA.011.M060</t>
        </is>
      </c>
      <c r="I577" s="8" t="inlineStr">
        <is>
          <t>FOI LANÇADO 546 METROS DE CABO DE 12FO, 23 ABERTURA E FECHAMENTO, 38 FUSÕES, 1 CX NOVA, 1 DERIVAÇÃO, 4 TESTES</t>
        </is>
      </c>
      <c r="J577" s="8" t="inlineStr">
        <is>
          <t>UBIRATAN</t>
        </is>
      </c>
      <c r="K577" s="8" t="inlineStr">
        <is>
          <t>CATIA / MARCOS EMILIANO</t>
        </is>
      </c>
      <c r="L577" s="9" t="n">
        <v>45761</v>
      </c>
      <c r="M577" s="9" t="n">
        <v>45762</v>
      </c>
      <c r="N577" s="7" t="inlineStr"/>
      <c r="O577" s="9" t="n">
        <v>45776</v>
      </c>
      <c r="P577" s="7" t="inlineStr">
        <is>
          <t>NÃO PRECISA</t>
        </is>
      </c>
      <c r="Q577" s="9" t="n">
        <v>45785</v>
      </c>
      <c r="R577" s="7" t="inlineStr">
        <is>
          <t>Concluído Campo</t>
        </is>
      </c>
      <c r="S577" s="9" t="n">
        <v>45771</v>
      </c>
      <c r="T577" s="10" t="inlineStr"/>
      <c r="U577" s="7" t="inlineStr">
        <is>
          <t>4730393</t>
        </is>
      </c>
      <c r="V577" s="7" t="inlineStr"/>
      <c r="W577" s="7" t="inlineStr"/>
      <c r="X577" s="7" t="inlineStr">
        <is>
          <t>MEDIÇÃO CONCLUÍDA</t>
        </is>
      </c>
      <c r="Y577" s="11">
        <f>IF(AND(L577&lt;&gt;"", S577&lt;&gt;""), S577-L577, IF(L577&lt;&gt;"", TODAY()-L577, ""))</f>
        <v/>
      </c>
      <c r="Z577" s="7">
        <f>IF(Y577="", "", IF(Y577&lt;=3, "NO PRAZO", "ATRASADO"))</f>
        <v/>
      </c>
      <c r="AA577" s="8" t="inlineStr"/>
    </row>
    <row r="578" ht="20" customHeight="1">
      <c r="A578" s="7" t="inlineStr">
        <is>
          <t>RSCLER0576</t>
        </is>
      </c>
      <c r="B578" s="8" t="inlineStr">
        <is>
          <t>TORRES</t>
        </is>
      </c>
      <c r="C578" s="7" t="inlineStr">
        <is>
          <t>CNT</t>
        </is>
      </c>
      <c r="D578" s="7" t="inlineStr"/>
      <c r="E578" s="7" t="inlineStr"/>
      <c r="F578" s="8" t="inlineStr"/>
      <c r="G578" s="8" t="inlineStr">
        <is>
          <t>BENJAMIM CONSTANT 931</t>
        </is>
      </c>
      <c r="H578" s="7" t="inlineStr">
        <is>
          <t>CNT009.M3</t>
        </is>
      </c>
      <c r="I578" s="8" t="inlineStr">
        <is>
          <t>1 ABERTURA E FECHAMENTO</t>
        </is>
      </c>
      <c r="J578" s="8" t="inlineStr">
        <is>
          <t>MAQUENZE</t>
        </is>
      </c>
      <c r="K578" s="8" t="inlineStr">
        <is>
          <t>MAQUENZE</t>
        </is>
      </c>
      <c r="L578" s="9" t="n">
        <v>45757</v>
      </c>
      <c r="M578" s="9" t="n">
        <v>45761</v>
      </c>
      <c r="N578" s="7" t="inlineStr"/>
      <c r="O578" s="9" t="n">
        <v>45770</v>
      </c>
      <c r="P578" s="7" t="inlineStr">
        <is>
          <t>NÃO PRECISA</t>
        </is>
      </c>
      <c r="Q578" s="9" t="n">
        <v>45785</v>
      </c>
      <c r="R578" s="7" t="inlineStr">
        <is>
          <t>Concluído Campo</t>
        </is>
      </c>
      <c r="S578" s="9" t="n">
        <v>45775</v>
      </c>
      <c r="T578" s="10" t="inlineStr"/>
      <c r="U578" s="7" t="inlineStr">
        <is>
          <t>4730641</t>
        </is>
      </c>
      <c r="V578" s="7" t="inlineStr"/>
      <c r="W578" s="7" t="inlineStr"/>
      <c r="X578" s="7" t="inlineStr">
        <is>
          <t>MEDIÇÃO CONCLUÍDA</t>
        </is>
      </c>
      <c r="Y578" s="11">
        <f>IF(AND(L578&lt;&gt;"", S578&lt;&gt;""), S578-L578, IF(L578&lt;&gt;"", TODAY()-L578, ""))</f>
        <v/>
      </c>
      <c r="Z578" s="7">
        <f>IF(Y578="", "", IF(Y578&lt;=3, "NO PRAZO", "ATRASADO"))</f>
        <v/>
      </c>
      <c r="AA578" s="8" t="inlineStr"/>
    </row>
    <row r="579" ht="20" customHeight="1">
      <c r="A579" s="7" t="inlineStr">
        <is>
          <t>RSCLER0577</t>
        </is>
      </c>
      <c r="B579" s="8" t="inlineStr">
        <is>
          <t>PORTO ALEGRE</t>
        </is>
      </c>
      <c r="C579" s="7" t="inlineStr">
        <is>
          <t>MTSAA</t>
        </is>
      </c>
      <c r="D579" s="7" t="inlineStr">
        <is>
          <t>MTSARA</t>
        </is>
      </c>
      <c r="E579" s="7" t="inlineStr">
        <is>
          <t>PAE BV</t>
        </is>
      </c>
      <c r="F579" s="8" t="inlineStr">
        <is>
          <t>Ed. freire</t>
        </is>
      </c>
      <c r="G579" s="8" t="inlineStr">
        <is>
          <t>R. Dr. Freire Alemão, 342</t>
        </is>
      </c>
      <c r="H579" s="7" t="inlineStr">
        <is>
          <t>MTSAA.111.M010</t>
        </is>
      </c>
      <c r="I579" s="8" t="inlineStr">
        <is>
          <t>4 ABERTURA E FECHAMENTO, 7 FUSÕES, 3 TESTES</t>
        </is>
      </c>
      <c r="J579" s="8" t="inlineStr"/>
      <c r="K579" s="8" t="inlineStr">
        <is>
          <t>CATIA</t>
        </is>
      </c>
      <c r="L579" s="9" t="n">
        <v>45754</v>
      </c>
      <c r="M579" s="9" t="n">
        <v>45771</v>
      </c>
      <c r="N579" s="9" t="n">
        <v>45771</v>
      </c>
      <c r="O579" s="9" t="n">
        <v>45771</v>
      </c>
      <c r="P579" s="7" t="inlineStr">
        <is>
          <t>NÃO PRECISA</t>
        </is>
      </c>
      <c r="Q579" s="9" t="n">
        <v>45785</v>
      </c>
      <c r="R579" s="7" t="inlineStr">
        <is>
          <t>Concluído Campo</t>
        </is>
      </c>
      <c r="S579" s="9" t="n">
        <v>45772</v>
      </c>
      <c r="T579" s="10" t="inlineStr"/>
      <c r="U579" s="7" t="inlineStr">
        <is>
          <t>4718571</t>
        </is>
      </c>
      <c r="V579" s="7" t="inlineStr"/>
      <c r="W579" s="7" t="inlineStr"/>
      <c r="X579" s="7" t="inlineStr">
        <is>
          <t>MEDIÇÃO CONCLUÍDA</t>
        </is>
      </c>
      <c r="Y579" s="11">
        <f>IF(AND(L579&lt;&gt;"", S579&lt;&gt;""), S579-L579, IF(L579&lt;&gt;"", TODAY()-L579, ""))</f>
        <v/>
      </c>
      <c r="Z579" s="7">
        <f>IF(Y579="", "", IF(Y579&lt;=3, "NO PRAZO", "ATRASADO"))</f>
        <v/>
      </c>
      <c r="AA579" s="8" t="inlineStr">
        <is>
          <t>100% - OK</t>
        </is>
      </c>
    </row>
    <row r="580" ht="20" customHeight="1">
      <c r="A580" s="7" t="inlineStr">
        <is>
          <t>RSCLER0578</t>
        </is>
      </c>
      <c r="B580" s="8" t="inlineStr">
        <is>
          <t>PORTO ALEGRE</t>
        </is>
      </c>
      <c r="C580" s="7" t="inlineStr">
        <is>
          <t>BVSAB</t>
        </is>
      </c>
      <c r="D580" s="7" t="inlineStr">
        <is>
          <t>PAE NR</t>
        </is>
      </c>
      <c r="E580" s="7" t="inlineStr">
        <is>
          <t>PETAA</t>
        </is>
      </c>
      <c r="F580" s="8" t="inlineStr">
        <is>
          <t>Cond. Felizardo</t>
        </is>
      </c>
      <c r="G580" s="8" t="inlineStr">
        <is>
          <t>R. Felizardo Furtado, 515</t>
        </is>
      </c>
      <c r="H580" s="7" t="inlineStr">
        <is>
          <t>BVSAB.111.M010</t>
        </is>
      </c>
      <c r="I580" s="8" t="inlineStr">
        <is>
          <t>FOI LANÇADO 601 METROS DE CABO DE 12FO, 5 ABERTURA E FECHAMENTO, 58 FUSÕES, 4 DERIVAÇÃO, 8 TESTES</t>
        </is>
      </c>
      <c r="J580" s="8" t="inlineStr">
        <is>
          <t>UBIRATAN</t>
        </is>
      </c>
      <c r="K580" s="8" t="inlineStr">
        <is>
          <t>CATIA</t>
        </is>
      </c>
      <c r="L580" s="9" t="n">
        <v>45756</v>
      </c>
      <c r="M580" s="9" t="n">
        <v>45758</v>
      </c>
      <c r="N580" s="7" t="inlineStr"/>
      <c r="O580" s="9" t="n">
        <v>45771</v>
      </c>
      <c r="P580" s="7" t="inlineStr">
        <is>
          <t>NÃO PRECISA</t>
        </is>
      </c>
      <c r="Q580" s="9" t="n">
        <v>45785</v>
      </c>
      <c r="R580" s="7" t="inlineStr">
        <is>
          <t>Concluído Campo</t>
        </is>
      </c>
      <c r="S580" s="9" t="n">
        <v>45785</v>
      </c>
      <c r="T580" s="10" t="inlineStr"/>
      <c r="U580" s="7" t="inlineStr">
        <is>
          <t>4731014</t>
        </is>
      </c>
      <c r="V580" s="7" t="inlineStr"/>
      <c r="W580" s="7" t="inlineStr"/>
      <c r="X580" s="7" t="inlineStr">
        <is>
          <t>MEDIÇÃO CONCLUÍDA</t>
        </is>
      </c>
      <c r="Y580" s="11">
        <f>IF(AND(L580&lt;&gt;"", S580&lt;&gt;""), S580-L580, IF(L580&lt;&gt;"", TODAY()-L580, ""))</f>
        <v/>
      </c>
      <c r="Z580" s="7">
        <f>IF(Y580="", "", IF(Y580&lt;=3, "NO PRAZO", "ATRASADO"))</f>
        <v/>
      </c>
      <c r="AA580" s="8" t="inlineStr"/>
    </row>
    <row r="581" ht="20" customHeight="1">
      <c r="A581" s="7" t="inlineStr">
        <is>
          <t>RSCLER0579</t>
        </is>
      </c>
      <c r="B581" s="8" t="inlineStr">
        <is>
          <t>PORTO ALEGRE</t>
        </is>
      </c>
      <c r="C581" s="7" t="inlineStr">
        <is>
          <t>CTLAA</t>
        </is>
      </c>
      <c r="D581" s="7" t="inlineStr">
        <is>
          <t>CTLAE</t>
        </is>
      </c>
      <c r="E581" s="7" t="inlineStr">
        <is>
          <t>RSPSU07</t>
        </is>
      </c>
      <c r="F581" s="8" t="inlineStr">
        <is>
          <t>Condomínio Jardim Cristal</t>
        </is>
      </c>
      <c r="G581" s="8" t="inlineStr">
        <is>
          <t>Av. Capivari, 1243</t>
        </is>
      </c>
      <c r="H581" s="7" t="inlineStr">
        <is>
          <t>CTLAA.054.M010</t>
        </is>
      </c>
      <c r="I581" s="8" t="inlineStr">
        <is>
          <t>1 ABERTURA E FECHAMENTO</t>
        </is>
      </c>
      <c r="J581" s="8" t="inlineStr">
        <is>
          <t>UBIRATAN</t>
        </is>
      </c>
      <c r="K581" s="8" t="inlineStr">
        <is>
          <t>CATIA</t>
        </is>
      </c>
      <c r="L581" s="9" t="n">
        <v>45770</v>
      </c>
      <c r="M581" s="7" t="inlineStr"/>
      <c r="N581" s="7" t="inlineStr"/>
      <c r="O581" s="9" t="n">
        <v>45784</v>
      </c>
      <c r="P581" s="7" t="inlineStr">
        <is>
          <t>NÃO PRECISA</t>
        </is>
      </c>
      <c r="Q581" s="9" t="n">
        <v>45785</v>
      </c>
      <c r="R581" s="7" t="inlineStr">
        <is>
          <t>Concluído Campo</t>
        </is>
      </c>
      <c r="S581" s="7" t="inlineStr"/>
      <c r="T581" s="10" t="inlineStr"/>
      <c r="U581" s="7" t="inlineStr"/>
      <c r="V581" s="7" t="inlineStr"/>
      <c r="W581" s="7" t="inlineStr"/>
      <c r="X581" s="7" t="inlineStr">
        <is>
          <t>AG. MEDIÇÃO</t>
        </is>
      </c>
      <c r="Y581" s="11">
        <f>IF(AND(L581&lt;&gt;"", S581&lt;&gt;""), S581-L581, IF(L581&lt;&gt;"", TODAY()-L581, ""))</f>
        <v/>
      </c>
      <c r="Z581" s="7">
        <f>IF(Y581="", "", IF(Y581&lt;=3, "NO PRAZO", "ATRASADO"))</f>
        <v/>
      </c>
      <c r="AA581" s="8" t="inlineStr"/>
    </row>
    <row r="582" ht="20" customHeight="1">
      <c r="A582" s="7" t="inlineStr">
        <is>
          <t>RSCLER0580</t>
        </is>
      </c>
      <c r="B582" s="8" t="inlineStr">
        <is>
          <t>PORTO ALEGRE</t>
        </is>
      </c>
      <c r="C582" s="7" t="inlineStr">
        <is>
          <t>MTSAA</t>
        </is>
      </c>
      <c r="D582" s="7" t="inlineStr">
        <is>
          <t>FLOAG</t>
        </is>
      </c>
      <c r="E582" s="7" t="inlineStr">
        <is>
          <t>PAE BV</t>
        </is>
      </c>
      <c r="F582" s="8" t="inlineStr">
        <is>
          <t>COND. CORA</t>
        </is>
      </c>
      <c r="G582" s="8" t="inlineStr">
        <is>
          <t>R. CEL. BORDINI, 555</t>
        </is>
      </c>
      <c r="H582" s="7" t="inlineStr">
        <is>
          <t>MTSAA.102.M040</t>
        </is>
      </c>
      <c r="I582" s="8" t="inlineStr">
        <is>
          <t>FOI LANÇADO 495 METROS DE CABO DE 12FO, 1 ABERTURA E FECHAMENTO, 1 CAIXA NOVA, 2 FUSÃO, 1 DERIVAÇÃO E 2 TESTE</t>
        </is>
      </c>
      <c r="J582" s="8" t="inlineStr">
        <is>
          <t>TIAGO FERREIRA</t>
        </is>
      </c>
      <c r="K582" s="8" t="inlineStr">
        <is>
          <t>AUGUSTO</t>
        </is>
      </c>
      <c r="L582" s="9" t="n">
        <v>45770</v>
      </c>
      <c r="M582" s="9" t="n">
        <v>45771</v>
      </c>
      <c r="N582" s="9" t="n">
        <v>45772</v>
      </c>
      <c r="O582" s="9" t="n">
        <v>45775</v>
      </c>
      <c r="P582" s="7" t="inlineStr">
        <is>
          <t>NÃO PRECISA</t>
        </is>
      </c>
      <c r="Q582" s="9" t="n">
        <v>45785</v>
      </c>
      <c r="R582" s="7" t="inlineStr">
        <is>
          <t>Concluído Campo</t>
        </is>
      </c>
      <c r="S582" s="9" t="n">
        <v>45792</v>
      </c>
      <c r="T582" s="10" t="inlineStr"/>
      <c r="U582" s="7" t="inlineStr">
        <is>
          <t>4809844</t>
        </is>
      </c>
      <c r="V582" s="7" t="inlineStr"/>
      <c r="W582" s="7" t="inlineStr"/>
      <c r="X582" s="7" t="inlineStr">
        <is>
          <t>MEDIÇÃO CONCLUÍDA</t>
        </is>
      </c>
      <c r="Y582" s="11">
        <f>IF(AND(L582&lt;&gt;"", S582&lt;&gt;""), S582-L582, IF(L582&lt;&gt;"", TODAY()-L582, ""))</f>
        <v/>
      </c>
      <c r="Z582" s="7">
        <f>IF(Y582="", "", IF(Y582&lt;=3, "NO PRAZO", "ATRASADO"))</f>
        <v/>
      </c>
      <c r="AA582" s="8" t="inlineStr"/>
    </row>
    <row r="583" ht="20" customHeight="1">
      <c r="A583" s="7" t="inlineStr">
        <is>
          <t>RSCLER0581</t>
        </is>
      </c>
      <c r="B583" s="8" t="inlineStr">
        <is>
          <t>PORTO ALEGRE</t>
        </is>
      </c>
      <c r="C583" s="7" t="inlineStr">
        <is>
          <t>TRLAA</t>
        </is>
      </c>
      <c r="D583" s="7" t="inlineStr">
        <is>
          <t>MNDAR</t>
        </is>
      </c>
      <c r="E583" s="7" t="inlineStr">
        <is>
          <t>PAE HZS</t>
        </is>
      </c>
      <c r="F583" s="8" t="inlineStr">
        <is>
          <t>Cond. DIMAK</t>
        </is>
      </c>
      <c r="G583" s="8" t="inlineStr">
        <is>
          <t>R. ALMIRANTE GONÇALVES 122</t>
        </is>
      </c>
      <c r="H583" s="7" t="inlineStr">
        <is>
          <t>TRLAA.013.M040</t>
        </is>
      </c>
      <c r="I583" s="8" t="inlineStr">
        <is>
          <t>8 ABERTURA E FECHAMENTO, 6 FUSÕES, 1 TESTE</t>
        </is>
      </c>
      <c r="J583" s="8" t="inlineStr"/>
      <c r="K583" s="8" t="inlineStr">
        <is>
          <t>AUGUSTO</t>
        </is>
      </c>
      <c r="L583" s="9" t="n">
        <v>45770</v>
      </c>
      <c r="M583" s="9" t="n">
        <v>45772</v>
      </c>
      <c r="N583" s="9" t="n">
        <v>45772</v>
      </c>
      <c r="O583" s="9" t="n">
        <v>45772</v>
      </c>
      <c r="P583" s="7" t="inlineStr">
        <is>
          <t>NÃO PRECISA</t>
        </is>
      </c>
      <c r="Q583" s="9" t="n">
        <v>45785</v>
      </c>
      <c r="R583" s="7" t="inlineStr">
        <is>
          <t>Concluído Campo</t>
        </is>
      </c>
      <c r="S583" s="9" t="n">
        <v>45775</v>
      </c>
      <c r="T583" s="10" t="inlineStr"/>
      <c r="U583" s="7" t="inlineStr">
        <is>
          <t>4730757</t>
        </is>
      </c>
      <c r="V583" s="7" t="inlineStr"/>
      <c r="W583" s="7" t="inlineStr"/>
      <c r="X583" s="7" t="inlineStr">
        <is>
          <t>MEDIÇÃO CONCLUÍDA</t>
        </is>
      </c>
      <c r="Y583" s="11">
        <f>IF(AND(L583&lt;&gt;"", S583&lt;&gt;""), S583-L583, IF(L583&lt;&gt;"", TODAY()-L583, ""))</f>
        <v/>
      </c>
      <c r="Z583" s="7">
        <f>IF(Y583="", "", IF(Y583&lt;=3, "NO PRAZO", "ATRASADO"))</f>
        <v/>
      </c>
      <c r="AA583" s="8" t="inlineStr"/>
    </row>
    <row r="584" ht="20" customHeight="1">
      <c r="A584" s="7" t="inlineStr">
        <is>
          <t>RSCLER0582</t>
        </is>
      </c>
      <c r="B584" s="8" t="inlineStr">
        <is>
          <t>PORTO ALEGRE</t>
        </is>
      </c>
      <c r="C584" s="7" t="inlineStr">
        <is>
          <t>SJEAA</t>
        </is>
      </c>
      <c r="D584" s="7" t="inlineStr">
        <is>
          <t>PRTAGA</t>
        </is>
      </c>
      <c r="E584" s="7" t="inlineStr">
        <is>
          <t>RSPLE23</t>
        </is>
      </c>
      <c r="F584" s="8" t="inlineStr">
        <is>
          <t>Condomínio TORRES H-I</t>
        </is>
      </c>
      <c r="G584" s="8" t="inlineStr">
        <is>
          <t>R PRIMEIRO DE SETEMBRO 340 BLOCOS A ATÉ O I</t>
        </is>
      </c>
      <c r="H584" s="7" t="inlineStr">
        <is>
          <t>SJEAA.041.M050</t>
        </is>
      </c>
      <c r="I584" s="8" t="inlineStr">
        <is>
          <t>FOI LANÇADO 410 METROS DE CABO DE 12FO, 6 ABERTURA E FECHAMENTO, 20 FUSÕES, 2 DERIVAÇÕES, 5 TESTES</t>
        </is>
      </c>
      <c r="J584" s="8" t="inlineStr">
        <is>
          <t>TIAGO FERREIRA</t>
        </is>
      </c>
      <c r="K584" s="8" t="inlineStr">
        <is>
          <t>AUGUSTO</t>
        </is>
      </c>
      <c r="L584" s="9" t="n">
        <v>45770</v>
      </c>
      <c r="M584" s="9" t="n">
        <v>45771</v>
      </c>
      <c r="N584" s="9" t="n">
        <v>45772</v>
      </c>
      <c r="O584" s="9" t="n">
        <v>45785</v>
      </c>
      <c r="P584" s="7" t="inlineStr">
        <is>
          <t>NÃO PRECISA</t>
        </is>
      </c>
      <c r="Q584" s="9" t="n">
        <v>45785</v>
      </c>
      <c r="R584" s="7" t="inlineStr">
        <is>
          <t>Concluído Campo</t>
        </is>
      </c>
      <c r="S584" s="9" t="n">
        <v>45775</v>
      </c>
      <c r="T584" s="10" t="inlineStr"/>
      <c r="U584" s="7" t="inlineStr">
        <is>
          <t>4809662</t>
        </is>
      </c>
      <c r="V584" s="7" t="inlineStr"/>
      <c r="W584" s="7" t="inlineStr"/>
      <c r="X584" s="7" t="inlineStr">
        <is>
          <t>MEDIÇÃO CONCLUÍDA</t>
        </is>
      </c>
      <c r="Y584" s="11">
        <f>IF(AND(L584&lt;&gt;"", S584&lt;&gt;""), S584-L584, IF(L584&lt;&gt;"", TODAY()-L584, ""))</f>
        <v/>
      </c>
      <c r="Z584" s="7">
        <f>IF(Y584="", "", IF(Y584&lt;=3, "NO PRAZO", "ATRASADO"))</f>
        <v/>
      </c>
      <c r="AA584" s="8" t="inlineStr"/>
    </row>
    <row r="585" ht="20" customHeight="1">
      <c r="A585" s="7" t="inlineStr">
        <is>
          <t>RSCLER0583</t>
        </is>
      </c>
      <c r="B585" s="8" t="inlineStr">
        <is>
          <t>PORTO ALEGRE</t>
        </is>
      </c>
      <c r="C585" s="7" t="inlineStr">
        <is>
          <t>MTSAA</t>
        </is>
      </c>
      <c r="D585" s="7" t="inlineStr">
        <is>
          <t>SJOADA</t>
        </is>
      </c>
      <c r="E585" s="7" t="inlineStr">
        <is>
          <t>PAE BV</t>
        </is>
      </c>
      <c r="F585" s="8" t="inlineStr"/>
      <c r="G585" s="8" t="inlineStr">
        <is>
          <t>R. Gen. Couto de Magalhães, 736</t>
        </is>
      </c>
      <c r="H585" s="7" t="inlineStr">
        <is>
          <t>MTSAA.214.M070</t>
        </is>
      </c>
      <c r="I585" s="8" t="inlineStr">
        <is>
          <t>2 ABERTURA E FECHAMENTO, 4 FUSÕES, 4 TESTES</t>
        </is>
      </c>
      <c r="J585" s="8" t="inlineStr"/>
      <c r="K585" s="8" t="inlineStr">
        <is>
          <t>CATIA</t>
        </is>
      </c>
      <c r="L585" s="9" t="n">
        <v>45770</v>
      </c>
      <c r="M585" s="9" t="n">
        <v>45772</v>
      </c>
      <c r="N585" s="9" t="n">
        <v>45772</v>
      </c>
      <c r="O585" s="9" t="n">
        <v>45772</v>
      </c>
      <c r="P585" s="7" t="inlineStr">
        <is>
          <t>NÃO PRECISA</t>
        </is>
      </c>
      <c r="Q585" s="9" t="n">
        <v>45785</v>
      </c>
      <c r="R585" s="7" t="inlineStr">
        <is>
          <t>Concluído Campo</t>
        </is>
      </c>
      <c r="S585" s="9" t="n">
        <v>45775</v>
      </c>
      <c r="T585" s="10" t="inlineStr"/>
      <c r="U585" s="7" t="inlineStr">
        <is>
          <t>4809751</t>
        </is>
      </c>
      <c r="V585" s="7" t="inlineStr"/>
      <c r="W585" s="7" t="inlineStr"/>
      <c r="X585" s="7" t="inlineStr">
        <is>
          <t>MEDIÇÃO CONCLUÍDA</t>
        </is>
      </c>
      <c r="Y585" s="11">
        <f>IF(AND(L585&lt;&gt;"", S585&lt;&gt;""), S585-L585, IF(L585&lt;&gt;"", TODAY()-L585, ""))</f>
        <v/>
      </c>
      <c r="Z585" s="7">
        <f>IF(Y585="", "", IF(Y585&lt;=3, "NO PRAZO", "ATRASADO"))</f>
        <v/>
      </c>
      <c r="AA585" s="8" t="inlineStr">
        <is>
          <t>100% - OK</t>
        </is>
      </c>
    </row>
    <row r="586" ht="20" customHeight="1">
      <c r="A586" s="7" t="inlineStr">
        <is>
          <t>RSCLER0584</t>
        </is>
      </c>
      <c r="B586" s="8" t="inlineStr">
        <is>
          <t>OSORIO</t>
        </is>
      </c>
      <c r="C586" s="7" t="inlineStr">
        <is>
          <t>CTO</t>
        </is>
      </c>
      <c r="D586" s="7" t="inlineStr"/>
      <c r="E586" s="7" t="inlineStr"/>
      <c r="F586" s="8" t="inlineStr"/>
      <c r="G586" s="8" t="inlineStr">
        <is>
          <t>R VIANA MOOG - 577</t>
        </is>
      </c>
      <c r="H586" s="7" t="inlineStr">
        <is>
          <t>CTO.031.M010</t>
        </is>
      </c>
      <c r="I586" s="8" t="inlineStr">
        <is>
          <t>4 ABERTURA E FECHAMENTO, 7 FUSÕES, 1 DERIVVAÇÃO, 2 TESTES</t>
        </is>
      </c>
      <c r="J586" s="8" t="inlineStr"/>
      <c r="K586" s="8" t="inlineStr">
        <is>
          <t>FABIO AMARILIO</t>
        </is>
      </c>
      <c r="L586" s="9" t="n">
        <v>45772</v>
      </c>
      <c r="M586" s="7" t="inlineStr"/>
      <c r="N586" s="7" t="inlineStr"/>
      <c r="O586" s="9" t="n">
        <v>45792</v>
      </c>
      <c r="P586" s="7" t="inlineStr">
        <is>
          <t>NÃO PRECISA</t>
        </is>
      </c>
      <c r="Q586" s="9" t="n">
        <v>45826</v>
      </c>
      <c r="R586" s="7" t="inlineStr">
        <is>
          <t>Concluído Campo</t>
        </is>
      </c>
      <c r="S586" s="7" t="inlineStr"/>
      <c r="T586" s="10" t="inlineStr"/>
      <c r="U586" s="7" t="inlineStr"/>
      <c r="V586" s="7" t="inlineStr"/>
      <c r="W586" s="7" t="inlineStr"/>
      <c r="X586" s="7" t="inlineStr">
        <is>
          <t>AG. MEDIÇÃO</t>
        </is>
      </c>
      <c r="Y586" s="11">
        <f>IF(AND(L586&lt;&gt;"", S586&lt;&gt;""), S586-L586, IF(L586&lt;&gt;"", TODAY()-L586, ""))</f>
        <v/>
      </c>
      <c r="Z586" s="7">
        <f>IF(Y586="", "", IF(Y586&lt;=3, "NO PRAZO", "ATRASADO"))</f>
        <v/>
      </c>
      <c r="AA586" s="8" t="inlineStr">
        <is>
          <t>100% - OK</t>
        </is>
      </c>
    </row>
    <row r="587" ht="20" customHeight="1">
      <c r="A587" s="7" t="inlineStr">
        <is>
          <t>RSCLER0585</t>
        </is>
      </c>
      <c r="B587" s="8" t="inlineStr">
        <is>
          <t>PORTO ALEGRE</t>
        </is>
      </c>
      <c r="C587" s="7" t="inlineStr">
        <is>
          <t>VNVAA</t>
        </is>
      </c>
      <c r="D587" s="7" t="inlineStr"/>
      <c r="E587" s="7" t="inlineStr"/>
      <c r="F587" s="8" t="inlineStr">
        <is>
          <t>Cond Res Jardim Salomoni Vi</t>
        </is>
      </c>
      <c r="G587" s="8" t="inlineStr">
        <is>
          <t>Loft - Av. João Salomoni, 715</t>
        </is>
      </c>
      <c r="H587" s="7" t="inlineStr">
        <is>
          <t>VNVAA.001.M010</t>
        </is>
      </c>
      <c r="I587" s="8" t="inlineStr">
        <is>
          <t>FOI LANÇADO 500 METROS DE CABO DE 12FO,1 ABERTURA E FECHAMENTO, 2 FUSÕES, 1 CX NOVA, 1 DERIVAÇÃO,2 TESTES</t>
        </is>
      </c>
      <c r="J587" s="8" t="inlineStr">
        <is>
          <t>UBIRATAN</t>
        </is>
      </c>
      <c r="K587" s="8" t="inlineStr">
        <is>
          <t>RODRIGO NUNES</t>
        </is>
      </c>
      <c r="L587" s="9" t="n">
        <v>45777</v>
      </c>
      <c r="M587" s="7" t="inlineStr"/>
      <c r="N587" s="7" t="inlineStr"/>
      <c r="O587" s="9" t="n">
        <v>45782</v>
      </c>
      <c r="P587" s="7" t="inlineStr">
        <is>
          <t>NÃO PRECISA</t>
        </is>
      </c>
      <c r="Q587" s="9" t="n">
        <v>45785</v>
      </c>
      <c r="R587" s="7" t="inlineStr">
        <is>
          <t>Concluído Campo</t>
        </is>
      </c>
      <c r="S587" s="7" t="inlineStr"/>
      <c r="T587" s="10" t="inlineStr"/>
      <c r="U587" s="7" t="inlineStr"/>
      <c r="V587" s="7" t="inlineStr"/>
      <c r="W587" s="7" t="inlineStr"/>
      <c r="X587" s="7" t="inlineStr">
        <is>
          <t>AG. MEDIÇÃO</t>
        </is>
      </c>
      <c r="Y587" s="11">
        <f>IF(AND(L587&lt;&gt;"", S587&lt;&gt;""), S587-L587, IF(L587&lt;&gt;"", TODAY()-L587, ""))</f>
        <v/>
      </c>
      <c r="Z587" s="7">
        <f>IF(Y587="", "", IF(Y587&lt;=3, "NO PRAZO", "ATRASADO"))</f>
        <v/>
      </c>
      <c r="AA587" s="8" t="inlineStr"/>
    </row>
    <row r="588" ht="20" customHeight="1">
      <c r="A588" s="7" t="inlineStr">
        <is>
          <t>RSCLER0586</t>
        </is>
      </c>
      <c r="B588" s="8" t="inlineStr">
        <is>
          <t>TORRES</t>
        </is>
      </c>
      <c r="C588" s="7" t="inlineStr">
        <is>
          <t>CNT</t>
        </is>
      </c>
      <c r="D588" s="7" t="inlineStr"/>
      <c r="E588" s="7" t="inlineStr"/>
      <c r="F588" s="8" t="inlineStr">
        <is>
          <t>AMPLIAÇÃO DE NAP</t>
        </is>
      </c>
      <c r="G588" s="8" t="inlineStr">
        <is>
          <t>RUA LEONARDO TRUDA, 945</t>
        </is>
      </c>
      <c r="H588" s="7" t="inlineStr">
        <is>
          <t>CNT.20,01,05</t>
        </is>
      </c>
      <c r="I588" s="8" t="inlineStr">
        <is>
          <t>FOI LANÇADO 107 METROS DE CABO DE 12FO, 6 ABERTURA E FECHAMENTO, 6 FUSÕES, 1 DERIVAÇÃO, 1 NAP NOVA, 3 TESTES</t>
        </is>
      </c>
      <c r="J588" s="8" t="inlineStr">
        <is>
          <t>MAQUENZE</t>
        </is>
      </c>
      <c r="K588" s="8" t="inlineStr">
        <is>
          <t>MAQUENZE</t>
        </is>
      </c>
      <c r="L588" s="9" t="n">
        <v>45770</v>
      </c>
      <c r="M588" s="7" t="inlineStr"/>
      <c r="N588" s="7" t="inlineStr"/>
      <c r="O588" s="9" t="n">
        <v>45776</v>
      </c>
      <c r="P588" s="7" t="inlineStr">
        <is>
          <t>NÃO PRECISA</t>
        </is>
      </c>
      <c r="Q588" s="9" t="n">
        <v>45785</v>
      </c>
      <c r="R588" s="7" t="inlineStr">
        <is>
          <t>Concluído Campo</t>
        </is>
      </c>
      <c r="S588" s="7" t="inlineStr"/>
      <c r="T588" s="10" t="inlineStr"/>
      <c r="U588" s="7" t="inlineStr"/>
      <c r="V588" s="7" t="inlineStr"/>
      <c r="W588" s="7" t="inlineStr"/>
      <c r="X588" s="7" t="inlineStr">
        <is>
          <t>AG. MEDIÇÃO</t>
        </is>
      </c>
      <c r="Y588" s="11">
        <f>IF(AND(L588&lt;&gt;"", S588&lt;&gt;""), S588-L588, IF(L588&lt;&gt;"", TODAY()-L588, ""))</f>
        <v/>
      </c>
      <c r="Z588" s="7">
        <f>IF(Y588="", "", IF(Y588&lt;=3, "NO PRAZO", "ATRASADO"))</f>
        <v/>
      </c>
      <c r="AA588" s="8" t="inlineStr"/>
    </row>
    <row r="589" ht="20" customHeight="1">
      <c r="A589" s="7" t="inlineStr">
        <is>
          <t>RSCLER0587</t>
        </is>
      </c>
      <c r="B589" s="8" t="inlineStr">
        <is>
          <t>TRAMANDAÍ</t>
        </is>
      </c>
      <c r="C589" s="7" t="inlineStr">
        <is>
          <t>TRA</t>
        </is>
      </c>
      <c r="D589" s="7" t="inlineStr"/>
      <c r="E589" s="7" t="inlineStr"/>
      <c r="F589" s="8" t="inlineStr"/>
      <c r="G589" s="8" t="inlineStr">
        <is>
          <t>RUA SAHYD ABRÃO, 154</t>
        </is>
      </c>
      <c r="H589" s="7" t="inlineStr">
        <is>
          <t>TRA.053.M010</t>
        </is>
      </c>
      <c r="I589" s="8" t="inlineStr">
        <is>
          <t>2 ABERTURA E FECHAMENTO, 2 FUSÕES, 1 TESTE</t>
        </is>
      </c>
      <c r="J589" s="8" t="inlineStr"/>
      <c r="K589" s="8" t="inlineStr">
        <is>
          <t>FABIO AMARILIO</t>
        </is>
      </c>
      <c r="L589" s="9" t="n">
        <v>45770</v>
      </c>
      <c r="M589" s="7" t="inlineStr"/>
      <c r="N589" s="7" t="inlineStr"/>
      <c r="O589" s="9" t="n">
        <v>45776</v>
      </c>
      <c r="P589" s="7" t="inlineStr">
        <is>
          <t>NÃO PRECISA</t>
        </is>
      </c>
      <c r="Q589" s="9" t="n">
        <v>45785</v>
      </c>
      <c r="R589" s="7" t="inlineStr">
        <is>
          <t>Concluído Campo</t>
        </is>
      </c>
      <c r="S589" s="9" t="n">
        <v>45820</v>
      </c>
      <c r="T589" s="10" t="inlineStr"/>
      <c r="U589" s="7" t="inlineStr">
        <is>
          <t>4971353</t>
        </is>
      </c>
      <c r="V589" s="7" t="inlineStr">
        <is>
          <t>FINALIZADO</t>
        </is>
      </c>
      <c r="W589" s="7" t="inlineStr"/>
      <c r="X589" s="7" t="inlineStr">
        <is>
          <t>MEDIÇÃO CONCLUÍDA</t>
        </is>
      </c>
      <c r="Y589" s="11">
        <f>IF(AND(L589&lt;&gt;"", S589&lt;&gt;""), S589-L589, IF(L589&lt;&gt;"", TODAY()-L589, ""))</f>
        <v/>
      </c>
      <c r="Z589" s="7">
        <f>IF(Y589="", "", IF(Y589&lt;=3, "NO PRAZO", "ATRASADO"))</f>
        <v/>
      </c>
      <c r="AA589" s="8" t="inlineStr"/>
    </row>
    <row r="590" ht="20" customHeight="1">
      <c r="A590" s="7" t="inlineStr">
        <is>
          <t>RSCLER0588</t>
        </is>
      </c>
      <c r="B590" s="8" t="inlineStr">
        <is>
          <t>PORTO ALEGRE</t>
        </is>
      </c>
      <c r="C590" s="7" t="inlineStr">
        <is>
          <t>MNDAC</t>
        </is>
      </c>
      <c r="D590" s="7" t="inlineStr">
        <is>
          <t>STZAF</t>
        </is>
      </c>
      <c r="E590" s="7" t="inlineStr">
        <is>
          <t>PAE CL</t>
        </is>
      </c>
      <c r="F590" s="8" t="inlineStr"/>
      <c r="G590" s="8" t="inlineStr">
        <is>
          <t>Rua Dra Ana Aurora Nunes Wagner, 90 - 200</t>
        </is>
      </c>
      <c r="H590" s="7" t="inlineStr">
        <is>
          <t>MNDAC.139.M030</t>
        </is>
      </c>
      <c r="I590" s="8" t="inlineStr"/>
      <c r="J590" s="8" t="inlineStr">
        <is>
          <t>UBIRATAN</t>
        </is>
      </c>
      <c r="K590" s="8" t="inlineStr">
        <is>
          <t>DERIK</t>
        </is>
      </c>
      <c r="L590" s="9" t="n">
        <v>45750</v>
      </c>
      <c r="M590" s="7" t="inlineStr"/>
      <c r="N590" s="7" t="inlineStr"/>
      <c r="O590" s="9" t="n">
        <v>45750</v>
      </c>
      <c r="P590" s="7" t="inlineStr">
        <is>
          <t>NÃO PRECISA</t>
        </is>
      </c>
      <c r="Q590" s="7" t="inlineStr"/>
      <c r="R590" s="7" t="inlineStr">
        <is>
          <t>Concluído Campo</t>
        </is>
      </c>
      <c r="S590" s="9" t="n">
        <v>45790</v>
      </c>
      <c r="T590" s="10" t="inlineStr"/>
      <c r="U590" s="7" t="inlineStr">
        <is>
          <t>4808937</t>
        </is>
      </c>
      <c r="V590" s="7" t="inlineStr"/>
      <c r="W590" s="7" t="inlineStr"/>
      <c r="X590" s="7" t="inlineStr">
        <is>
          <t>MEDIÇÃO CONCLUÍDA</t>
        </is>
      </c>
      <c r="Y590" s="11">
        <f>IF(AND(L590&lt;&gt;"", S590&lt;&gt;""), S590-L590, IF(L590&lt;&gt;"", TODAY()-L590, ""))</f>
        <v/>
      </c>
      <c r="Z590" s="7">
        <f>IF(Y590="", "", IF(Y590&lt;=3, "NO PRAZO", "ATRASADO"))</f>
        <v/>
      </c>
      <c r="AA590" s="8" t="inlineStr"/>
    </row>
    <row r="591" ht="20" customHeight="1">
      <c r="A591" s="7" t="inlineStr">
        <is>
          <t>RSCLER0589</t>
        </is>
      </c>
      <c r="B591" s="8" t="inlineStr">
        <is>
          <t>PORTO ALEGRE</t>
        </is>
      </c>
      <c r="C591" s="7" t="inlineStr">
        <is>
          <t>GUAAA</t>
        </is>
      </c>
      <c r="D591" s="7" t="inlineStr">
        <is>
          <t>GUAAC</t>
        </is>
      </c>
      <c r="E591" s="7" t="inlineStr">
        <is>
          <t>RSPSU21</t>
        </is>
      </c>
      <c r="F591" s="8" t="inlineStr"/>
      <c r="G591" s="8" t="inlineStr">
        <is>
          <t>R. Prof. Antônio José Remião 15</t>
        </is>
      </c>
      <c r="H591" s="7" t="inlineStr">
        <is>
          <t>GUAAA.043.01.01</t>
        </is>
      </c>
      <c r="I591" s="8" t="inlineStr">
        <is>
          <t>DENTRO DO NODE GUAAC</t>
        </is>
      </c>
      <c r="J591" s="8" t="inlineStr"/>
      <c r="K591" s="8" t="inlineStr">
        <is>
          <t>CESAR LEANDRO</t>
        </is>
      </c>
      <c r="L591" s="9" t="n">
        <v>45784</v>
      </c>
      <c r="M591" s="7" t="inlineStr"/>
      <c r="N591" s="7" t="inlineStr"/>
      <c r="O591" s="9" t="n">
        <v>45796</v>
      </c>
      <c r="P591" s="7" t="inlineStr">
        <is>
          <t>NÃO PRECISA</t>
        </is>
      </c>
      <c r="Q591" s="7" t="inlineStr">
        <is>
          <t>COBRAR NO NODE</t>
        </is>
      </c>
      <c r="R591" s="7" t="inlineStr">
        <is>
          <t>Concluído Campo</t>
        </is>
      </c>
      <c r="S591" s="9" t="n">
        <v>45807</v>
      </c>
      <c r="T591" s="10" t="inlineStr"/>
      <c r="U591" s="7" t="inlineStr">
        <is>
          <t>4840840</t>
        </is>
      </c>
      <c r="V591" s="7" t="inlineStr">
        <is>
          <t>FINALIZADO</t>
        </is>
      </c>
      <c r="W591" s="7" t="inlineStr"/>
      <c r="X591" s="7" t="inlineStr">
        <is>
          <t>MEDIÇÃO CONCLUÍDA</t>
        </is>
      </c>
      <c r="Y591" s="11">
        <f>IF(AND(L591&lt;&gt;"", S591&lt;&gt;""), S591-L591, IF(L591&lt;&gt;"", TODAY()-L591, ""))</f>
        <v/>
      </c>
      <c r="Z591" s="7">
        <f>IF(Y591="", "", IF(Y591&lt;=3, "NO PRAZO", "ATRASADO"))</f>
        <v/>
      </c>
      <c r="AA591" s="8" t="inlineStr"/>
    </row>
    <row r="592" ht="20" customHeight="1">
      <c r="A592" s="7" t="inlineStr">
        <is>
          <t>RSCLER0590</t>
        </is>
      </c>
      <c r="B592" s="8" t="inlineStr">
        <is>
          <t>PORTO ALEGRE</t>
        </is>
      </c>
      <c r="C592" s="7" t="inlineStr">
        <is>
          <t>GUAAA</t>
        </is>
      </c>
      <c r="D592" s="7" t="inlineStr">
        <is>
          <t>GUAAC</t>
        </is>
      </c>
      <c r="E592" s="7" t="inlineStr">
        <is>
          <t>RSPSU21</t>
        </is>
      </c>
      <c r="F592" s="8" t="inlineStr">
        <is>
          <t>Cond Recantos do Guaruja</t>
        </is>
      </c>
      <c r="G592" s="8" t="inlineStr">
        <is>
          <t>Loft R. Ancara, 360</t>
        </is>
      </c>
      <c r="H592" s="7" t="inlineStr">
        <is>
          <t>GUAAA.041.M010</t>
        </is>
      </c>
      <c r="I592" s="8" t="inlineStr">
        <is>
          <t>DENTRO DO NODE GUAAC</t>
        </is>
      </c>
      <c r="J592" s="8" t="inlineStr">
        <is>
          <t>VICTOR</t>
        </is>
      </c>
      <c r="K592" s="8" t="inlineStr">
        <is>
          <t>CESAR LEANDRO</t>
        </is>
      </c>
      <c r="L592" s="9" t="n">
        <v>45784</v>
      </c>
      <c r="M592" s="7" t="inlineStr"/>
      <c r="N592" s="7" t="inlineStr"/>
      <c r="O592" s="9" t="n">
        <v>45791</v>
      </c>
      <c r="P592" s="7" t="inlineStr">
        <is>
          <t>NÃO PRECISA</t>
        </is>
      </c>
      <c r="Q592" s="7" t="inlineStr">
        <is>
          <t>COBRAR NO NODE</t>
        </is>
      </c>
      <c r="R592" s="7" t="inlineStr">
        <is>
          <t>Concluído Campo</t>
        </is>
      </c>
      <c r="S592" s="9" t="n">
        <v>45800</v>
      </c>
      <c r="T592" s="10" t="inlineStr"/>
      <c r="U592" s="7" t="inlineStr">
        <is>
          <t>4840878</t>
        </is>
      </c>
      <c r="V592" s="7" t="inlineStr">
        <is>
          <t>FINALIZADO</t>
        </is>
      </c>
      <c r="W592" s="7" t="inlineStr"/>
      <c r="X592" s="7" t="inlineStr">
        <is>
          <t>MEDIÇÃO CONCLUÍDA</t>
        </is>
      </c>
      <c r="Y592" s="11">
        <f>IF(AND(L592&lt;&gt;"", S592&lt;&gt;""), S592-L592, IF(L592&lt;&gt;"", TODAY()-L592, ""))</f>
        <v/>
      </c>
      <c r="Z592" s="7">
        <f>IF(Y592="", "", IF(Y592&lt;=3, "NO PRAZO", "ATRASADO"))</f>
        <v/>
      </c>
      <c r="AA592" s="8" t="inlineStr"/>
    </row>
    <row r="593" ht="20" customHeight="1">
      <c r="A593" s="7" t="inlineStr">
        <is>
          <t>RSCLER0591</t>
        </is>
      </c>
      <c r="B593" s="8" t="inlineStr">
        <is>
          <t>TORRES</t>
        </is>
      </c>
      <c r="C593" s="7" t="inlineStr">
        <is>
          <t>CLC</t>
        </is>
      </c>
      <c r="D593" s="7" t="inlineStr"/>
      <c r="E593" s="7" t="inlineStr"/>
      <c r="F593" s="8" t="inlineStr"/>
      <c r="G593" s="8" t="inlineStr">
        <is>
          <t>Av Independencia, 930</t>
        </is>
      </c>
      <c r="H593" s="7" t="inlineStr">
        <is>
          <t>CLC011.M4</t>
        </is>
      </c>
      <c r="I593" s="8" t="inlineStr">
        <is>
          <t>5 ABERTURA E FECHAMENTO, 5 FUSÕES, 3 TESTES</t>
        </is>
      </c>
      <c r="J593" s="8" t="inlineStr"/>
      <c r="K593" s="8" t="inlineStr">
        <is>
          <t>MAQUENZE</t>
        </is>
      </c>
      <c r="L593" s="9" t="n">
        <v>45786</v>
      </c>
      <c r="M593" s="7" t="inlineStr"/>
      <c r="N593" s="7" t="inlineStr"/>
      <c r="O593" s="9" t="n">
        <v>45820</v>
      </c>
      <c r="P593" s="7" t="inlineStr">
        <is>
          <t>NÃO PRECISA</t>
        </is>
      </c>
      <c r="Q593" s="9" t="n">
        <v>45845</v>
      </c>
      <c r="R593" s="7" t="inlineStr">
        <is>
          <t>Concluído Campo</t>
        </is>
      </c>
      <c r="S593" s="7" t="inlineStr"/>
      <c r="T593" s="10" t="inlineStr"/>
      <c r="U593" s="7" t="inlineStr"/>
      <c r="V593" s="7" t="inlineStr"/>
      <c r="W593" s="7" t="inlineStr"/>
      <c r="X593" s="7" t="inlineStr">
        <is>
          <t>AG. MEDIÇÃO</t>
        </is>
      </c>
      <c r="Y593" s="11">
        <f>IF(AND(L593&lt;&gt;"", S593&lt;&gt;""), S593-L593, IF(L593&lt;&gt;"", TODAY()-L593, ""))</f>
        <v/>
      </c>
      <c r="Z593" s="7">
        <f>IF(Y593="", "", IF(Y593&lt;=3, "NO PRAZO", "ATRASADO"))</f>
        <v/>
      </c>
      <c r="AA593" s="8" t="inlineStr"/>
    </row>
    <row r="594" ht="20" customHeight="1">
      <c r="A594" s="7" t="inlineStr">
        <is>
          <t>RSCLER0592</t>
        </is>
      </c>
      <c r="B594" s="8" t="inlineStr">
        <is>
          <t>PORTO ALEGRE</t>
        </is>
      </c>
      <c r="C594" s="7" t="inlineStr">
        <is>
          <t>TRZAA</t>
        </is>
      </c>
      <c r="D594" s="7" t="inlineStr">
        <is>
          <t>TRZAF</t>
        </is>
      </c>
      <c r="E594" s="7" t="inlineStr">
        <is>
          <t>RSPSU11</t>
        </is>
      </c>
      <c r="F594" s="8" t="inlineStr">
        <is>
          <t>Cond. ESO144</t>
        </is>
      </c>
      <c r="G594" s="8" t="inlineStr">
        <is>
          <t>R. Dr. Pereira Neto, 144</t>
        </is>
      </c>
      <c r="H594" s="7" t="inlineStr">
        <is>
          <t>TRZAA.051.M010</t>
        </is>
      </c>
      <c r="I594" s="8" t="inlineStr">
        <is>
          <t>2 ABERTURA E FECHAMENTO, 2 FUSÕES, 2 TESTES</t>
        </is>
      </c>
      <c r="J594" s="8" t="inlineStr"/>
      <c r="K594" s="8" t="inlineStr">
        <is>
          <t>RODRIGO NUNES</t>
        </is>
      </c>
      <c r="L594" s="9" t="n">
        <v>45789</v>
      </c>
      <c r="M594" s="7" t="inlineStr"/>
      <c r="N594" s="7" t="inlineStr"/>
      <c r="O594" s="9" t="n">
        <v>45790</v>
      </c>
      <c r="P594" s="7" t="inlineStr">
        <is>
          <t>NÃO PRECISA</t>
        </is>
      </c>
      <c r="Q594" s="9" t="n">
        <v>45826</v>
      </c>
      <c r="R594" s="7" t="inlineStr">
        <is>
          <t>Concluído Campo</t>
        </is>
      </c>
      <c r="S594" s="9" t="n">
        <v>45796</v>
      </c>
      <c r="T594" s="10" t="inlineStr"/>
      <c r="U594" s="7" t="inlineStr">
        <is>
          <t>4804113</t>
        </is>
      </c>
      <c r="V594" s="7" t="inlineStr"/>
      <c r="W594" s="7" t="inlineStr"/>
      <c r="X594" s="7" t="inlineStr">
        <is>
          <t>MEDIÇÃO CONCLUÍDA</t>
        </is>
      </c>
      <c r="Y594" s="11">
        <f>IF(AND(L594&lt;&gt;"", S594&lt;&gt;""), S594-L594, IF(L594&lt;&gt;"", TODAY()-L594, ""))</f>
        <v/>
      </c>
      <c r="Z594" s="7">
        <f>IF(Y594="", "", IF(Y594&lt;=3, "NO PRAZO", "ATRASADO"))</f>
        <v/>
      </c>
      <c r="AA594" s="8" t="inlineStr"/>
    </row>
    <row r="595" ht="20" customHeight="1">
      <c r="A595" s="7" t="inlineStr">
        <is>
          <t>RSCLER0593</t>
        </is>
      </c>
      <c r="B595" s="8" t="inlineStr">
        <is>
          <t>NOVO HAMBURGO</t>
        </is>
      </c>
      <c r="C595" s="7" t="inlineStr">
        <is>
          <t>CNTAA</t>
        </is>
      </c>
      <c r="D595" s="7" t="inlineStr">
        <is>
          <t>CNTABB</t>
        </is>
      </c>
      <c r="E595" s="7" t="inlineStr">
        <is>
          <t>NHO LO</t>
        </is>
      </c>
      <c r="F595" s="8" t="inlineStr">
        <is>
          <t>RESIDENCIAL IBIZA</t>
        </is>
      </c>
      <c r="G595" s="8" t="inlineStr">
        <is>
          <t>RUA HENRI DURANT, 801</t>
        </is>
      </c>
      <c r="H595" s="7" t="inlineStr">
        <is>
          <t>CNTAA.051.M120</t>
        </is>
      </c>
      <c r="I595" s="8" t="inlineStr">
        <is>
          <t>FOI LANÇADO 505 METROS DE CABO DE 24FO, FOI LANÇADO 690 METROS DE CABO DE 12FO,  6 ABERTURA E FECHAMENTO, 28 FUSÕES, 6 DERIVAÇÕES, 2 CX NOVA 4 TESTES, COBRAR 130 METROS DE CORDOALHA</t>
        </is>
      </c>
      <c r="J595" s="8" t="inlineStr">
        <is>
          <t>TIAGO FERREIRA / JOÃO FELIPE/ CESAR LEANDRO</t>
        </is>
      </c>
      <c r="K595" s="8" t="inlineStr">
        <is>
          <t>CESAR LEANDRO</t>
        </is>
      </c>
      <c r="L595" s="9" t="n">
        <v>45791</v>
      </c>
      <c r="M595" s="7" t="inlineStr"/>
      <c r="N595" s="7" t="inlineStr"/>
      <c r="O595" s="9" t="n">
        <v>45807</v>
      </c>
      <c r="P595" s="7" t="inlineStr">
        <is>
          <t>NÃO PRECISA</t>
        </is>
      </c>
      <c r="Q595" s="9" t="n">
        <v>45826</v>
      </c>
      <c r="R595" s="7" t="inlineStr">
        <is>
          <t>Concluído Campo</t>
        </is>
      </c>
      <c r="S595" s="9" t="n">
        <v>45799</v>
      </c>
      <c r="T595" s="10" t="inlineStr"/>
      <c r="U595" s="7" t="inlineStr">
        <is>
          <t>4810313</t>
        </is>
      </c>
      <c r="V595" s="7" t="inlineStr"/>
      <c r="W595" s="7" t="inlineStr"/>
      <c r="X595" s="7" t="inlineStr">
        <is>
          <t>MEDIÇÃO CONCLUÍDA</t>
        </is>
      </c>
      <c r="Y595" s="11">
        <f>IF(AND(L595&lt;&gt;"", S595&lt;&gt;""), S595-L595, IF(L595&lt;&gt;"", TODAY()-L595, ""))</f>
        <v/>
      </c>
      <c r="Z595" s="7">
        <f>IF(Y595="", "", IF(Y595&lt;=3, "NO PRAZO", "ATRASADO"))</f>
        <v/>
      </c>
      <c r="AA595" s="8" t="inlineStr"/>
    </row>
    <row r="596" ht="20" customHeight="1">
      <c r="A596" s="7" t="inlineStr">
        <is>
          <t>RSCLER0594</t>
        </is>
      </c>
      <c r="B596" s="8" t="inlineStr">
        <is>
          <t>NOVO HAMBURGO</t>
        </is>
      </c>
      <c r="C596" s="7" t="inlineStr">
        <is>
          <t>RNDAA</t>
        </is>
      </c>
      <c r="D596" s="7" t="inlineStr">
        <is>
          <t>RNDAH</t>
        </is>
      </c>
      <c r="E596" s="7" t="inlineStr">
        <is>
          <t>RSNHO12</t>
        </is>
      </c>
      <c r="F596" s="8" t="inlineStr">
        <is>
          <t>RESIDENCIAL TERRAS ALTAS</t>
        </is>
      </c>
      <c r="G596" s="8" t="inlineStr">
        <is>
          <t>R. João Pedro Schmitt, 700</t>
        </is>
      </c>
      <c r="H596" s="7" t="inlineStr">
        <is>
          <t>RNDAA.061.M030</t>
        </is>
      </c>
      <c r="I596" s="8" t="inlineStr">
        <is>
          <t>FOI LANÇADO 210 METROS DE CABO DE 12FO, 3 ABERTURA E FECHAMENTO, 3 TESTE, 9 FUSÃO, 1 CX NOVA</t>
        </is>
      </c>
      <c r="J596" s="8" t="inlineStr">
        <is>
          <t>JOÃO FELIPE</t>
        </is>
      </c>
      <c r="K596" s="8" t="inlineStr">
        <is>
          <t>CESAR LEANDRO</t>
        </is>
      </c>
      <c r="L596" s="9" t="n">
        <v>45793</v>
      </c>
      <c r="M596" s="7" t="inlineStr"/>
      <c r="N596" s="7" t="inlineStr"/>
      <c r="O596" s="9" t="n">
        <v>45800</v>
      </c>
      <c r="P596" s="7" t="inlineStr">
        <is>
          <t>NÃO PRECISA</t>
        </is>
      </c>
      <c r="Q596" s="9" t="n">
        <v>45826</v>
      </c>
      <c r="R596" s="7" t="inlineStr">
        <is>
          <t>Concluído Campo</t>
        </is>
      </c>
      <c r="S596" s="9" t="n">
        <v>45800</v>
      </c>
      <c r="T596" s="10" t="inlineStr"/>
      <c r="U596" s="7" t="inlineStr">
        <is>
          <t>4810024</t>
        </is>
      </c>
      <c r="V596" s="7" t="inlineStr"/>
      <c r="W596" s="7" t="inlineStr"/>
      <c r="X596" s="7" t="inlineStr">
        <is>
          <t>MEDIÇÃO CONCLUÍDA</t>
        </is>
      </c>
      <c r="Y596" s="11">
        <f>IF(AND(L596&lt;&gt;"", S596&lt;&gt;""), S596-L596, IF(L596&lt;&gt;"", TODAY()-L596, ""))</f>
        <v/>
      </c>
      <c r="Z596" s="7">
        <f>IF(Y596="", "", IF(Y596&lt;=3, "NO PRAZO", "ATRASADO"))</f>
        <v/>
      </c>
      <c r="AA596" s="8" t="inlineStr">
        <is>
          <t>100% - OK</t>
        </is>
      </c>
    </row>
    <row r="597" ht="20" customHeight="1">
      <c r="A597" s="7" t="inlineStr">
        <is>
          <t>RSCLER0595</t>
        </is>
      </c>
      <c r="B597" s="8" t="inlineStr">
        <is>
          <t>PORTO ALEGRE</t>
        </is>
      </c>
      <c r="C597" s="7" t="inlineStr">
        <is>
          <t>PDRAA</t>
        </is>
      </c>
      <c r="D597" s="7" t="inlineStr">
        <is>
          <t>VIPAG</t>
        </is>
      </c>
      <c r="E597" s="7" t="inlineStr">
        <is>
          <t>RSPNO17</t>
        </is>
      </c>
      <c r="F597" s="8" t="inlineStr">
        <is>
          <t>Cond. Itapema</t>
        </is>
      </c>
      <c r="G597" s="8" t="inlineStr">
        <is>
          <t>Rua Sapê, 865</t>
        </is>
      </c>
      <c r="H597" s="7" t="inlineStr">
        <is>
          <t>PDRAA.111.M020</t>
        </is>
      </c>
      <c r="I597" s="8" t="inlineStr">
        <is>
          <t>ESTA DENTRO DO NODE VIPAG FASE 2.</t>
        </is>
      </c>
      <c r="J597" s="8" t="inlineStr">
        <is>
          <t>THIAGO LAMBRETA</t>
        </is>
      </c>
      <c r="K597" s="8" t="inlineStr">
        <is>
          <t>GILSON</t>
        </is>
      </c>
      <c r="L597" s="9" t="n">
        <v>45796</v>
      </c>
      <c r="M597" s="7" t="inlineStr"/>
      <c r="N597" s="7" t="inlineStr"/>
      <c r="O597" s="9" t="n">
        <v>45800</v>
      </c>
      <c r="P597" s="7" t="inlineStr">
        <is>
          <t>NÃO PRECISA</t>
        </is>
      </c>
      <c r="Q597" s="7" t="inlineStr">
        <is>
          <t>COBRAR NO NODE</t>
        </is>
      </c>
      <c r="R597" s="7" t="inlineStr">
        <is>
          <t>Concluído Campo</t>
        </is>
      </c>
      <c r="S597" s="7" t="inlineStr"/>
      <c r="T597" s="10" t="inlineStr"/>
      <c r="U597" s="7" t="inlineStr"/>
      <c r="V597" s="7" t="inlineStr"/>
      <c r="W597" s="7" t="inlineStr"/>
      <c r="X597" s="7" t="inlineStr">
        <is>
          <t>AG. MEDIÇÃO</t>
        </is>
      </c>
      <c r="Y597" s="11">
        <f>IF(AND(L597&lt;&gt;"", S597&lt;&gt;""), S597-L597, IF(L597&lt;&gt;"", TODAY()-L597, ""))</f>
        <v/>
      </c>
      <c r="Z597" s="7">
        <f>IF(Y597="", "", IF(Y597&lt;=3, "NO PRAZO", "ATRASADO"))</f>
        <v/>
      </c>
      <c r="AA597" s="8" t="inlineStr">
        <is>
          <t>100% - OK</t>
        </is>
      </c>
    </row>
    <row r="598" ht="20" customHeight="1">
      <c r="A598" s="7" t="inlineStr">
        <is>
          <t>RSCLER0596</t>
        </is>
      </c>
      <c r="B598" s="8" t="inlineStr">
        <is>
          <t>PORTO ALEGRE</t>
        </is>
      </c>
      <c r="C598" s="7" t="inlineStr">
        <is>
          <t>VIPAA</t>
        </is>
      </c>
      <c r="D598" s="7" t="inlineStr">
        <is>
          <t>VIPAE</t>
        </is>
      </c>
      <c r="E598" s="7" t="inlineStr">
        <is>
          <t>RSPNO19</t>
        </is>
      </c>
      <c r="F598" s="8" t="inlineStr"/>
      <c r="G598" s="8" t="inlineStr">
        <is>
          <t>R. Cipó, 275</t>
        </is>
      </c>
      <c r="H598" s="7" t="inlineStr">
        <is>
          <t>VIPAA.071.M020</t>
        </is>
      </c>
      <c r="I598" s="8" t="inlineStr">
        <is>
          <t>3 ABERTURA E FECHAMENTO, 6 FUSÕES, 3 TESTES</t>
        </is>
      </c>
      <c r="J598" s="8" t="inlineStr"/>
      <c r="K598" s="8" t="inlineStr">
        <is>
          <t>CESAR LEANDRO</t>
        </is>
      </c>
      <c r="L598" s="9" t="n">
        <v>45796</v>
      </c>
      <c r="M598" s="7" t="inlineStr"/>
      <c r="N598" s="7" t="inlineStr"/>
      <c r="O598" s="9" t="n">
        <v>45796</v>
      </c>
      <c r="P598" s="7" t="inlineStr">
        <is>
          <t>NÃO PRECISA</t>
        </is>
      </c>
      <c r="Q598" s="9" t="n">
        <v>45826</v>
      </c>
      <c r="R598" s="7" t="inlineStr">
        <is>
          <t>Concluído Campo</t>
        </is>
      </c>
      <c r="S598" s="7" t="inlineStr"/>
      <c r="T598" s="10" t="inlineStr"/>
      <c r="U598" s="7" t="inlineStr"/>
      <c r="V598" s="7" t="inlineStr"/>
      <c r="W598" s="7" t="inlineStr"/>
      <c r="X598" s="7" t="inlineStr">
        <is>
          <t>AG. MEDIÇÃO</t>
        </is>
      </c>
      <c r="Y598" s="11">
        <f>IF(AND(L598&lt;&gt;"", S598&lt;&gt;""), S598-L598, IF(L598&lt;&gt;"", TODAY()-L598, ""))</f>
        <v/>
      </c>
      <c r="Z598" s="7">
        <f>IF(Y598="", "", IF(Y598&lt;=3, "NO PRAZO", "ATRASADO"))</f>
        <v/>
      </c>
      <c r="AA598" s="8" t="inlineStr"/>
    </row>
    <row r="599" ht="20" customHeight="1">
      <c r="A599" s="7" t="inlineStr">
        <is>
          <t>RSCLER0597</t>
        </is>
      </c>
      <c r="B599" s="8" t="inlineStr">
        <is>
          <t>TORRES</t>
        </is>
      </c>
      <c r="C599" s="7" t="inlineStr">
        <is>
          <t>CLC</t>
        </is>
      </c>
      <c r="D599" s="7" t="inlineStr"/>
      <c r="E599" s="7" t="inlineStr"/>
      <c r="F599" s="8" t="inlineStr"/>
      <c r="G599" s="8" t="inlineStr">
        <is>
          <t>R CRUZEIRO DO SUL, 288</t>
        </is>
      </c>
      <c r="H599" s="7" t="inlineStr">
        <is>
          <t>CLC12-M8</t>
        </is>
      </c>
      <c r="I599" s="8" t="inlineStr">
        <is>
          <t>3 ABERTURA E FECHAMENTO, 3 FUSÕES, 1 TESTE</t>
        </is>
      </c>
      <c r="J599" s="8" t="inlineStr"/>
      <c r="K599" s="8" t="inlineStr">
        <is>
          <t>MAQUENZE</t>
        </is>
      </c>
      <c r="L599" s="9" t="n">
        <v>45798</v>
      </c>
      <c r="M599" s="7" t="inlineStr"/>
      <c r="N599" s="7" t="inlineStr"/>
      <c r="O599" s="9" t="n">
        <v>45799</v>
      </c>
      <c r="P599" s="7" t="inlineStr">
        <is>
          <t>NÃO PRECISA</t>
        </is>
      </c>
      <c r="Q599" s="9" t="n">
        <v>45826</v>
      </c>
      <c r="R599" s="7" t="inlineStr">
        <is>
          <t>Concluído Campo</t>
        </is>
      </c>
      <c r="S599" s="7" t="inlineStr"/>
      <c r="T599" s="10" t="inlineStr"/>
      <c r="U599" s="7" t="inlineStr"/>
      <c r="V599" s="7" t="inlineStr"/>
      <c r="W599" s="7" t="inlineStr"/>
      <c r="X599" s="7" t="inlineStr">
        <is>
          <t>AG. MEDIÇÃO</t>
        </is>
      </c>
      <c r="Y599" s="11">
        <f>IF(AND(L599&lt;&gt;"", S599&lt;&gt;""), S599-L599, IF(L599&lt;&gt;"", TODAY()-L599, ""))</f>
        <v/>
      </c>
      <c r="Z599" s="7">
        <f>IF(Y599="", "", IF(Y599&lt;=3, "NO PRAZO", "ATRASADO"))</f>
        <v/>
      </c>
      <c r="AA599" s="8" t="inlineStr">
        <is>
          <t>100% - OK</t>
        </is>
      </c>
    </row>
    <row r="600" ht="20" customHeight="1">
      <c r="A600" s="7" t="inlineStr">
        <is>
          <t>RSCLER0598</t>
        </is>
      </c>
      <c r="B600" s="8" t="inlineStr">
        <is>
          <t>TORRES</t>
        </is>
      </c>
      <c r="C600" s="7" t="inlineStr">
        <is>
          <t>CNT</t>
        </is>
      </c>
      <c r="D600" s="7" t="inlineStr"/>
      <c r="E600" s="7" t="inlineStr"/>
      <c r="F600" s="8" t="inlineStr"/>
      <c r="G600" s="8" t="inlineStr">
        <is>
          <t>BENJAMIN CONSTANT 716</t>
        </is>
      </c>
      <c r="H600" s="7" t="inlineStr">
        <is>
          <t>CNT007.M3</t>
        </is>
      </c>
      <c r="I600" s="8" t="inlineStr">
        <is>
          <t>4 ABERTURA E FECHAMENTO, 16 FUSÕES, 4 TESTES</t>
        </is>
      </c>
      <c r="J600" s="8" t="inlineStr"/>
      <c r="K600" s="8" t="inlineStr">
        <is>
          <t>MAQUENZE</t>
        </is>
      </c>
      <c r="L600" s="9" t="n">
        <v>45797</v>
      </c>
      <c r="M600" s="7" t="inlineStr"/>
      <c r="N600" s="7" t="inlineStr"/>
      <c r="O600" s="9" t="n">
        <v>45800</v>
      </c>
      <c r="P600" s="7" t="inlineStr">
        <is>
          <t>NÃO PRECISA</t>
        </is>
      </c>
      <c r="Q600" s="9" t="n">
        <v>45826</v>
      </c>
      <c r="R600" s="7" t="inlineStr">
        <is>
          <t>Concluído Campo</t>
        </is>
      </c>
      <c r="S600" s="9" t="n">
        <v>45807</v>
      </c>
      <c r="T600" s="10" t="inlineStr"/>
      <c r="U600" s="7" t="inlineStr">
        <is>
          <t>4809980</t>
        </is>
      </c>
      <c r="V600" s="7" t="inlineStr"/>
      <c r="W600" s="7" t="inlineStr"/>
      <c r="X600" s="7" t="inlineStr">
        <is>
          <t>MEDIÇÃO CONCLUÍDA</t>
        </is>
      </c>
      <c r="Y600" s="11">
        <f>IF(AND(L600&lt;&gt;"", S600&lt;&gt;""), S600-L600, IF(L600&lt;&gt;"", TODAY()-L600, ""))</f>
        <v/>
      </c>
      <c r="Z600" s="7">
        <f>IF(Y600="", "", IF(Y600&lt;=3, "NO PRAZO", "ATRASADO"))</f>
        <v/>
      </c>
      <c r="AA600" s="8" t="inlineStr">
        <is>
          <t>100% - OK</t>
        </is>
      </c>
    </row>
    <row r="601" ht="20" customHeight="1">
      <c r="A601" s="7" t="inlineStr">
        <is>
          <t>RSCLER0599</t>
        </is>
      </c>
      <c r="B601" s="8" t="inlineStr">
        <is>
          <t>CAPÃO DA CANOA</t>
        </is>
      </c>
      <c r="C601" s="7" t="inlineStr">
        <is>
          <t>CAPAA</t>
        </is>
      </c>
      <c r="D601" s="7" t="inlineStr">
        <is>
          <t>CAPAG</t>
        </is>
      </c>
      <c r="E601" s="7" t="inlineStr">
        <is>
          <t>KDK DTC</t>
        </is>
      </c>
      <c r="F601" s="8" t="inlineStr"/>
      <c r="G601" s="8" t="inlineStr">
        <is>
          <t>FLAVIO BOIANOVISK 106</t>
        </is>
      </c>
      <c r="H601" s="7" t="inlineStr">
        <is>
          <t>CAPAA.138.M020</t>
        </is>
      </c>
      <c r="I601" s="8" t="inlineStr">
        <is>
          <t>DENTRO DO NODE CAPAG</t>
        </is>
      </c>
      <c r="J601" s="8" t="inlineStr">
        <is>
          <t>JOÃO FELIPE</t>
        </is>
      </c>
      <c r="K601" s="8" t="inlineStr">
        <is>
          <t>FABIO AMARILHO</t>
        </is>
      </c>
      <c r="L601" s="9" t="n">
        <v>45786</v>
      </c>
      <c r="M601" s="7" t="inlineStr"/>
      <c r="N601" s="7" t="inlineStr"/>
      <c r="O601" s="9" t="n">
        <v>45797</v>
      </c>
      <c r="P601" s="7" t="inlineStr">
        <is>
          <t>NÃO PRECISA</t>
        </is>
      </c>
      <c r="Q601" s="7" t="inlineStr">
        <is>
          <t>COBRAR NO NODE</t>
        </is>
      </c>
      <c r="R601" s="7" t="inlineStr">
        <is>
          <t>Concluído Campo</t>
        </is>
      </c>
      <c r="S601" s="9" t="n">
        <v>45801</v>
      </c>
      <c r="T601" s="10" t="inlineStr"/>
      <c r="U601" s="7" t="inlineStr">
        <is>
          <t>4821717</t>
        </is>
      </c>
      <c r="V601" s="7" t="inlineStr">
        <is>
          <t>FINALIZADO</t>
        </is>
      </c>
      <c r="W601" s="7" t="inlineStr"/>
      <c r="X601" s="7" t="inlineStr">
        <is>
          <t>MEDIÇÃO CONCLUÍDA</t>
        </is>
      </c>
      <c r="Y601" s="11">
        <f>IF(AND(L601&lt;&gt;"", S601&lt;&gt;""), S601-L601, IF(L601&lt;&gt;"", TODAY()-L601, ""))</f>
        <v/>
      </c>
      <c r="Z601" s="7">
        <f>IF(Y601="", "", IF(Y601&lt;=3, "NO PRAZO", "ATRASADO"))</f>
        <v/>
      </c>
      <c r="AA601" s="8" t="inlineStr"/>
    </row>
    <row r="602" ht="20" customHeight="1">
      <c r="A602" s="7" t="inlineStr">
        <is>
          <t>RSCLER0600</t>
        </is>
      </c>
      <c r="B602" s="8" t="inlineStr">
        <is>
          <t>PORTO ALEGRE</t>
        </is>
      </c>
      <c r="C602" s="7" t="inlineStr">
        <is>
          <t>CNTAB</t>
        </is>
      </c>
      <c r="D602" s="7" t="inlineStr">
        <is>
          <t>CNTAG</t>
        </is>
      </c>
      <c r="E602" s="7" t="inlineStr">
        <is>
          <t>RSPCE14</t>
        </is>
      </c>
      <c r="F602" s="8" t="inlineStr"/>
      <c r="G602" s="8" t="inlineStr">
        <is>
          <t>Rua Sofia Veloso, 15</t>
        </is>
      </c>
      <c r="H602" s="7" t="inlineStr">
        <is>
          <t>CNTAB.072.M050.</t>
        </is>
      </c>
      <c r="I602" s="8" t="inlineStr">
        <is>
          <t>FOI LANÇADO 600 METROS DE CABO DE 12FO, 5 ABERTURA E FECHAMENTO, 24 FUSÕES, 1 CX NOVA, 3 DERIVAÇÃO, 4 TESTES</t>
        </is>
      </c>
      <c r="J602" s="8" t="inlineStr">
        <is>
          <t>RODRIGO (LUCIANO)</t>
        </is>
      </c>
      <c r="K602" s="8" t="inlineStr">
        <is>
          <t>DERIK</t>
        </is>
      </c>
      <c r="L602" s="9" t="n">
        <v>45793</v>
      </c>
      <c r="M602" s="7" t="inlineStr"/>
      <c r="N602" s="7" t="inlineStr"/>
      <c r="O602" s="9" t="n">
        <v>45793</v>
      </c>
      <c r="P602" s="7" t="inlineStr">
        <is>
          <t>NÃO PRECISA</t>
        </is>
      </c>
      <c r="Q602" s="9" t="n">
        <v>45826</v>
      </c>
      <c r="R602" s="7" t="inlineStr">
        <is>
          <t>Concluído Campo</t>
        </is>
      </c>
      <c r="S602" s="9" t="n">
        <v>45818</v>
      </c>
      <c r="T602" s="10" t="inlineStr"/>
      <c r="U602" s="7" t="inlineStr"/>
      <c r="V602" s="7" t="inlineStr">
        <is>
          <t>falta ppt</t>
        </is>
      </c>
      <c r="W602" s="7" t="inlineStr"/>
      <c r="X602" s="7" t="inlineStr">
        <is>
          <t>MEDIÇÃO CONCLUÍDA</t>
        </is>
      </c>
      <c r="Y602" s="11">
        <f>IF(AND(L602&lt;&gt;"", S602&lt;&gt;""), S602-L602, IF(L602&lt;&gt;"", TODAY()-L602, ""))</f>
        <v/>
      </c>
      <c r="Z602" s="7">
        <f>IF(Y602="", "", IF(Y602&lt;=3, "NO PRAZO", "ATRASADO"))</f>
        <v/>
      </c>
      <c r="AA602" s="8" t="inlineStr"/>
    </row>
    <row r="603" ht="20" customHeight="1">
      <c r="A603" s="7" t="inlineStr">
        <is>
          <t>RSCLER0601</t>
        </is>
      </c>
      <c r="B603" s="8" t="inlineStr">
        <is>
          <t>PORTO ALEGRE</t>
        </is>
      </c>
      <c r="C603" s="7" t="inlineStr">
        <is>
          <t>MTSAA</t>
        </is>
      </c>
      <c r="D603" s="7" t="inlineStr">
        <is>
          <t>PETALA</t>
        </is>
      </c>
      <c r="E603" s="7" t="inlineStr">
        <is>
          <t>PAE BV</t>
        </is>
      </c>
      <c r="F603" s="8" t="inlineStr"/>
      <c r="G603" s="8" t="inlineStr">
        <is>
          <t>RUA LAVRAS, 213</t>
        </is>
      </c>
      <c r="H603" s="7" t="inlineStr">
        <is>
          <t>MTSAA.322.M020</t>
        </is>
      </c>
      <c r="I603" s="8" t="inlineStr">
        <is>
          <t>ESTA DENTRO DO NODE PETALA</t>
        </is>
      </c>
      <c r="J603" s="8" t="inlineStr">
        <is>
          <t>VICTOR</t>
        </is>
      </c>
      <c r="K603" s="8" t="inlineStr">
        <is>
          <t>ALANO</t>
        </is>
      </c>
      <c r="L603" s="9" t="n">
        <v>45799</v>
      </c>
      <c r="M603" s="7" t="inlineStr"/>
      <c r="N603" s="7" t="inlineStr"/>
      <c r="O603" s="9" t="n">
        <v>45800</v>
      </c>
      <c r="P603" s="7" t="inlineStr">
        <is>
          <t>NÃO PRECISA</t>
        </is>
      </c>
      <c r="Q603" s="7" t="inlineStr">
        <is>
          <t>COBRAR NO NODE</t>
        </is>
      </c>
      <c r="R603" s="7" t="inlineStr">
        <is>
          <t>Concluído Campo</t>
        </is>
      </c>
      <c r="S603" s="7" t="inlineStr"/>
      <c r="T603" s="10" t="inlineStr"/>
      <c r="U603" s="7" t="inlineStr"/>
      <c r="V603" s="7" t="inlineStr"/>
      <c r="W603" s="7" t="inlineStr"/>
      <c r="X603" s="7" t="inlineStr">
        <is>
          <t>AG. MEDIÇÃO</t>
        </is>
      </c>
      <c r="Y603" s="11">
        <f>IF(AND(L603&lt;&gt;"", S603&lt;&gt;""), S603-L603, IF(L603&lt;&gt;"", TODAY()-L603, ""))</f>
        <v/>
      </c>
      <c r="Z603" s="7">
        <f>IF(Y603="", "", IF(Y603&lt;=3, "NO PRAZO", "ATRASADO"))</f>
        <v/>
      </c>
      <c r="AA603" s="8" t="inlineStr">
        <is>
          <t>100% - OK</t>
        </is>
      </c>
    </row>
    <row r="604" ht="20" customHeight="1">
      <c r="A604" s="7" t="inlineStr">
        <is>
          <t>RSCLER0602</t>
        </is>
      </c>
      <c r="B604" s="8" t="inlineStr">
        <is>
          <t>TRAMANDAI</t>
        </is>
      </c>
      <c r="C604" s="7" t="inlineStr">
        <is>
          <t>TRA</t>
        </is>
      </c>
      <c r="D604" s="7" t="inlineStr"/>
      <c r="E604" s="7" t="inlineStr"/>
      <c r="F604" s="8" t="inlineStr"/>
      <c r="G604" s="8" t="inlineStr">
        <is>
          <t>R VINTE E QUATRO DE SETEMBRO - Número 991</t>
        </is>
      </c>
      <c r="H604" s="7" t="inlineStr">
        <is>
          <t>TRA.031.M050</t>
        </is>
      </c>
      <c r="I604" s="8" t="inlineStr">
        <is>
          <t>4 ABERTURA E FECHAMENTO, 3 FUSÕES, 1 TESTE</t>
        </is>
      </c>
      <c r="J604" s="8" t="inlineStr"/>
      <c r="K604" s="8" t="inlineStr">
        <is>
          <t>FABIO AMARILHO</t>
        </is>
      </c>
      <c r="L604" s="9" t="n">
        <v>45800</v>
      </c>
      <c r="M604" s="7" t="inlineStr"/>
      <c r="N604" s="7" t="inlineStr"/>
      <c r="O604" s="9" t="n">
        <v>45807</v>
      </c>
      <c r="P604" s="7" t="inlineStr">
        <is>
          <t>NÃO PRECISA</t>
        </is>
      </c>
      <c r="Q604" s="9" t="n">
        <v>45826</v>
      </c>
      <c r="R604" s="7" t="inlineStr">
        <is>
          <t>Concluído Campo</t>
        </is>
      </c>
      <c r="S604" s="9" t="n">
        <v>45812</v>
      </c>
      <c r="T604" s="10" t="inlineStr"/>
      <c r="U604" s="7" t="inlineStr">
        <is>
          <t>4811507</t>
        </is>
      </c>
      <c r="V604" s="7" t="inlineStr">
        <is>
          <t>FINALIZADO</t>
        </is>
      </c>
      <c r="W604" s="7" t="inlineStr"/>
      <c r="X604" s="7" t="inlineStr">
        <is>
          <t>MEDIÇÃO CONCLUÍDA</t>
        </is>
      </c>
      <c r="Y604" s="11">
        <f>IF(AND(L604&lt;&gt;"", S604&lt;&gt;""), S604-L604, IF(L604&lt;&gt;"", TODAY()-L604, ""))</f>
        <v/>
      </c>
      <c r="Z604" s="7">
        <f>IF(Y604="", "", IF(Y604&lt;=3, "NO PRAZO", "ATRASADO"))</f>
        <v/>
      </c>
      <c r="AA604" s="8" t="inlineStr"/>
    </row>
    <row r="605" ht="20" customHeight="1">
      <c r="A605" s="7" t="inlineStr">
        <is>
          <t>RSCLER0603</t>
        </is>
      </c>
      <c r="B605" s="8" t="inlineStr">
        <is>
          <t>PORTO ALEGRE</t>
        </is>
      </c>
      <c r="C605" s="7" t="inlineStr">
        <is>
          <t>RBTAA</t>
        </is>
      </c>
      <c r="D605" s="7" t="inlineStr"/>
      <c r="E605" s="7" t="inlineStr"/>
      <c r="F605" s="8" t="inlineStr"/>
      <c r="G605" s="8" t="inlineStr">
        <is>
          <t>AV BALTAZER DE OLIVEIRA GARCIA, 420</t>
        </is>
      </c>
      <c r="H605" s="7" t="inlineStr">
        <is>
          <t>RBTAA.031.M010</t>
        </is>
      </c>
      <c r="I605" s="8" t="inlineStr">
        <is>
          <t>FOI LANÇADO 836 METROS DE CABO DE 12FO, 1 ABERTURA E FECHAMENTO, 3 NAP NOVA, 1 CX NOVA, 12 FUSÕES, 12 TESTES</t>
        </is>
      </c>
      <c r="J605" s="8" t="inlineStr">
        <is>
          <t>UBIRATAN</t>
        </is>
      </c>
      <c r="K605" s="8" t="inlineStr">
        <is>
          <t>GILSON</t>
        </is>
      </c>
      <c r="L605" s="9" t="n">
        <v>45799</v>
      </c>
      <c r="M605" s="7" t="inlineStr"/>
      <c r="N605" s="7" t="inlineStr"/>
      <c r="O605" s="9" t="n">
        <v>45801</v>
      </c>
      <c r="P605" s="7" t="inlineStr">
        <is>
          <t>NÃO PRECISA</t>
        </is>
      </c>
      <c r="Q605" s="9" t="n">
        <v>45826</v>
      </c>
      <c r="R605" s="7" t="inlineStr">
        <is>
          <t>Concluído Campo</t>
        </is>
      </c>
      <c r="S605" s="9" t="n">
        <v>45811</v>
      </c>
      <c r="T605" s="10" t="inlineStr"/>
      <c r="U605" s="7" t="inlineStr">
        <is>
          <t>4809233</t>
        </is>
      </c>
      <c r="V605" s="7" t="inlineStr">
        <is>
          <t>FINALIZADO</t>
        </is>
      </c>
      <c r="W605" s="7" t="inlineStr"/>
      <c r="X605" s="7" t="inlineStr">
        <is>
          <t>MEDIÇÃO CONCLUÍDA</t>
        </is>
      </c>
      <c r="Y605" s="11">
        <f>IF(AND(L605&lt;&gt;"", S605&lt;&gt;""), S605-L605, IF(L605&lt;&gt;"", TODAY()-L605, ""))</f>
        <v/>
      </c>
      <c r="Z605" s="7">
        <f>IF(Y605="", "", IF(Y605&lt;=3, "NO PRAZO", "ATRASADO"))</f>
        <v/>
      </c>
      <c r="AA605" s="8" t="inlineStr"/>
    </row>
    <row r="606" ht="20" customHeight="1">
      <c r="A606" s="7" t="inlineStr">
        <is>
          <t>RSCLER0604</t>
        </is>
      </c>
      <c r="B606" s="8" t="inlineStr">
        <is>
          <t>CANOAS</t>
        </is>
      </c>
      <c r="C606" s="7" t="inlineStr">
        <is>
          <t>SJOAA</t>
        </is>
      </c>
      <c r="D606" s="7" t="inlineStr">
        <is>
          <t>SJO16</t>
        </is>
      </c>
      <c r="E606" s="7" t="inlineStr">
        <is>
          <t>CAN NET</t>
        </is>
      </c>
      <c r="F606" s="8" t="inlineStr">
        <is>
          <t>PORTO AGATA</t>
        </is>
      </c>
      <c r="G606" s="8" t="inlineStr">
        <is>
          <t>RUA GUARUJA, 200</t>
        </is>
      </c>
      <c r="H606" s="7" t="inlineStr">
        <is>
          <t>SJOAA.521.M510</t>
        </is>
      </c>
      <c r="I606" s="8" t="inlineStr">
        <is>
          <t>FOI LANÇADO 1690 MTEROS DE CABO DE 24FO E 590 METROS DE CABO DE 12 FO, 3 ABERTURA E FECHAMENTO, 51 FUSÕES, 1 DERIVAÇÃO, 6 CX NOVAS, 4 TESTES, 1 TESTE OTDR, COBRAR 2 REFORMAS DE TAMPAS.</t>
        </is>
      </c>
      <c r="J606" s="8" t="inlineStr">
        <is>
          <t>TIAGO FERREIRA</t>
        </is>
      </c>
      <c r="K606" s="8" t="inlineStr">
        <is>
          <t>ALANO / CESAR</t>
        </is>
      </c>
      <c r="L606" s="9" t="n">
        <v>45806</v>
      </c>
      <c r="M606" s="7" t="inlineStr"/>
      <c r="N606" s="7" t="inlineStr"/>
      <c r="O606" s="9" t="n">
        <v>45818</v>
      </c>
      <c r="P606" s="7" t="inlineStr">
        <is>
          <t>NÃO PRECISA</t>
        </is>
      </c>
      <c r="Q606" s="9" t="n">
        <v>45852</v>
      </c>
      <c r="R606" s="7" t="inlineStr">
        <is>
          <t>Concluído Campo</t>
        </is>
      </c>
      <c r="S606" s="7" t="inlineStr"/>
      <c r="T606" s="10" t="inlineStr"/>
      <c r="U606" s="7" t="inlineStr"/>
      <c r="V606" s="7" t="inlineStr"/>
      <c r="W606" s="7" t="inlineStr"/>
      <c r="X606" s="7" t="inlineStr">
        <is>
          <t>AG. MEDIÇÃO</t>
        </is>
      </c>
      <c r="Y606" s="11">
        <f>IF(AND(L606&lt;&gt;"", S606&lt;&gt;""), S606-L606, IF(L606&lt;&gt;"", TODAY()-L606, ""))</f>
        <v/>
      </c>
      <c r="Z606" s="7">
        <f>IF(Y606="", "", IF(Y606&lt;=3, "NO PRAZO", "ATRASADO"))</f>
        <v/>
      </c>
      <c r="AA606" s="8" t="inlineStr"/>
    </row>
    <row r="607" ht="20" customHeight="1">
      <c r="A607" s="7" t="inlineStr">
        <is>
          <t>RSCLER0605</t>
        </is>
      </c>
      <c r="B607" s="8" t="inlineStr">
        <is>
          <t>CANOAS</t>
        </is>
      </c>
      <c r="C607" s="7" t="inlineStr">
        <is>
          <t>SJOAA</t>
        </is>
      </c>
      <c r="D607" s="7" t="inlineStr">
        <is>
          <t>SJO16</t>
        </is>
      </c>
      <c r="E607" s="7" t="inlineStr">
        <is>
          <t>CAN NET</t>
        </is>
      </c>
      <c r="F607" s="8" t="inlineStr">
        <is>
          <t>PORTO AGATA</t>
        </is>
      </c>
      <c r="G607" s="8" t="inlineStr">
        <is>
          <t>RUA GUARUJA, 300</t>
        </is>
      </c>
      <c r="H607" s="7" t="inlineStr">
        <is>
          <t>SJOAA.082.M020</t>
        </is>
      </c>
      <c r="I607" s="8" t="inlineStr">
        <is>
          <t>FOI LANÇADO 985 METROS DE CABO DE 12FO</t>
        </is>
      </c>
      <c r="J607" s="8" t="inlineStr">
        <is>
          <t>TIAGO FERREIRA</t>
        </is>
      </c>
      <c r="K607" s="8" t="inlineStr">
        <is>
          <t>ALANO</t>
        </is>
      </c>
      <c r="L607" s="9" t="n">
        <v>45806</v>
      </c>
      <c r="M607" s="7" t="inlineStr"/>
      <c r="N607" s="7" t="inlineStr"/>
      <c r="O607" s="7" t="inlineStr">
        <is>
          <t>CANCELADO</t>
        </is>
      </c>
      <c r="P607" s="7" t="inlineStr">
        <is>
          <t>Não Precisa</t>
        </is>
      </c>
      <c r="Q607" s="7" t="inlineStr"/>
      <c r="R607" s="7" t="inlineStr">
        <is>
          <t>Cancelado</t>
        </is>
      </c>
      <c r="S607" s="9" t="n">
        <v>45811</v>
      </c>
      <c r="T607" s="10" t="inlineStr"/>
      <c r="U607" s="7" t="inlineStr"/>
      <c r="V607" s="7" t="inlineStr"/>
      <c r="W607" s="7" t="inlineStr"/>
      <c r="X607" s="7" t="inlineStr">
        <is>
          <t>CANCELADO</t>
        </is>
      </c>
      <c r="Y607" s="11">
        <f>IF(AND(L607&lt;&gt;"", S607&lt;&gt;""), S607-L607, IF(L607&lt;&gt;"", TODAY()-L607, ""))</f>
        <v/>
      </c>
      <c r="Z607" s="7">
        <f>IF(Y607="", "", IF(Y607&lt;=3, "NO PRAZO", "ATRASADO"))</f>
        <v/>
      </c>
      <c r="AA607" s="8" t="inlineStr"/>
    </row>
    <row r="608" ht="20" customHeight="1">
      <c r="A608" s="7" t="inlineStr">
        <is>
          <t>RSCLER0606</t>
        </is>
      </c>
      <c r="B608" s="8" t="inlineStr">
        <is>
          <t>CANOAS</t>
        </is>
      </c>
      <c r="C608" s="7" t="inlineStr">
        <is>
          <t>MRDAA</t>
        </is>
      </c>
      <c r="D608" s="7" t="inlineStr">
        <is>
          <t>NSG16A</t>
        </is>
      </c>
      <c r="E608" s="7" t="inlineStr">
        <is>
          <t>RSCAN01</t>
        </is>
      </c>
      <c r="F608" s="8" t="inlineStr"/>
      <c r="G608" s="8" t="inlineStr">
        <is>
          <t>RUA PEDRO ALVARES CABRAL, 168</t>
        </is>
      </c>
      <c r="H608" s="7" t="inlineStr">
        <is>
          <t>MRDAA.401.M010</t>
        </is>
      </c>
      <c r="I608" s="8" t="inlineStr">
        <is>
          <t>FOI LANÇADO 490 METROS DE CABO DE 24FO, E 155 METROS DE CABO DE 12FO,1 ABERTURA E FECHAMENTO, 1 DERIVAÇÃO, 2 CX NOVA, 4 FUSÕES, 2 TESTES</t>
        </is>
      </c>
      <c r="J608" s="8" t="inlineStr">
        <is>
          <t>TIAGO FERREIRA</t>
        </is>
      </c>
      <c r="K608" s="8" t="inlineStr">
        <is>
          <t>ALANO</t>
        </is>
      </c>
      <c r="L608" s="9" t="n">
        <v>45806</v>
      </c>
      <c r="M608" s="7" t="inlineStr"/>
      <c r="N608" s="7" t="inlineStr"/>
      <c r="O608" s="9" t="n">
        <v>45812</v>
      </c>
      <c r="P608" s="7" t="inlineStr">
        <is>
          <t>NÃO PRECISA</t>
        </is>
      </c>
      <c r="Q608" s="9" t="n">
        <v>45826</v>
      </c>
      <c r="R608" s="7" t="inlineStr">
        <is>
          <t>Concluído Campo</t>
        </is>
      </c>
      <c r="S608" s="9" t="n">
        <v>45845</v>
      </c>
      <c r="T608" s="10" t="inlineStr"/>
      <c r="U608" s="7" t="inlineStr">
        <is>
          <t>4970364</t>
        </is>
      </c>
      <c r="V608" s="7" t="inlineStr">
        <is>
          <t>FINALIZADO</t>
        </is>
      </c>
      <c r="W608" s="7" t="inlineStr"/>
      <c r="X608" s="7" t="inlineStr">
        <is>
          <t>MEDIÇÃO CONCLUÍDA</t>
        </is>
      </c>
      <c r="Y608" s="11">
        <f>IF(AND(L608&lt;&gt;"", S608&lt;&gt;""), S608-L608, IF(L608&lt;&gt;"", TODAY()-L608, ""))</f>
        <v/>
      </c>
      <c r="Z608" s="7">
        <f>IF(Y608="", "", IF(Y608&lt;=3, "NO PRAZO", "ATRASADO"))</f>
        <v/>
      </c>
      <c r="AA608" s="8" t="inlineStr"/>
    </row>
    <row r="609" ht="20" customHeight="1">
      <c r="A609" s="7" t="inlineStr">
        <is>
          <t>RSCLER0607</t>
        </is>
      </c>
      <c r="B609" s="8" t="inlineStr">
        <is>
          <t>PORTO ALEGRE</t>
        </is>
      </c>
      <c r="C609" s="7" t="inlineStr">
        <is>
          <t>VIPAA</t>
        </is>
      </c>
      <c r="D609" s="7" t="inlineStr">
        <is>
          <t>VIPAJ</t>
        </is>
      </c>
      <c r="E609" s="7" t="inlineStr">
        <is>
          <t>RSPNO19</t>
        </is>
      </c>
      <c r="F609" s="8" t="inlineStr">
        <is>
          <t>SHOPPING LINDOIA</t>
        </is>
      </c>
      <c r="G609" s="8" t="inlineStr">
        <is>
          <t>AV. ASSIS BRASIL, 3522</t>
        </is>
      </c>
      <c r="H609" s="7" t="inlineStr">
        <is>
          <t>VIPAA.002.M060</t>
        </is>
      </c>
      <c r="I609" s="8" t="inlineStr">
        <is>
          <t>FOI LANÇADO 310 METROS DE CABO DE 12FO, 9 ABERTURA E FECHAMENTO, 9 FUSÕES, 2 DERIVAÇÃO, 1 TESTE , 2 TESTE OTDR</t>
        </is>
      </c>
      <c r="J609" s="8" t="inlineStr">
        <is>
          <t>UBIRATAN</t>
        </is>
      </c>
      <c r="K609" s="8" t="inlineStr">
        <is>
          <t>DIOGO</t>
        </is>
      </c>
      <c r="L609" s="9" t="n">
        <v>45806</v>
      </c>
      <c r="M609" s="7" t="inlineStr"/>
      <c r="N609" s="7" t="inlineStr"/>
      <c r="O609" s="9" t="n">
        <v>45811</v>
      </c>
      <c r="P609" s="7" t="inlineStr">
        <is>
          <t>NÃO PRECISA</t>
        </is>
      </c>
      <c r="Q609" s="9" t="n">
        <v>45826</v>
      </c>
      <c r="R609" s="7" t="inlineStr">
        <is>
          <t>Concluído Campo</t>
        </is>
      </c>
      <c r="S609" s="7" t="inlineStr"/>
      <c r="T609" s="10" t="inlineStr"/>
      <c r="U609" s="7" t="inlineStr"/>
      <c r="V609" s="7" t="inlineStr"/>
      <c r="W609" s="7" t="inlineStr"/>
      <c r="X609" s="7" t="inlineStr">
        <is>
          <t>AG. MEDIÇÃO</t>
        </is>
      </c>
      <c r="Y609" s="11">
        <f>IF(AND(L609&lt;&gt;"", S609&lt;&gt;""), S609-L609, IF(L609&lt;&gt;"", TODAY()-L609, ""))</f>
        <v/>
      </c>
      <c r="Z609" s="7">
        <f>IF(Y609="", "", IF(Y609&lt;=3, "NO PRAZO", "ATRASADO"))</f>
        <v/>
      </c>
      <c r="AA609" s="8" t="inlineStr"/>
    </row>
    <row r="610" ht="20" customHeight="1">
      <c r="A610" s="7" t="inlineStr">
        <is>
          <t>RSCLER0608</t>
        </is>
      </c>
      <c r="B610" s="8" t="inlineStr">
        <is>
          <t>ARROIO DO MEIO</t>
        </is>
      </c>
      <c r="C610" s="7" t="inlineStr">
        <is>
          <t>STD</t>
        </is>
      </c>
      <c r="D610" s="7" t="inlineStr"/>
      <c r="E610" s="7" t="inlineStr">
        <is>
          <t>RSETA03</t>
        </is>
      </c>
      <c r="F610" s="8" t="inlineStr"/>
      <c r="G610" s="8" t="inlineStr">
        <is>
          <t>R JOAO LINO BRAUN 733</t>
        </is>
      </c>
      <c r="H610" s="7" t="inlineStr">
        <is>
          <t>STD.003.M020</t>
        </is>
      </c>
      <c r="I610" s="8" t="inlineStr">
        <is>
          <t>FOI LANÇADO 320 METROS DE CABO DE 12FO AS, 1 ABERTURA E FECHAMENTO, 2 FUSÕES, 1 CX NOVA, 1 DERIVAÇÃO, 1 TESTE.</t>
        </is>
      </c>
      <c r="J610" s="8" t="inlineStr"/>
      <c r="K610" s="8" t="inlineStr">
        <is>
          <t>MARCIEL</t>
        </is>
      </c>
      <c r="L610" s="9" t="n">
        <v>45804</v>
      </c>
      <c r="M610" s="9" t="n">
        <v>46176</v>
      </c>
      <c r="N610" s="7" t="inlineStr"/>
      <c r="O610" s="9" t="n">
        <v>45811</v>
      </c>
      <c r="P610" s="9" t="n">
        <v>46093</v>
      </c>
      <c r="Q610" s="9" t="n">
        <v>46093</v>
      </c>
      <c r="R610" s="7" t="inlineStr">
        <is>
          <t>Concluído Campo</t>
        </is>
      </c>
      <c r="S610" s="9" t="n">
        <v>45812</v>
      </c>
      <c r="T610" s="10" t="inlineStr"/>
      <c r="U610" s="7" t="inlineStr">
        <is>
          <t>4786487</t>
        </is>
      </c>
      <c r="V610" s="7" t="inlineStr"/>
      <c r="W610" s="7" t="inlineStr"/>
      <c r="X610" s="7" t="inlineStr">
        <is>
          <t>MEDIÇÃO CONCLUÍDA</t>
        </is>
      </c>
      <c r="Y610" s="11">
        <f>IF(AND(L610&lt;&gt;"", S610&lt;&gt;""), S610-L610, IF(L610&lt;&gt;"", TODAY()-L610, ""))</f>
        <v/>
      </c>
      <c r="Z610" s="7">
        <f>IF(Y610="", "", IF(Y610&lt;=3, "NO PRAZO", "ATRASADO"))</f>
        <v/>
      </c>
      <c r="AA610" s="8" t="inlineStr"/>
    </row>
    <row r="611" ht="20" customHeight="1">
      <c r="A611" s="7" t="inlineStr">
        <is>
          <t>RSCLER0609</t>
        </is>
      </c>
      <c r="B611" s="8" t="inlineStr">
        <is>
          <t>ARROIO DO MEIO</t>
        </is>
      </c>
      <c r="C611" s="7" t="inlineStr">
        <is>
          <t>CNT</t>
        </is>
      </c>
      <c r="D611" s="7" t="inlineStr"/>
      <c r="E611" s="7" t="inlineStr"/>
      <c r="F611" s="8" t="inlineStr"/>
      <c r="G611" s="8" t="inlineStr">
        <is>
          <t>R GUSTAVO WENANDTS 987</t>
        </is>
      </c>
      <c r="H611" s="7" t="inlineStr">
        <is>
          <t>CNT.030.M020</t>
        </is>
      </c>
      <c r="I611" s="8" t="inlineStr">
        <is>
          <t>2 ABERTURA E FECHAMENTO, 1 FUSÃO, 1 TESTE</t>
        </is>
      </c>
      <c r="J611" s="8" t="inlineStr"/>
      <c r="K611" s="8" t="inlineStr">
        <is>
          <t>WESLEY</t>
        </is>
      </c>
      <c r="L611" s="9" t="n">
        <v>45804</v>
      </c>
      <c r="M611" s="7" t="inlineStr"/>
      <c r="N611" s="7" t="inlineStr"/>
      <c r="O611" s="9" t="n">
        <v>45811</v>
      </c>
      <c r="P611" s="7" t="inlineStr">
        <is>
          <t>NÃO PRECISA</t>
        </is>
      </c>
      <c r="Q611" s="9" t="n">
        <v>45826</v>
      </c>
      <c r="R611" s="7" t="inlineStr">
        <is>
          <t>Concluído Campo</t>
        </is>
      </c>
      <c r="S611" s="9" t="n">
        <v>45811</v>
      </c>
      <c r="T611" s="10" t="inlineStr"/>
      <c r="U611" s="7" t="inlineStr">
        <is>
          <t>4853661</t>
        </is>
      </c>
      <c r="V611" s="7" t="inlineStr">
        <is>
          <t>FINALIZADO</t>
        </is>
      </c>
      <c r="W611" s="7" t="inlineStr"/>
      <c r="X611" s="7" t="inlineStr">
        <is>
          <t>MEDIÇÃO CONCLUÍDA</t>
        </is>
      </c>
      <c r="Y611" s="11">
        <f>IF(AND(L611&lt;&gt;"", S611&lt;&gt;""), S611-L611, IF(L611&lt;&gt;"", TODAY()-L611, ""))</f>
        <v/>
      </c>
      <c r="Z611" s="7">
        <f>IF(Y611="", "", IF(Y611&lt;=3, "NO PRAZO", "ATRASADO"))</f>
        <v/>
      </c>
      <c r="AA611" s="8" t="inlineStr"/>
    </row>
    <row r="612" ht="20" customHeight="1">
      <c r="A612" s="7" t="inlineStr">
        <is>
          <t>RSCLER0610</t>
        </is>
      </c>
      <c r="B612" s="8" t="inlineStr">
        <is>
          <t>TORRES</t>
        </is>
      </c>
      <c r="C612" s="7" t="inlineStr">
        <is>
          <t>CNT</t>
        </is>
      </c>
      <c r="D612" s="7" t="inlineStr"/>
      <c r="E612" s="7" t="inlineStr">
        <is>
          <t>RSTES14</t>
        </is>
      </c>
      <c r="F612" s="8" t="inlineStr"/>
      <c r="G612" s="8" t="inlineStr">
        <is>
          <t>R ERNESTO ALVES - Número 601</t>
        </is>
      </c>
      <c r="H612" s="7" t="inlineStr">
        <is>
          <t>CNT.006.M10</t>
        </is>
      </c>
      <c r="I612" s="8" t="inlineStr">
        <is>
          <t>9 ABERTURA E FECHAMENTO, 17 FUSÕES, 3 TESTES</t>
        </is>
      </c>
      <c r="J612" s="8" t="inlineStr"/>
      <c r="K612" s="8" t="inlineStr">
        <is>
          <t>MAQUENZE</t>
        </is>
      </c>
      <c r="L612" s="9" t="n">
        <v>45807</v>
      </c>
      <c r="M612" s="7" t="inlineStr"/>
      <c r="N612" s="7" t="inlineStr"/>
      <c r="O612" s="9" t="n">
        <v>45817</v>
      </c>
      <c r="P612" s="7" t="inlineStr">
        <is>
          <t>NÃO PRECISA</t>
        </is>
      </c>
      <c r="Q612" s="9" t="n">
        <v>45845</v>
      </c>
      <c r="R612" s="7" t="inlineStr">
        <is>
          <t>Concluído Campo</t>
        </is>
      </c>
      <c r="S612" s="7" t="inlineStr"/>
      <c r="T612" s="10" t="inlineStr"/>
      <c r="U612" s="7" t="inlineStr"/>
      <c r="V612" s="7" t="inlineStr"/>
      <c r="W612" s="7" t="inlineStr"/>
      <c r="X612" s="7" t="inlineStr">
        <is>
          <t>AG. MEDIÇÃO</t>
        </is>
      </c>
      <c r="Y612" s="11">
        <f>IF(AND(L612&lt;&gt;"", S612&lt;&gt;""), S612-L612, IF(L612&lt;&gt;"", TODAY()-L612, ""))</f>
        <v/>
      </c>
      <c r="Z612" s="7">
        <f>IF(Y612="", "", IF(Y612&lt;=3, "NO PRAZO", "ATRASADO"))</f>
        <v/>
      </c>
      <c r="AA612" s="8" t="inlineStr"/>
    </row>
    <row r="613" ht="20" customHeight="1">
      <c r="A613" s="7" t="inlineStr">
        <is>
          <t>RSCLER0611</t>
        </is>
      </c>
      <c r="B613" s="8" t="inlineStr">
        <is>
          <t>TRAMANDAÍ</t>
        </is>
      </c>
      <c r="C613" s="7" t="inlineStr">
        <is>
          <t>NOV</t>
        </is>
      </c>
      <c r="D613" s="7" t="inlineStr"/>
      <c r="E613" s="7" t="inlineStr"/>
      <c r="F613" s="8" t="inlineStr">
        <is>
          <t>NAP LOTADA</t>
        </is>
      </c>
      <c r="G613" s="8" t="inlineStr">
        <is>
          <t>RUA AFONSO PENA</t>
        </is>
      </c>
      <c r="H613" s="7" t="inlineStr">
        <is>
          <t>NOV.067.05.03</t>
        </is>
      </c>
      <c r="I613" s="8" t="inlineStr">
        <is>
          <t>3 ABERTURA E FECHAMENTO, 3 FUSÕES, 1 TESTES , 1 TESTE DE OTDR.</t>
        </is>
      </c>
      <c r="J613" s="8" t="inlineStr"/>
      <c r="K613" s="8" t="inlineStr">
        <is>
          <t>FABIO AMARILHO</t>
        </is>
      </c>
      <c r="L613" s="9" t="n">
        <v>45807</v>
      </c>
      <c r="M613" s="7" t="inlineStr"/>
      <c r="N613" s="7" t="inlineStr"/>
      <c r="O613" s="9" t="n">
        <v>45950</v>
      </c>
      <c r="P613" s="9" t="n">
        <v>45951</v>
      </c>
      <c r="Q613" s="9" t="n">
        <v>45951</v>
      </c>
      <c r="R613" s="7" t="inlineStr">
        <is>
          <t>Concluído Campo</t>
        </is>
      </c>
      <c r="S613" s="9" t="n">
        <v>45813</v>
      </c>
      <c r="T613" s="10" t="inlineStr"/>
      <c r="U613" s="7" t="inlineStr">
        <is>
          <t>4786308</t>
        </is>
      </c>
      <c r="V613" s="7" t="inlineStr"/>
      <c r="W613" s="7" t="inlineStr"/>
      <c r="X613" s="7" t="inlineStr">
        <is>
          <t>MEDIÇÃO CONCLUÍDA</t>
        </is>
      </c>
      <c r="Y613" s="11">
        <f>IF(AND(L613&lt;&gt;"", S613&lt;&gt;""), S613-L613, IF(L613&lt;&gt;"", TODAY()-L613, ""))</f>
        <v/>
      </c>
      <c r="Z613" s="7">
        <f>IF(Y613="", "", IF(Y613&lt;=3, "NO PRAZO", "ATRASADO"))</f>
        <v/>
      </c>
      <c r="AA613" s="8" t="inlineStr"/>
    </row>
    <row r="614" ht="20" customHeight="1">
      <c r="A614" s="7" t="inlineStr">
        <is>
          <t>RSCLER0612</t>
        </is>
      </c>
      <c r="B614" s="8" t="inlineStr">
        <is>
          <t>PORTO ALEGRE</t>
        </is>
      </c>
      <c r="C614" s="7" t="inlineStr">
        <is>
          <t>MNDAC</t>
        </is>
      </c>
      <c r="D614" s="7" t="inlineStr">
        <is>
          <t>MNDAN</t>
        </is>
      </c>
      <c r="E614" s="7" t="inlineStr">
        <is>
          <t>PAE CL</t>
        </is>
      </c>
      <c r="F614" s="8" t="inlineStr"/>
      <c r="G614" s="8" t="inlineStr">
        <is>
          <t>R DA AUGUSTA 445</t>
        </is>
      </c>
      <c r="H614" s="7" t="inlineStr">
        <is>
          <t>MNDAC.092.M010</t>
        </is>
      </c>
      <c r="I614" s="8" t="inlineStr">
        <is>
          <t>FOI LANÇADO 100 METROS DE CABO DE 12FO, 4 ABERTURA E FECHAMENTO, 6 FUSÕES, 2 DERIVAÇÕES, 2 TESTES</t>
        </is>
      </c>
      <c r="J614" s="8" t="inlineStr">
        <is>
          <t>UBIRATAN</t>
        </is>
      </c>
      <c r="K614" s="8" t="inlineStr">
        <is>
          <t>DIOGO</t>
        </is>
      </c>
      <c r="L614" s="9" t="n">
        <v>45810</v>
      </c>
      <c r="M614" s="7" t="inlineStr"/>
      <c r="N614" s="7" t="inlineStr"/>
      <c r="O614" s="9" t="n">
        <v>45812</v>
      </c>
      <c r="P614" s="7" t="inlineStr">
        <is>
          <t>NÃO PRECISA</t>
        </is>
      </c>
      <c r="Q614" s="9" t="n">
        <v>45826</v>
      </c>
      <c r="R614" s="7" t="inlineStr">
        <is>
          <t>Concluído Campo</t>
        </is>
      </c>
      <c r="S614" s="9" t="n">
        <v>45814</v>
      </c>
      <c r="T614" s="10" t="inlineStr"/>
      <c r="U614" s="7" t="inlineStr">
        <is>
          <t>4811487</t>
        </is>
      </c>
      <c r="V614" s="7" t="inlineStr">
        <is>
          <t>FINALIZADO</t>
        </is>
      </c>
      <c r="W614" s="7" t="inlineStr"/>
      <c r="X614" s="7" t="inlineStr">
        <is>
          <t>MEDIÇÃO CONCLUÍDA</t>
        </is>
      </c>
      <c r="Y614" s="11">
        <f>IF(AND(L614&lt;&gt;"", S614&lt;&gt;""), S614-L614, IF(L614&lt;&gt;"", TODAY()-L614, ""))</f>
        <v/>
      </c>
      <c r="Z614" s="7">
        <f>IF(Y614="", "", IF(Y614&lt;=3, "NO PRAZO", "ATRASADO"))</f>
        <v/>
      </c>
      <c r="AA614" s="8" t="inlineStr">
        <is>
          <t>100% - OK</t>
        </is>
      </c>
    </row>
    <row r="615" ht="20" customHeight="1">
      <c r="A615" s="7" t="inlineStr">
        <is>
          <t>RSCLER0613</t>
        </is>
      </c>
      <c r="B615" s="8" t="inlineStr">
        <is>
          <t>PORTO ALEGRE</t>
        </is>
      </c>
      <c r="C615" s="7" t="inlineStr">
        <is>
          <t>RBTAB</t>
        </is>
      </c>
      <c r="D615" s="7" t="inlineStr">
        <is>
          <t>RBTAB</t>
        </is>
      </c>
      <c r="E615" s="7" t="inlineStr">
        <is>
          <t>RSPNO22</t>
        </is>
      </c>
      <c r="F615" s="8" t="inlineStr"/>
      <c r="G615" s="8" t="inlineStr">
        <is>
          <t>R CARLOS ESTEVÃO, 955</t>
        </is>
      </c>
      <c r="H615" s="7" t="inlineStr">
        <is>
          <t>RBTAB.062.M030</t>
        </is>
      </c>
      <c r="I615" s="8" t="inlineStr">
        <is>
          <t>FOI LANÇADO 100 METROS DE CABO DE 12FO, 3 ABERTURAS E FECHAMENTO, 6 TESTES, 1 TESTE OTDR</t>
        </is>
      </c>
      <c r="J615" s="8" t="inlineStr">
        <is>
          <t>UBIRATAN</t>
        </is>
      </c>
      <c r="K615" s="8" t="inlineStr">
        <is>
          <t>ALEXANDRE/ DIOGO</t>
        </is>
      </c>
      <c r="L615" s="9" t="n">
        <v>45807</v>
      </c>
      <c r="M615" s="7" t="inlineStr"/>
      <c r="N615" s="7" t="inlineStr"/>
      <c r="O615" s="9" t="n">
        <v>45811</v>
      </c>
      <c r="P615" s="7" t="inlineStr">
        <is>
          <t>NÃO PRECISA</t>
        </is>
      </c>
      <c r="Q615" s="9" t="n">
        <v>45826</v>
      </c>
      <c r="R615" s="7" t="inlineStr">
        <is>
          <t>Concluído Campo</t>
        </is>
      </c>
      <c r="S615" s="9" t="n">
        <v>45819</v>
      </c>
      <c r="T615" s="10" t="inlineStr"/>
      <c r="U615" s="7" t="inlineStr">
        <is>
          <t>4841460</t>
        </is>
      </c>
      <c r="V615" s="7" t="inlineStr">
        <is>
          <t>FINALIZADO</t>
        </is>
      </c>
      <c r="W615" s="7" t="inlineStr"/>
      <c r="X615" s="7" t="inlineStr">
        <is>
          <t>MEDIÇÃO CONCLUÍDA</t>
        </is>
      </c>
      <c r="Y615" s="11">
        <f>IF(AND(L615&lt;&gt;"", S615&lt;&gt;""), S615-L615, IF(L615&lt;&gt;"", TODAY()-L615, ""))</f>
        <v/>
      </c>
      <c r="Z615" s="7">
        <f>IF(Y615="", "", IF(Y615&lt;=3, "NO PRAZO", "ATRASADO"))</f>
        <v/>
      </c>
      <c r="AA615" s="8" t="inlineStr"/>
    </row>
    <row r="616" ht="20" customHeight="1">
      <c r="A616" s="7" t="inlineStr">
        <is>
          <t>RSCLER0614</t>
        </is>
      </c>
      <c r="B616" s="8" t="inlineStr">
        <is>
          <t>PORTO ALEGRE</t>
        </is>
      </c>
      <c r="C616" s="7" t="inlineStr">
        <is>
          <t>CTLAA</t>
        </is>
      </c>
      <c r="D616" s="7" t="inlineStr">
        <is>
          <t>CTLAE</t>
        </is>
      </c>
      <c r="E616" s="7" t="inlineStr">
        <is>
          <t>RSPSU07</t>
        </is>
      </c>
      <c r="F616" s="8" t="inlineStr">
        <is>
          <t>Condomínio Jardim Cristal</t>
        </is>
      </c>
      <c r="G616" s="8" t="inlineStr">
        <is>
          <t>Av. Capivari, 1243</t>
        </is>
      </c>
      <c r="H616" s="7" t="inlineStr">
        <is>
          <t>CTLAA.051.M010</t>
        </is>
      </c>
      <c r="I616" s="8" t="inlineStr">
        <is>
          <t>2 ABERTURA E FECHAMENTO, 5 FUSÕES, 5 TESTES</t>
        </is>
      </c>
      <c r="J616" s="8" t="inlineStr"/>
      <c r="K616" s="8" t="inlineStr">
        <is>
          <t>CATIA</t>
        </is>
      </c>
      <c r="L616" s="9" t="n">
        <v>45811</v>
      </c>
      <c r="M616" s="7" t="inlineStr"/>
      <c r="N616" s="7" t="inlineStr"/>
      <c r="O616" s="9" t="n">
        <v>45812</v>
      </c>
      <c r="P616" s="7" t="inlineStr">
        <is>
          <t>NÃO PRECISA</t>
        </is>
      </c>
      <c r="Q616" s="9" t="n">
        <v>45826</v>
      </c>
      <c r="R616" s="7" t="inlineStr">
        <is>
          <t>Concluído Campo</t>
        </is>
      </c>
      <c r="S616" s="9" t="n">
        <v>45817</v>
      </c>
      <c r="T616" s="10" t="inlineStr"/>
      <c r="U616" s="7" t="inlineStr">
        <is>
          <t>4830276</t>
        </is>
      </c>
      <c r="V616" s="7" t="inlineStr">
        <is>
          <t>FINALIZADO</t>
        </is>
      </c>
      <c r="W616" s="7" t="inlineStr"/>
      <c r="X616" s="7" t="inlineStr">
        <is>
          <t>MEDIÇÃO CONCLUÍDA</t>
        </is>
      </c>
      <c r="Y616" s="11">
        <f>IF(AND(L616&lt;&gt;"", S616&lt;&gt;""), S616-L616, IF(L616&lt;&gt;"", TODAY()-L616, ""))</f>
        <v/>
      </c>
      <c r="Z616" s="7">
        <f>IF(Y616="", "", IF(Y616&lt;=3, "NO PRAZO", "ATRASADO"))</f>
        <v/>
      </c>
      <c r="AA616" s="8" t="inlineStr"/>
    </row>
    <row r="617" ht="20" customHeight="1">
      <c r="A617" s="7" t="inlineStr">
        <is>
          <t>RSCLER0615</t>
        </is>
      </c>
      <c r="B617" s="8" t="inlineStr">
        <is>
          <t>PORTO ALEGRE</t>
        </is>
      </c>
      <c r="C617" s="7" t="inlineStr">
        <is>
          <t>BVSAB</t>
        </is>
      </c>
      <c r="D617" s="7" t="inlineStr">
        <is>
          <t>VJDANA</t>
        </is>
      </c>
      <c r="E617" s="7" t="inlineStr">
        <is>
          <t>PAE NR</t>
        </is>
      </c>
      <c r="F617" s="8" t="inlineStr"/>
      <c r="G617" s="8" t="inlineStr">
        <is>
          <t>Rua São Leopoldo 379</t>
        </is>
      </c>
      <c r="H617" s="7" t="inlineStr">
        <is>
          <t>BVSAB.192.01.05</t>
        </is>
      </c>
      <c r="I617" s="8" t="inlineStr">
        <is>
          <t>FOI LANÇADO 214 METROS DE CABO DE 12FO, 4 ABERTURA E FECHAMENTO, 5 FUSÕES, 1 NAP NOVA, 1 DERIVAÇÃO, 3 TESTE, 1 TESTE OTDR</t>
        </is>
      </c>
      <c r="J617" s="8" t="inlineStr">
        <is>
          <t>AFONSO</t>
        </is>
      </c>
      <c r="K617" s="8" t="inlineStr">
        <is>
          <t>CATIA</t>
        </is>
      </c>
      <c r="L617" s="9" t="n">
        <v>45812</v>
      </c>
      <c r="M617" s="7" t="inlineStr"/>
      <c r="N617" s="7" t="inlineStr"/>
      <c r="O617" s="9" t="n">
        <v>45813</v>
      </c>
      <c r="P617" s="7" t="inlineStr">
        <is>
          <t>NÃO PRECISA</t>
        </is>
      </c>
      <c r="Q617" s="9" t="n">
        <v>45826</v>
      </c>
      <c r="R617" s="7" t="inlineStr">
        <is>
          <t>Concluído Campo</t>
        </is>
      </c>
      <c r="S617" s="9" t="n">
        <v>45814</v>
      </c>
      <c r="T617" s="10" t="inlineStr"/>
      <c r="U617" s="7" t="inlineStr">
        <is>
          <t>4899651</t>
        </is>
      </c>
      <c r="V617" s="7" t="inlineStr">
        <is>
          <t>FINALIZADO</t>
        </is>
      </c>
      <c r="W617" s="7" t="inlineStr"/>
      <c r="X617" s="7" t="inlineStr">
        <is>
          <t>MEDIÇÃO CONCLUÍDA</t>
        </is>
      </c>
      <c r="Y617" s="11">
        <f>IF(AND(L617&lt;&gt;"", S617&lt;&gt;""), S617-L617, IF(L617&lt;&gt;"", TODAY()-L617, ""))</f>
        <v/>
      </c>
      <c r="Z617" s="7">
        <f>IF(Y617="", "", IF(Y617&lt;=3, "NO PRAZO", "ATRASADO"))</f>
        <v/>
      </c>
      <c r="AA617" s="8" t="inlineStr">
        <is>
          <t>100% - OK</t>
        </is>
      </c>
    </row>
    <row r="618" ht="20" customHeight="1">
      <c r="A618" s="7" t="inlineStr">
        <is>
          <t>RSCLER0616</t>
        </is>
      </c>
      <c r="B618" s="8" t="inlineStr">
        <is>
          <t>PORTO ALEGRE</t>
        </is>
      </c>
      <c r="C618" s="7" t="inlineStr">
        <is>
          <t>SPEAA</t>
        </is>
      </c>
      <c r="D618" s="7" t="inlineStr">
        <is>
          <t>SPEAAA</t>
        </is>
      </c>
      <c r="E618" s="7" t="inlineStr">
        <is>
          <t>PAE DAM</t>
        </is>
      </c>
      <c r="F618" s="8" t="inlineStr">
        <is>
          <t>Cond. Residencial Santiago</t>
        </is>
      </c>
      <c r="G618" s="8" t="inlineStr">
        <is>
          <t>Rua Irene Capponi Santiago, 243</t>
        </is>
      </c>
      <c r="H618" s="7" t="inlineStr">
        <is>
          <t>SPEAA.012.M010</t>
        </is>
      </c>
      <c r="I618" s="8" t="inlineStr">
        <is>
          <t>FOI LANÇADO 405 METROS DE CABO DE 12FO, 2 ABERTURA E FECHAMENTO, 3 FUSÕES, 1 DERIVAÇÃO, 1 CX NOVA, 1 TESTE, 1 TESTE OTDR</t>
        </is>
      </c>
      <c r="J618" s="8" t="inlineStr">
        <is>
          <t>AFONSO</t>
        </is>
      </c>
      <c r="K618" s="8" t="inlineStr">
        <is>
          <t>CATIA</t>
        </is>
      </c>
      <c r="L618" s="9" t="n">
        <v>45813</v>
      </c>
      <c r="M618" s="7" t="inlineStr"/>
      <c r="N618" s="7" t="inlineStr"/>
      <c r="O618" s="9" t="n">
        <v>45814</v>
      </c>
      <c r="P618" s="7" t="inlineStr">
        <is>
          <t>NÃO PRECISA</t>
        </is>
      </c>
      <c r="Q618" s="9" t="n">
        <v>45826</v>
      </c>
      <c r="R618" s="7" t="inlineStr">
        <is>
          <t>Concluído Campo</t>
        </is>
      </c>
      <c r="S618" s="7" t="inlineStr"/>
      <c r="T618" s="10" t="inlineStr"/>
      <c r="U618" s="7" t="inlineStr"/>
      <c r="V618" s="7" t="inlineStr"/>
      <c r="W618" s="7" t="inlineStr"/>
      <c r="X618" s="7" t="inlineStr">
        <is>
          <t>AG. MEDIÇÃO</t>
        </is>
      </c>
      <c r="Y618" s="11">
        <f>IF(AND(L618&lt;&gt;"", S618&lt;&gt;""), S618-L618, IF(L618&lt;&gt;"", TODAY()-L618, ""))</f>
        <v/>
      </c>
      <c r="Z618" s="7">
        <f>IF(Y618="", "", IF(Y618&lt;=3, "NO PRAZO", "ATRASADO"))</f>
        <v/>
      </c>
      <c r="AA618" s="8" t="inlineStr"/>
    </row>
    <row r="619" ht="20" customHeight="1">
      <c r="A619" s="7" t="inlineStr">
        <is>
          <t>RSCLER0617</t>
        </is>
      </c>
      <c r="B619" s="8" t="inlineStr">
        <is>
          <t>PORTO ALEGRE</t>
        </is>
      </c>
      <c r="C619" s="7" t="inlineStr">
        <is>
          <t>BVSAA</t>
        </is>
      </c>
      <c r="D619" s="7" t="inlineStr">
        <is>
          <t>BVSAO</t>
        </is>
      </c>
      <c r="E619" s="7" t="inlineStr">
        <is>
          <t>RSPLE07</t>
        </is>
      </c>
      <c r="F619" s="8" t="inlineStr">
        <is>
          <t>Parigi Business</t>
        </is>
      </c>
      <c r="G619" s="8" t="inlineStr">
        <is>
          <t>AV NILO PEÇANHA 1851</t>
        </is>
      </c>
      <c r="H619" s="7" t="inlineStr">
        <is>
          <t>BVSAA.151.M030</t>
        </is>
      </c>
      <c r="I619" s="8" t="inlineStr">
        <is>
          <t>3 ABERTURA E FECHAMENTO, 12 FUSÕES, 3 TESTES</t>
        </is>
      </c>
      <c r="J619" s="8" t="inlineStr"/>
      <c r="K619" s="8" t="inlineStr">
        <is>
          <t>CATIA</t>
        </is>
      </c>
      <c r="L619" s="9" t="n">
        <v>45813</v>
      </c>
      <c r="M619" s="7" t="inlineStr"/>
      <c r="N619" s="7" t="inlineStr"/>
      <c r="O619" s="9" t="n">
        <v>45819</v>
      </c>
      <c r="P619" s="7" t="inlineStr">
        <is>
          <t>NÃO PRECISA</t>
        </is>
      </c>
      <c r="Q619" s="9" t="n">
        <v>45845</v>
      </c>
      <c r="R619" s="7" t="inlineStr">
        <is>
          <t>Concluído Campo</t>
        </is>
      </c>
      <c r="S619" s="9" t="n">
        <v>45779</v>
      </c>
      <c r="T619" s="10" t="inlineStr"/>
      <c r="U619" s="7" t="inlineStr">
        <is>
          <t>4811441</t>
        </is>
      </c>
      <c r="V619" s="7" t="inlineStr">
        <is>
          <t>FINALIZADO</t>
        </is>
      </c>
      <c r="W619" s="7" t="inlineStr"/>
      <c r="X619" s="7" t="inlineStr">
        <is>
          <t>MEDIÇÃO CONCLUÍDA</t>
        </is>
      </c>
      <c r="Y619" s="11">
        <f>IF(AND(L619&lt;&gt;"", S619&lt;&gt;""), S619-L619, IF(L619&lt;&gt;"", TODAY()-L619, ""))</f>
        <v/>
      </c>
      <c r="Z619" s="7">
        <f>IF(Y619="", "", IF(Y619&lt;=3, "NO PRAZO", "ATRASADO"))</f>
        <v/>
      </c>
      <c r="AA619" s="8" t="inlineStr"/>
    </row>
    <row r="620" ht="20" customHeight="1">
      <c r="A620" s="7" t="inlineStr">
        <is>
          <t>RSCLER0618</t>
        </is>
      </c>
      <c r="B620" s="8" t="inlineStr">
        <is>
          <t>PORTO ALEGRE</t>
        </is>
      </c>
      <c r="C620" s="7" t="inlineStr">
        <is>
          <t>MNDAA</t>
        </is>
      </c>
      <c r="D620" s="7" t="inlineStr">
        <is>
          <t>MNDAQA</t>
        </is>
      </c>
      <c r="E620" s="7" t="inlineStr">
        <is>
          <t>PAE MAD</t>
        </is>
      </c>
      <c r="F620" s="8" t="inlineStr">
        <is>
          <t>Cond. Edifício Madison Residence</t>
        </is>
      </c>
      <c r="G620" s="8" t="inlineStr">
        <is>
          <t>Rua Gonçalves Dias, 319</t>
        </is>
      </c>
      <c r="H620" s="7" t="inlineStr">
        <is>
          <t>MNDAA.041.M040</t>
        </is>
      </c>
      <c r="I620" s="8" t="inlineStr">
        <is>
          <t>7 ABERTURA E FECHAMENTO, 6 FUSÕES, 2 TESTES OTDR, 1 TESTE</t>
        </is>
      </c>
      <c r="J620" s="8" t="inlineStr"/>
      <c r="K620" s="8" t="inlineStr">
        <is>
          <t>CATIA</t>
        </is>
      </c>
      <c r="L620" s="9" t="n">
        <v>45813</v>
      </c>
      <c r="M620" s="7" t="inlineStr"/>
      <c r="N620" s="7" t="inlineStr"/>
      <c r="O620" s="9" t="n">
        <v>45817</v>
      </c>
      <c r="P620" s="7" t="inlineStr">
        <is>
          <t>NÃO PRECISA</t>
        </is>
      </c>
      <c r="Q620" s="9" t="n">
        <v>45845</v>
      </c>
      <c r="R620" s="7" t="inlineStr">
        <is>
          <t>Concluído Campo</t>
        </is>
      </c>
      <c r="S620" s="9" t="n">
        <v>45817</v>
      </c>
      <c r="T620" s="10" t="inlineStr"/>
      <c r="U620" s="7" t="inlineStr">
        <is>
          <t>4841409</t>
        </is>
      </c>
      <c r="V620" s="7" t="inlineStr">
        <is>
          <t>FINALIZADO</t>
        </is>
      </c>
      <c r="W620" s="7" t="inlineStr"/>
      <c r="X620" s="7" t="inlineStr">
        <is>
          <t>MEDIÇÃO CONCLUÍDA</t>
        </is>
      </c>
      <c r="Y620" s="11">
        <f>IF(AND(L620&lt;&gt;"", S620&lt;&gt;""), S620-L620, IF(L620&lt;&gt;"", TODAY()-L620, ""))</f>
        <v/>
      </c>
      <c r="Z620" s="7">
        <f>IF(Y620="", "", IF(Y620&lt;=3, "NO PRAZO", "ATRASADO"))</f>
        <v/>
      </c>
      <c r="AA620" s="8" t="inlineStr"/>
    </row>
    <row r="621" ht="20" customHeight="1">
      <c r="A621" s="7" t="inlineStr">
        <is>
          <t>RSCLER0619</t>
        </is>
      </c>
      <c r="B621" s="8" t="inlineStr">
        <is>
          <t>PORTO ALEGRE</t>
        </is>
      </c>
      <c r="C621" s="7" t="inlineStr">
        <is>
          <t>TRLAA</t>
        </is>
      </c>
      <c r="D621" s="7" t="inlineStr"/>
      <c r="E621" s="7" t="inlineStr">
        <is>
          <t>HZS</t>
        </is>
      </c>
      <c r="F621" s="8" t="inlineStr"/>
      <c r="G621" s="8" t="inlineStr">
        <is>
          <t>RUA CRUZEIRO DO SUL, 2077</t>
        </is>
      </c>
      <c r="H621" s="7" t="inlineStr">
        <is>
          <t>TRLAA.141.M020</t>
        </is>
      </c>
      <c r="I621" s="8" t="inlineStr">
        <is>
          <t>FOI LANÇADO 1300 METROS DE CABO DE 12FO AS, 4 ABERTURA E FECHAMENTO, 12 FUSÕES, 1 CX NOVA 1 DERIVAÇÃO. FOI LANÇADO 65 METROS DE CORDOALHA</t>
        </is>
      </c>
      <c r="J621" s="8" t="inlineStr"/>
      <c r="K621" s="8" t="inlineStr">
        <is>
          <t>CATIA</t>
        </is>
      </c>
      <c r="L621" s="9" t="n">
        <v>45811</v>
      </c>
      <c r="M621" s="7" t="inlineStr"/>
      <c r="N621" s="7" t="inlineStr"/>
      <c r="O621" s="9" t="n">
        <v>45814</v>
      </c>
      <c r="P621" s="9" t="n">
        <v>45877</v>
      </c>
      <c r="Q621" s="9" t="n">
        <v>45845</v>
      </c>
      <c r="R621" s="7" t="inlineStr">
        <is>
          <t>Concluído Campo</t>
        </is>
      </c>
      <c r="S621" s="7" t="inlineStr"/>
      <c r="T621" s="10" t="inlineStr"/>
      <c r="U621" s="7" t="inlineStr"/>
      <c r="V621" s="7" t="inlineStr"/>
      <c r="W621" s="7" t="inlineStr"/>
      <c r="X621" s="7" t="inlineStr">
        <is>
          <t>AG. MEDIÇÃO</t>
        </is>
      </c>
      <c r="Y621" s="11">
        <f>IF(AND(L621&lt;&gt;"", S621&lt;&gt;""), S621-L621, IF(L621&lt;&gt;"", TODAY()-L621, ""))</f>
        <v/>
      </c>
      <c r="Z621" s="7">
        <f>IF(Y621="", "", IF(Y621&lt;=3, "NO PRAZO", "ATRASADO"))</f>
        <v/>
      </c>
      <c r="AA621" s="8" t="inlineStr"/>
    </row>
    <row r="622" ht="20" customHeight="1">
      <c r="A622" s="7" t="inlineStr">
        <is>
          <t>RSCLER0620</t>
        </is>
      </c>
      <c r="B622" s="8" t="inlineStr">
        <is>
          <t>PORTO ALEGRE</t>
        </is>
      </c>
      <c r="C622" s="7" t="inlineStr">
        <is>
          <t>CNTAK</t>
        </is>
      </c>
      <c r="D622" s="7" t="inlineStr"/>
      <c r="E622" s="7" t="inlineStr"/>
      <c r="F622" s="8" t="inlineStr"/>
      <c r="G622" s="8" t="inlineStr">
        <is>
          <t>RUA JOSÉ DO PATROCINIO, 510</t>
        </is>
      </c>
      <c r="H622" s="7" t="inlineStr"/>
      <c r="I622" s="8" t="inlineStr">
        <is>
          <t>FOI LANÇADO 530 METROS DE CABO DE 12FO</t>
        </is>
      </c>
      <c r="J622" s="8" t="inlineStr">
        <is>
          <t>RODRIGO (LUCIANO)</t>
        </is>
      </c>
      <c r="K622" s="8" t="inlineStr"/>
      <c r="L622" s="7" t="inlineStr"/>
      <c r="M622" s="7" t="inlineStr"/>
      <c r="N622" s="7" t="inlineStr"/>
      <c r="O622" s="7" t="inlineStr"/>
      <c r="P622" s="7" t="inlineStr">
        <is>
          <t>Não Precisa</t>
        </is>
      </c>
      <c r="Q622" s="7" t="inlineStr"/>
      <c r="R622" s="7" t="inlineStr">
        <is>
          <t>Concluído Campo</t>
        </is>
      </c>
      <c r="S622" s="9" t="n">
        <v>45824</v>
      </c>
      <c r="T622" s="10" t="inlineStr"/>
      <c r="U622" s="7" t="inlineStr">
        <is>
          <t>4809826</t>
        </is>
      </c>
      <c r="V622" s="7" t="inlineStr">
        <is>
          <t>FINALIZADO</t>
        </is>
      </c>
      <c r="W622" s="7" t="inlineStr"/>
      <c r="X622" s="7" t="inlineStr">
        <is>
          <t>MEDIÇÃO CONCLUÍDA</t>
        </is>
      </c>
      <c r="Y622" s="11">
        <f>IF(AND(L622&lt;&gt;"", S622&lt;&gt;""), S622-L622, IF(L622&lt;&gt;"", TODAY()-L622, ""))</f>
        <v/>
      </c>
      <c r="Z622" s="7">
        <f>IF(Y622="", "", IF(Y622&lt;=3, "NO PRAZO", "ATRASADO"))</f>
        <v/>
      </c>
      <c r="AA622" s="8" t="inlineStr"/>
    </row>
    <row r="623" ht="20" customHeight="1">
      <c r="A623" s="7" t="inlineStr">
        <is>
          <t>RSCLER0621</t>
        </is>
      </c>
      <c r="B623" s="8" t="inlineStr">
        <is>
          <t>PORTO ALEGRE</t>
        </is>
      </c>
      <c r="C623" s="7" t="inlineStr">
        <is>
          <t>CNTAB</t>
        </is>
      </c>
      <c r="D623" s="7" t="inlineStr">
        <is>
          <t>CNTAG</t>
        </is>
      </c>
      <c r="E623" s="7" t="inlineStr">
        <is>
          <t>RSPCE14</t>
        </is>
      </c>
      <c r="F623" s="8" t="inlineStr"/>
      <c r="G623" s="8" t="inlineStr">
        <is>
          <t>RUA SARMENTO LEITE 763</t>
        </is>
      </c>
      <c r="H623" s="7" t="inlineStr"/>
      <c r="I623" s="8" t="inlineStr">
        <is>
          <t>FOI LANÇADO 154 METROS DE CABO DE 12FO, 1 ABERTURA E FECHAMENTO, 1 DERIVÇÃO, 1 CX NOVA, 1 FUSÃO, 1 TESTE</t>
        </is>
      </c>
      <c r="J623" s="8" t="inlineStr">
        <is>
          <t>MARIO SOUZA</t>
        </is>
      </c>
      <c r="K623" s="8" t="inlineStr">
        <is>
          <t>MARIO SOUZA</t>
        </is>
      </c>
      <c r="L623" s="7" t="inlineStr"/>
      <c r="M623" s="7" t="inlineStr"/>
      <c r="N623" s="7" t="inlineStr"/>
      <c r="O623" s="9" t="n">
        <v>45779</v>
      </c>
      <c r="P623" s="7" t="inlineStr">
        <is>
          <t>NÃO PRECISA</t>
        </is>
      </c>
      <c r="Q623" s="9" t="n">
        <v>45826</v>
      </c>
      <c r="R623" s="7" t="inlineStr">
        <is>
          <t>Concluído Campo</t>
        </is>
      </c>
      <c r="S623" s="7" t="inlineStr"/>
      <c r="T623" s="10" t="inlineStr"/>
      <c r="U623" s="7" t="inlineStr"/>
      <c r="V623" s="7" t="inlineStr"/>
      <c r="W623" s="7" t="inlineStr"/>
      <c r="X623" s="7" t="inlineStr">
        <is>
          <t>AG. MEDIÇÃO</t>
        </is>
      </c>
      <c r="Y623" s="11">
        <f>IF(AND(L623&lt;&gt;"", S623&lt;&gt;""), S623-L623, IF(L623&lt;&gt;"", TODAY()-L623, ""))</f>
        <v/>
      </c>
      <c r="Z623" s="7">
        <f>IF(Y623="", "", IF(Y623&lt;=3, "NO PRAZO", "ATRASADO"))</f>
        <v/>
      </c>
      <c r="AA623" s="8" t="inlineStr"/>
    </row>
    <row r="624" ht="20" customHeight="1">
      <c r="A624" s="7" t="inlineStr">
        <is>
          <t>RSCLER0622</t>
        </is>
      </c>
      <c r="B624" s="8" t="inlineStr">
        <is>
          <t>PORTO ALEGRE</t>
        </is>
      </c>
      <c r="C624" s="7" t="inlineStr">
        <is>
          <t>TRLAA</t>
        </is>
      </c>
      <c r="D624" s="7" t="inlineStr"/>
      <c r="E624" s="7" t="inlineStr">
        <is>
          <t>HZS</t>
        </is>
      </c>
      <c r="F624" s="8" t="inlineStr">
        <is>
          <t>Tom Menino Deus</t>
        </is>
      </c>
      <c r="G624" s="8" t="inlineStr">
        <is>
          <t>R. Alm. Gonçalves, 214</t>
        </is>
      </c>
      <c r="H624" s="7" t="inlineStr">
        <is>
          <t>TRLAA.011.M040</t>
        </is>
      </c>
      <c r="I624" s="8" t="inlineStr">
        <is>
          <t>5 ABERTURA E FECHAMENTO, 5 FUSÕES, 3 TESTE OTDR, 1 TESTE</t>
        </is>
      </c>
      <c r="J624" s="8" t="inlineStr"/>
      <c r="K624" s="8" t="inlineStr">
        <is>
          <t>CATIA</t>
        </is>
      </c>
      <c r="L624" s="9" t="n">
        <v>45813</v>
      </c>
      <c r="M624" s="7" t="inlineStr"/>
      <c r="N624" s="7" t="inlineStr"/>
      <c r="O624" s="9" t="n">
        <v>45817</v>
      </c>
      <c r="P624" s="7" t="inlineStr">
        <is>
          <t>NÃO PRECISA</t>
        </is>
      </c>
      <c r="Q624" s="9" t="n">
        <v>45845</v>
      </c>
      <c r="R624" s="7" t="inlineStr">
        <is>
          <t>Concluído Campo</t>
        </is>
      </c>
      <c r="S624" s="9" t="n">
        <v>45820</v>
      </c>
      <c r="T624" s="10" t="inlineStr"/>
      <c r="U624" s="7" t="inlineStr">
        <is>
          <t>4810086</t>
        </is>
      </c>
      <c r="V624" s="7" t="inlineStr">
        <is>
          <t>FINALIZADO</t>
        </is>
      </c>
      <c r="W624" s="7" t="inlineStr"/>
      <c r="X624" s="7" t="inlineStr">
        <is>
          <t>MEDIÇÃO CONCLUÍDA</t>
        </is>
      </c>
      <c r="Y624" s="11">
        <f>IF(AND(L624&lt;&gt;"", S624&lt;&gt;""), S624-L624, IF(L624&lt;&gt;"", TODAY()-L624, ""))</f>
        <v/>
      </c>
      <c r="Z624" s="7">
        <f>IF(Y624="", "", IF(Y624&lt;=3, "NO PRAZO", "ATRASADO"))</f>
        <v/>
      </c>
      <c r="AA624" s="8" t="inlineStr"/>
    </row>
    <row r="625" ht="20" customHeight="1">
      <c r="A625" s="7" t="inlineStr">
        <is>
          <t>RSCLER0623</t>
        </is>
      </c>
      <c r="B625" s="8" t="inlineStr">
        <is>
          <t>ESTRELA</t>
        </is>
      </c>
      <c r="C625" s="7" t="inlineStr">
        <is>
          <t>STD</t>
        </is>
      </c>
      <c r="D625" s="7" t="inlineStr"/>
      <c r="E625" s="7" t="inlineStr">
        <is>
          <t>RSETA03</t>
        </is>
      </c>
      <c r="F625" s="8" t="inlineStr"/>
      <c r="G625" s="8" t="inlineStr">
        <is>
          <t>Rua Andre e Eidelwein,</t>
        </is>
      </c>
      <c r="H625" s="7" t="inlineStr">
        <is>
          <t>STD.008.05.01</t>
        </is>
      </c>
      <c r="I625" s="8" t="inlineStr">
        <is>
          <t>6 ABERTURA E FECHAMENTO, 10 FUSÕES,</t>
        </is>
      </c>
      <c r="J625" s="8" t="inlineStr"/>
      <c r="K625" s="8" t="inlineStr">
        <is>
          <t>MARCIEL</t>
        </is>
      </c>
      <c r="L625" s="9" t="n">
        <v>45814</v>
      </c>
      <c r="M625" s="7" t="inlineStr"/>
      <c r="N625" s="7" t="inlineStr"/>
      <c r="O625" s="9" t="n">
        <v>45847</v>
      </c>
      <c r="P625" s="7" t="inlineStr">
        <is>
          <t>Não Precisa</t>
        </is>
      </c>
      <c r="Q625" s="7" t="inlineStr"/>
      <c r="R625" s="7" t="inlineStr">
        <is>
          <t>Concluído Campo</t>
        </is>
      </c>
      <c r="S625" s="7" t="inlineStr"/>
      <c r="T625" s="10" t="inlineStr"/>
      <c r="U625" s="7" t="inlineStr"/>
      <c r="V625" s="7" t="inlineStr"/>
      <c r="W625" s="7" t="inlineStr"/>
      <c r="X625" s="7" t="inlineStr">
        <is>
          <t>AG. RELATÓRIO</t>
        </is>
      </c>
      <c r="Y625" s="11">
        <f>IF(AND(L625&lt;&gt;"", S625&lt;&gt;""), S625-L625, IF(L625&lt;&gt;"", TODAY()-L625, ""))</f>
        <v/>
      </c>
      <c r="Z625" s="7">
        <f>IF(Y625="", "", IF(Y625&lt;=3, "NO PRAZO", "ATRASADO"))</f>
        <v/>
      </c>
      <c r="AA625" s="8" t="inlineStr"/>
    </row>
    <row r="626" ht="20" customHeight="1">
      <c r="A626" s="7" t="inlineStr">
        <is>
          <t>RSCLER0624</t>
        </is>
      </c>
      <c r="B626" s="8" t="inlineStr">
        <is>
          <t>PORTO ALEGRE</t>
        </is>
      </c>
      <c r="C626" s="7" t="inlineStr">
        <is>
          <t>MNDAC</t>
        </is>
      </c>
      <c r="D626" s="7" t="inlineStr">
        <is>
          <t>MNDAN</t>
        </is>
      </c>
      <c r="E626" s="7" t="inlineStr">
        <is>
          <t>RSPSU02</t>
        </is>
      </c>
      <c r="F626" s="8" t="inlineStr">
        <is>
          <t>Cond. Edifício Solar Alta Vista</t>
        </is>
      </c>
      <c r="G626" s="8" t="inlineStr">
        <is>
          <t>R da Gabriela, 273</t>
        </is>
      </c>
      <c r="H626" s="7" t="inlineStr">
        <is>
          <t>MNDAC.093.M060</t>
        </is>
      </c>
      <c r="I626" s="8" t="inlineStr">
        <is>
          <t>FOI LANÇADO 153 METROS DE CABO DE 12FO, 18 ABERTURA E FECHAMENTO, 20 FUSÕES, 2 DERIVAÇÕES, 5 TESTES OTDR, 2 TESTES</t>
        </is>
      </c>
      <c r="J626" s="8" t="inlineStr">
        <is>
          <t>CATIA</t>
        </is>
      </c>
      <c r="K626" s="8" t="inlineStr">
        <is>
          <t>CATIA</t>
        </is>
      </c>
      <c r="L626" s="9" t="n">
        <v>45817</v>
      </c>
      <c r="M626" s="7" t="inlineStr"/>
      <c r="N626" s="7" t="inlineStr"/>
      <c r="O626" s="9" t="n">
        <v>45824</v>
      </c>
      <c r="P626" s="7" t="inlineStr">
        <is>
          <t>NÃO PRECISA</t>
        </is>
      </c>
      <c r="Q626" s="9" t="n">
        <v>45826</v>
      </c>
      <c r="R626" s="7" t="inlineStr">
        <is>
          <t>Concluído Campo</t>
        </is>
      </c>
      <c r="S626" s="9" t="n">
        <v>45821</v>
      </c>
      <c r="T626" s="10" t="inlineStr"/>
      <c r="U626" s="7" t="inlineStr">
        <is>
          <t>4990456</t>
        </is>
      </c>
      <c r="V626" s="7" t="inlineStr">
        <is>
          <t>FINALIZADO</t>
        </is>
      </c>
      <c r="W626" s="7" t="inlineStr"/>
      <c r="X626" s="7" t="inlineStr">
        <is>
          <t>MEDIÇÃO CONCLUÍDA</t>
        </is>
      </c>
      <c r="Y626" s="11">
        <f>IF(AND(L626&lt;&gt;"", S626&lt;&gt;""), S626-L626, IF(L626&lt;&gt;"", TODAY()-L626, ""))</f>
        <v/>
      </c>
      <c r="Z626" s="7">
        <f>IF(Y626="", "", IF(Y626&lt;=3, "NO PRAZO", "ATRASADO"))</f>
        <v/>
      </c>
      <c r="AA626" s="8" t="inlineStr"/>
    </row>
    <row r="627" ht="20" customHeight="1">
      <c r="A627" s="7" t="inlineStr">
        <is>
          <t>RSCLER0625</t>
        </is>
      </c>
      <c r="B627" s="8" t="inlineStr">
        <is>
          <t>PORTO ALEGRE</t>
        </is>
      </c>
      <c r="C627" s="7" t="inlineStr">
        <is>
          <t>MNDAC</t>
        </is>
      </c>
      <c r="D627" s="7" t="inlineStr">
        <is>
          <t>MNDAO</t>
        </is>
      </c>
      <c r="E627" s="7" t="inlineStr">
        <is>
          <t>RSPSU02</t>
        </is>
      </c>
      <c r="F627" s="8" t="inlineStr">
        <is>
          <t>Cond. Edifício Padre Cacique</t>
        </is>
      </c>
      <c r="G627" s="8" t="inlineStr">
        <is>
          <t>Av Padre Cacique, 220</t>
        </is>
      </c>
      <c r="H627" s="7" t="inlineStr">
        <is>
          <t>MNDAC.071.M020.</t>
        </is>
      </c>
      <c r="I627" s="8" t="inlineStr">
        <is>
          <t>COBRADO JUNTO COM A RSCLER0622</t>
        </is>
      </c>
      <c r="J627" s="8" t="inlineStr"/>
      <c r="K627" s="8" t="inlineStr">
        <is>
          <t>CATIA</t>
        </is>
      </c>
      <c r="L627" s="9" t="n">
        <v>45817</v>
      </c>
      <c r="M627" s="7" t="inlineStr"/>
      <c r="N627" s="7" t="inlineStr"/>
      <c r="O627" s="9" t="n">
        <v>45820</v>
      </c>
      <c r="P627" s="7" t="inlineStr">
        <is>
          <t>NÃO PRECISA</t>
        </is>
      </c>
      <c r="Q627" s="9" t="n">
        <v>45826</v>
      </c>
      <c r="R627" s="7" t="inlineStr">
        <is>
          <t>Concluído Campo</t>
        </is>
      </c>
      <c r="S627" s="9" t="n">
        <v>45820</v>
      </c>
      <c r="T627" s="10" t="inlineStr"/>
      <c r="U627" s="7" t="inlineStr">
        <is>
          <t>4810170</t>
        </is>
      </c>
      <c r="V627" s="7" t="inlineStr"/>
      <c r="W627" s="7" t="inlineStr"/>
      <c r="X627" s="7" t="inlineStr">
        <is>
          <t>MEDIÇÃO CONCLUÍDA</t>
        </is>
      </c>
      <c r="Y627" s="11">
        <f>IF(AND(L627&lt;&gt;"", S627&lt;&gt;""), S627-L627, IF(L627&lt;&gt;"", TODAY()-L627, ""))</f>
        <v/>
      </c>
      <c r="Z627" s="7">
        <f>IF(Y627="", "", IF(Y627&lt;=3, "NO PRAZO", "ATRASADO"))</f>
        <v/>
      </c>
      <c r="AA627" s="8" t="inlineStr"/>
    </row>
    <row r="628" ht="20" customHeight="1">
      <c r="A628" s="7" t="inlineStr">
        <is>
          <t>RSCLER0626</t>
        </is>
      </c>
      <c r="B628" s="8" t="inlineStr">
        <is>
          <t>PORTO ALEGRE</t>
        </is>
      </c>
      <c r="C628" s="7" t="inlineStr">
        <is>
          <t>MNDAC</t>
        </is>
      </c>
      <c r="D628" s="7" t="inlineStr">
        <is>
          <t>MNDAO</t>
        </is>
      </c>
      <c r="E628" s="7" t="inlineStr">
        <is>
          <t>RSPSU02</t>
        </is>
      </c>
      <c r="F628" s="8" t="inlineStr">
        <is>
          <t>Cond. Edifício Costa do Guaíba</t>
        </is>
      </c>
      <c r="G628" s="8" t="inlineStr">
        <is>
          <t>Av Padre Cacique, 470</t>
        </is>
      </c>
      <c r="H628" s="7" t="inlineStr">
        <is>
          <t>MNDAC.071.M020..</t>
        </is>
      </c>
      <c r="I628" s="8" t="inlineStr">
        <is>
          <t>FOI LANÇADO 270 METROS DE CABO DE 12FO, 7 ABERTURA E FECHAMENTO, 1 CX NOVA, 19 FUSÕES, 1 DERIVAÇÃO, 7 TESTE COM OTDR, 4 TESTES</t>
        </is>
      </c>
      <c r="J628" s="8" t="inlineStr">
        <is>
          <t>UBIRATAN</t>
        </is>
      </c>
      <c r="K628" s="8" t="inlineStr">
        <is>
          <t>CATIA</t>
        </is>
      </c>
      <c r="L628" s="9" t="n">
        <v>45817</v>
      </c>
      <c r="M628" s="7" t="inlineStr"/>
      <c r="N628" s="7" t="inlineStr"/>
      <c r="O628" s="9" t="n">
        <v>45820</v>
      </c>
      <c r="P628" s="7" t="inlineStr">
        <is>
          <t>NÃO PRECISA</t>
        </is>
      </c>
      <c r="Q628" s="9" t="n">
        <v>45826</v>
      </c>
      <c r="R628" s="7" t="inlineStr">
        <is>
          <t>Concluído Campo</t>
        </is>
      </c>
      <c r="S628" s="7" t="inlineStr"/>
      <c r="T628" s="10" t="inlineStr"/>
      <c r="U628" s="7" t="inlineStr"/>
      <c r="V628" s="7" t="inlineStr"/>
      <c r="W628" s="7" t="inlineStr"/>
      <c r="X628" s="7" t="inlineStr">
        <is>
          <t>AG. MEDIÇÃO</t>
        </is>
      </c>
      <c r="Y628" s="11">
        <f>IF(AND(L628&lt;&gt;"", S628&lt;&gt;""), S628-L628, IF(L628&lt;&gt;"", TODAY()-L628, ""))</f>
        <v/>
      </c>
      <c r="Z628" s="7">
        <f>IF(Y628="", "", IF(Y628&lt;=3, "NO PRAZO", "ATRASADO"))</f>
        <v/>
      </c>
      <c r="AA628" s="8" t="inlineStr"/>
    </row>
    <row r="629" ht="20" customHeight="1">
      <c r="A629" s="7" t="inlineStr">
        <is>
          <t>RSCLER0627</t>
        </is>
      </c>
      <c r="B629" s="8" t="inlineStr">
        <is>
          <t>PORTO ALEGRE</t>
        </is>
      </c>
      <c r="C629" s="7" t="inlineStr">
        <is>
          <t>MNDAC</t>
        </is>
      </c>
      <c r="D629" s="7" t="inlineStr">
        <is>
          <t>MNDAO</t>
        </is>
      </c>
      <c r="E629" s="7" t="inlineStr">
        <is>
          <t>RSPSU02</t>
        </is>
      </c>
      <c r="F629" s="8" t="inlineStr">
        <is>
          <t>Cond. Edifício Villa Del Fiume</t>
        </is>
      </c>
      <c r="G629" s="8" t="inlineStr">
        <is>
          <t>Av Padre Cacique, 354</t>
        </is>
      </c>
      <c r="H629" s="7" t="inlineStr">
        <is>
          <t>MNDAC.071.M030</t>
        </is>
      </c>
      <c r="I629" s="8" t="inlineStr">
        <is>
          <t>COBRADO JUNTO COM A RSCLER0622</t>
        </is>
      </c>
      <c r="J629" s="8" t="inlineStr"/>
      <c r="K629" s="8" t="inlineStr">
        <is>
          <t>CATIA</t>
        </is>
      </c>
      <c r="L629" s="9" t="n">
        <v>45817</v>
      </c>
      <c r="M629" s="7" t="inlineStr"/>
      <c r="N629" s="7" t="inlineStr"/>
      <c r="O629" s="9" t="n">
        <v>45820</v>
      </c>
      <c r="P629" s="7" t="inlineStr">
        <is>
          <t>NÃO PRECISA</t>
        </is>
      </c>
      <c r="Q629" s="9" t="n">
        <v>45826</v>
      </c>
      <c r="R629" s="7" t="inlineStr">
        <is>
          <t>Concluído Campo</t>
        </is>
      </c>
      <c r="S629" s="9" t="n">
        <v>45825</v>
      </c>
      <c r="T629" s="10" t="inlineStr"/>
      <c r="U629" s="7" t="inlineStr">
        <is>
          <t>4830398</t>
        </is>
      </c>
      <c r="V629" s="7" t="inlineStr">
        <is>
          <t>FINALIZADO</t>
        </is>
      </c>
      <c r="W629" s="7" t="inlineStr"/>
      <c r="X629" s="7" t="inlineStr">
        <is>
          <t>MEDIÇÃO CONCLUÍDA</t>
        </is>
      </c>
      <c r="Y629" s="11">
        <f>IF(AND(L629&lt;&gt;"", S629&lt;&gt;""), S629-L629, IF(L629&lt;&gt;"", TODAY()-L629, ""))</f>
        <v/>
      </c>
      <c r="Z629" s="7">
        <f>IF(Y629="", "", IF(Y629&lt;=3, "NO PRAZO", "ATRASADO"))</f>
        <v/>
      </c>
      <c r="AA629" s="8" t="inlineStr"/>
    </row>
    <row r="630" ht="20" customHeight="1">
      <c r="A630" s="7" t="inlineStr">
        <is>
          <t>RSCLER0628</t>
        </is>
      </c>
      <c r="B630" s="8" t="inlineStr">
        <is>
          <t>PORTO ALEGRE</t>
        </is>
      </c>
      <c r="C630" s="7" t="inlineStr">
        <is>
          <t>SPEAA</t>
        </is>
      </c>
      <c r="D630" s="7" t="inlineStr">
        <is>
          <t>SPEAAA</t>
        </is>
      </c>
      <c r="E630" s="7" t="inlineStr">
        <is>
          <t>PAE DAM</t>
        </is>
      </c>
      <c r="F630" s="8" t="inlineStr">
        <is>
          <t>JD DAS BANDEIRAS</t>
        </is>
      </c>
      <c r="G630" s="8" t="inlineStr">
        <is>
          <t>R EDMUNDO BASTIAN 86</t>
        </is>
      </c>
      <c r="H630" s="7" t="inlineStr">
        <is>
          <t>SPEAA.016.M060</t>
        </is>
      </c>
      <c r="I630" s="8" t="inlineStr">
        <is>
          <t>FOI LANÇADO 253 MTEROS DE CABO DE 12FO, 7 ABERTURA E FECHAMENTO, 20 FUSÕES, 1 CX NOVA, 1 DERIVAÇÃO, 4 TESTES COM OTDR,</t>
        </is>
      </c>
      <c r="J630" s="8" t="inlineStr">
        <is>
          <t>UBIRATAN</t>
        </is>
      </c>
      <c r="K630" s="8" t="inlineStr">
        <is>
          <t>CATIA</t>
        </is>
      </c>
      <c r="L630" s="9" t="n">
        <v>45817</v>
      </c>
      <c r="M630" s="7" t="inlineStr"/>
      <c r="N630" s="7" t="inlineStr"/>
      <c r="O630" s="9" t="n">
        <v>45821</v>
      </c>
      <c r="P630" s="7" t="inlineStr">
        <is>
          <t>NÃO PRECISA</t>
        </is>
      </c>
      <c r="Q630" s="9" t="n">
        <v>45845</v>
      </c>
      <c r="R630" s="7" t="inlineStr">
        <is>
          <t>Concluído Campo</t>
        </is>
      </c>
      <c r="S630" s="7" t="inlineStr"/>
      <c r="T630" s="10" t="inlineStr"/>
      <c r="U630" s="7" t="inlineStr"/>
      <c r="V630" s="7" t="inlineStr"/>
      <c r="W630" s="7" t="inlineStr"/>
      <c r="X630" s="7" t="inlineStr">
        <is>
          <t>AG. MEDIÇÃO</t>
        </is>
      </c>
      <c r="Y630" s="11">
        <f>IF(AND(L630&lt;&gt;"", S630&lt;&gt;""), S630-L630, IF(L630&lt;&gt;"", TODAY()-L630, ""))</f>
        <v/>
      </c>
      <c r="Z630" s="7">
        <f>IF(Y630="", "", IF(Y630&lt;=3, "NO PRAZO", "ATRASADO"))</f>
        <v/>
      </c>
      <c r="AA630" s="8" t="inlineStr"/>
    </row>
    <row r="631" ht="20" customHeight="1">
      <c r="A631" s="7" t="inlineStr">
        <is>
          <t>RSCLER0629</t>
        </is>
      </c>
      <c r="B631" s="8" t="inlineStr">
        <is>
          <t>PORTO ALEGRE</t>
        </is>
      </c>
      <c r="C631" s="7" t="inlineStr">
        <is>
          <t>NNIAA</t>
        </is>
      </c>
      <c r="D631" s="7" t="inlineStr">
        <is>
          <t>NNIAC</t>
        </is>
      </c>
      <c r="E631" s="7" t="inlineStr">
        <is>
          <t>RSPSU08</t>
        </is>
      </c>
      <c r="F631" s="8" t="inlineStr">
        <is>
          <t>Cond. Edifício Plaza Cristal</t>
        </is>
      </c>
      <c r="G631" s="8" t="inlineStr">
        <is>
          <t>Rua Xavier da Cunha, 999</t>
        </is>
      </c>
      <c r="H631" s="7" t="inlineStr">
        <is>
          <t>NNIAA.081.M050</t>
        </is>
      </c>
      <c r="I631" s="8" t="inlineStr">
        <is>
          <t>2 ABERTURA E FECHAMENTO, 4 FUSÕES, 4 TESTES</t>
        </is>
      </c>
      <c r="J631" s="8" t="inlineStr"/>
      <c r="K631" s="8" t="inlineStr">
        <is>
          <t>DIOGO</t>
        </is>
      </c>
      <c r="L631" s="9" t="n">
        <v>45818</v>
      </c>
      <c r="M631" s="7" t="inlineStr"/>
      <c r="N631" s="7" t="inlineStr"/>
      <c r="O631" s="9" t="n">
        <v>45820</v>
      </c>
      <c r="P631" s="7" t="inlineStr">
        <is>
          <t>NÃO PRECISA</t>
        </is>
      </c>
      <c r="Q631" s="9" t="n">
        <v>45826</v>
      </c>
      <c r="R631" s="7" t="inlineStr">
        <is>
          <t>Concluído Campo</t>
        </is>
      </c>
      <c r="S631" s="9" t="n">
        <v>45824</v>
      </c>
      <c r="T631" s="10" t="inlineStr"/>
      <c r="U631" s="7" t="inlineStr">
        <is>
          <t>4831341</t>
        </is>
      </c>
      <c r="V631" s="7" t="inlineStr">
        <is>
          <t>FINALIZADO</t>
        </is>
      </c>
      <c r="W631" s="7" t="inlineStr"/>
      <c r="X631" s="7" t="inlineStr">
        <is>
          <t>MEDIÇÃO CONCLUÍDA</t>
        </is>
      </c>
      <c r="Y631" s="11">
        <f>IF(AND(L631&lt;&gt;"", S631&lt;&gt;""), S631-L631, IF(L631&lt;&gt;"", TODAY()-L631, ""))</f>
        <v/>
      </c>
      <c r="Z631" s="7">
        <f>IF(Y631="", "", IF(Y631&lt;=3, "NO PRAZO", "ATRASADO"))</f>
        <v/>
      </c>
      <c r="AA631" s="8" t="inlineStr"/>
    </row>
    <row r="632" ht="20" customHeight="1">
      <c r="A632" s="7" t="inlineStr">
        <is>
          <t>RSCLER0630</t>
        </is>
      </c>
      <c r="B632" s="8" t="inlineStr">
        <is>
          <t>PORTO ALEGRE</t>
        </is>
      </c>
      <c r="C632" s="7" t="inlineStr">
        <is>
          <t>SANAB</t>
        </is>
      </c>
      <c r="D632" s="7" t="inlineStr">
        <is>
          <t>SANACA</t>
        </is>
      </c>
      <c r="E632" s="7" t="inlineStr">
        <is>
          <t>RSPCE27</t>
        </is>
      </c>
      <c r="F632" s="8" t="inlineStr"/>
      <c r="G632" s="8" t="inlineStr">
        <is>
          <t>RUA SANTANA, 1129</t>
        </is>
      </c>
      <c r="H632" s="7" t="inlineStr">
        <is>
          <t>SANAB.021.M010</t>
        </is>
      </c>
      <c r="I632" s="8" t="inlineStr">
        <is>
          <t>DENTRO DO NODE SANACA FASE 2</t>
        </is>
      </c>
      <c r="J632" s="8" t="inlineStr">
        <is>
          <t>CLEVERSON</t>
        </is>
      </c>
      <c r="K632" s="8" t="inlineStr">
        <is>
          <t>DIOGO</t>
        </is>
      </c>
      <c r="L632" s="9" t="n">
        <v>45819</v>
      </c>
      <c r="M632" s="7" t="inlineStr"/>
      <c r="N632" s="7" t="inlineStr"/>
      <c r="O632" s="7" t="inlineStr"/>
      <c r="P632" s="7" t="inlineStr">
        <is>
          <t>NÃO PRECISA</t>
        </is>
      </c>
      <c r="Q632" s="7" t="inlineStr">
        <is>
          <t>SANACA F2</t>
        </is>
      </c>
      <c r="R632" s="7" t="inlineStr">
        <is>
          <t>Concluído Campo</t>
        </is>
      </c>
      <c r="S632" s="7" t="inlineStr"/>
      <c r="T632" s="10" t="inlineStr"/>
      <c r="U632" s="7" t="inlineStr"/>
      <c r="V632" s="7" t="inlineStr"/>
      <c r="W632" s="7" t="inlineStr"/>
      <c r="X632" s="7" t="inlineStr">
        <is>
          <t>AG. MEDIÇÃO</t>
        </is>
      </c>
      <c r="Y632" s="11">
        <f>IF(AND(L632&lt;&gt;"", S632&lt;&gt;""), S632-L632, IF(L632&lt;&gt;"", TODAY()-L632, ""))</f>
        <v/>
      </c>
      <c r="Z632" s="7">
        <f>IF(Y632="", "", IF(Y632&lt;=3, "NO PRAZO", "ATRASADO"))</f>
        <v/>
      </c>
      <c r="AA632" s="8" t="inlineStr"/>
    </row>
    <row r="633" ht="20" customHeight="1">
      <c r="A633" s="7" t="inlineStr">
        <is>
          <t>RSCLER0631</t>
        </is>
      </c>
      <c r="B633" s="8" t="inlineStr">
        <is>
          <t>PORTO ALEGRE</t>
        </is>
      </c>
      <c r="C633" s="7" t="inlineStr">
        <is>
          <t>SPEAA</t>
        </is>
      </c>
      <c r="D633" s="7" t="inlineStr">
        <is>
          <t>SPEAC</t>
        </is>
      </c>
      <c r="E633" s="7" t="inlineStr">
        <is>
          <t>PAE DAM</t>
        </is>
      </c>
      <c r="F633" s="8" t="inlineStr">
        <is>
          <t>Cond Moradas da Ouro Preto</t>
        </is>
      </c>
      <c r="G633" s="8" t="inlineStr">
        <is>
          <t>R Ouro Preto 408</t>
        </is>
      </c>
      <c r="H633" s="7" t="inlineStr">
        <is>
          <t>SPEAA.059.M020</t>
        </is>
      </c>
      <c r="I633" s="8" t="inlineStr">
        <is>
          <t>FOI LANÇADO 450 METROS DE CABO DE 12FO, 6 ABERTURA E FECHAMENTO,1 CX NOVA, 1 DERIVAÇÃO, 7 FUSÕES, 1 TESTE</t>
        </is>
      </c>
      <c r="J633" s="8" t="inlineStr">
        <is>
          <t>MAICON</t>
        </is>
      </c>
      <c r="K633" s="8" t="inlineStr">
        <is>
          <t>CESAR LEANDRO</t>
        </is>
      </c>
      <c r="L633" s="9" t="n">
        <v>45819</v>
      </c>
      <c r="M633" s="7" t="inlineStr"/>
      <c r="N633" s="7" t="inlineStr"/>
      <c r="O633" s="9" t="n">
        <v>45819</v>
      </c>
      <c r="P633" s="9" t="n">
        <v>45875</v>
      </c>
      <c r="Q633" s="9" t="n">
        <v>45845</v>
      </c>
      <c r="R633" s="7" t="inlineStr">
        <is>
          <t>Concluído Campo</t>
        </is>
      </c>
      <c r="S633" s="9" t="n">
        <v>45825</v>
      </c>
      <c r="T633" s="10" t="inlineStr"/>
      <c r="U633" s="7" t="inlineStr">
        <is>
          <t>4990475</t>
        </is>
      </c>
      <c r="V633" s="7" t="inlineStr">
        <is>
          <t>FINALIZADO</t>
        </is>
      </c>
      <c r="W633" s="7" t="inlineStr"/>
      <c r="X633" s="7" t="inlineStr">
        <is>
          <t>MEDIÇÃO CONCLUÍDA</t>
        </is>
      </c>
      <c r="Y633" s="11">
        <f>IF(AND(L633&lt;&gt;"", S633&lt;&gt;""), S633-L633, IF(L633&lt;&gt;"", TODAY()-L633, ""))</f>
        <v/>
      </c>
      <c r="Z633" s="7">
        <f>IF(Y633="", "", IF(Y633&lt;=3, "NO PRAZO", "ATRASADO"))</f>
        <v/>
      </c>
      <c r="AA633" s="8" t="inlineStr"/>
    </row>
    <row r="634" ht="20" customHeight="1">
      <c r="A634" s="7" t="inlineStr">
        <is>
          <t>RSCLER0632</t>
        </is>
      </c>
      <c r="B634" s="8" t="inlineStr">
        <is>
          <t>PORTO ALEGRE</t>
        </is>
      </c>
      <c r="C634" s="7" t="inlineStr">
        <is>
          <t>MTSAA</t>
        </is>
      </c>
      <c r="D634" s="7" t="inlineStr">
        <is>
          <t>SJOADA</t>
        </is>
      </c>
      <c r="E634" s="7" t="inlineStr">
        <is>
          <t>PAE BV</t>
        </is>
      </c>
      <c r="F634" s="8" t="inlineStr">
        <is>
          <t>Cond. Edifício Costa Dourada</t>
        </is>
      </c>
      <c r="G634" s="8" t="inlineStr">
        <is>
          <t>Rua Marcelo Gama, 530</t>
        </is>
      </c>
      <c r="H634" s="7" t="inlineStr">
        <is>
          <t>MTSAA.211.M040</t>
        </is>
      </c>
      <c r="I634" s="8" t="inlineStr">
        <is>
          <t>FOI LANÇADO 258 METROS DE CABO DE 12FO, 10 ABERTURAS E FECHAMENTO, 14 FUSÕES, 1 CX NOVA, 1 DERIVAÇÃO, 3 TESTE OTDR, 2 TESTES</t>
        </is>
      </c>
      <c r="J634" s="8" t="inlineStr">
        <is>
          <t>UBIRATAN</t>
        </is>
      </c>
      <c r="K634" s="8" t="inlineStr">
        <is>
          <t>CATIA</t>
        </is>
      </c>
      <c r="L634" s="9" t="n">
        <v>45820</v>
      </c>
      <c r="M634" s="7" t="inlineStr"/>
      <c r="N634" s="7" t="inlineStr"/>
      <c r="O634" s="9" t="n">
        <v>45825</v>
      </c>
      <c r="P634" s="7" t="inlineStr">
        <is>
          <t>NÃO PRECISA</t>
        </is>
      </c>
      <c r="Q634" s="9" t="n">
        <v>45845</v>
      </c>
      <c r="R634" s="7" t="inlineStr">
        <is>
          <t>Concluído Campo</t>
        </is>
      </c>
      <c r="S634" s="7" t="inlineStr"/>
      <c r="T634" s="10" t="inlineStr"/>
      <c r="U634" s="7" t="inlineStr"/>
      <c r="V634" s="7" t="inlineStr"/>
      <c r="W634" s="7" t="inlineStr"/>
      <c r="X634" s="7" t="inlineStr">
        <is>
          <t>AG. MEDIÇÃO</t>
        </is>
      </c>
      <c r="Y634" s="11">
        <f>IF(AND(L634&lt;&gt;"", S634&lt;&gt;""), S634-L634, IF(L634&lt;&gt;"", TODAY()-L634, ""))</f>
        <v/>
      </c>
      <c r="Z634" s="7">
        <f>IF(Y634="", "", IF(Y634&lt;=3, "NO PRAZO", "ATRASADO"))</f>
        <v/>
      </c>
      <c r="AA634" s="8" t="inlineStr"/>
    </row>
    <row r="635" ht="20" customHeight="1">
      <c r="A635" s="7" t="inlineStr">
        <is>
          <t>RSCLER0633</t>
        </is>
      </c>
      <c r="B635" s="8" t="inlineStr">
        <is>
          <t>PORTO ALEGRE</t>
        </is>
      </c>
      <c r="C635" s="7" t="inlineStr">
        <is>
          <t>HPCAA</t>
        </is>
      </c>
      <c r="D635" s="7" t="inlineStr">
        <is>
          <t>HPCAE</t>
        </is>
      </c>
      <c r="E635" s="7" t="inlineStr">
        <is>
          <t>RSPSU90</t>
        </is>
      </c>
      <c r="F635" s="8" t="inlineStr">
        <is>
          <t>Cond. Jardins do Lago II</t>
        </is>
      </c>
      <c r="G635" s="8" t="inlineStr">
        <is>
          <t>Rua Eroni Soares Machado, 300</t>
        </is>
      </c>
      <c r="H635" s="7" t="inlineStr">
        <is>
          <t>HPCAA.042</t>
        </is>
      </c>
      <c r="I635" s="8" t="inlineStr">
        <is>
          <t>COBRAR JUNTO AO NODE HPCAE FASE 2</t>
        </is>
      </c>
      <c r="J635" s="8" t="inlineStr">
        <is>
          <t>VICTOR</t>
        </is>
      </c>
      <c r="K635" s="8" t="inlineStr">
        <is>
          <t>ANDERSON</t>
        </is>
      </c>
      <c r="L635" s="9" t="n">
        <v>45820</v>
      </c>
      <c r="M635" s="7" t="inlineStr"/>
      <c r="N635" s="7" t="inlineStr"/>
      <c r="O635" s="9" t="n">
        <v>45838</v>
      </c>
      <c r="P635" s="7" t="inlineStr">
        <is>
          <t>NÃO PRECISA</t>
        </is>
      </c>
      <c r="Q635" s="7" t="inlineStr">
        <is>
          <t>HPCAE F2</t>
        </is>
      </c>
      <c r="R635" s="7" t="inlineStr">
        <is>
          <t>Concluído Campo</t>
        </is>
      </c>
      <c r="S635" s="7" t="inlineStr"/>
      <c r="T635" s="10" t="inlineStr"/>
      <c r="U635" s="7" t="inlineStr"/>
      <c r="V635" s="7" t="inlineStr"/>
      <c r="W635" s="7" t="inlineStr"/>
      <c r="X635" s="7" t="inlineStr">
        <is>
          <t>AG. MEDIÇÃO</t>
        </is>
      </c>
      <c r="Y635" s="11">
        <f>IF(AND(L635&lt;&gt;"", S635&lt;&gt;""), S635-L635, IF(L635&lt;&gt;"", TODAY()-L635, ""))</f>
        <v/>
      </c>
      <c r="Z635" s="7">
        <f>IF(Y635="", "", IF(Y635&lt;=3, "NO PRAZO", "ATRASADO"))</f>
        <v/>
      </c>
      <c r="AA635" s="8" t="inlineStr"/>
    </row>
    <row r="636" ht="20" customHeight="1">
      <c r="A636" s="7" t="inlineStr">
        <is>
          <t>RSCLER0634</t>
        </is>
      </c>
      <c r="B636" s="8" t="inlineStr">
        <is>
          <t>PORTO ALEGRE</t>
        </is>
      </c>
      <c r="C636" s="7" t="inlineStr">
        <is>
          <t>MNDAC</t>
        </is>
      </c>
      <c r="D636" s="7" t="inlineStr">
        <is>
          <t>MNDAK</t>
        </is>
      </c>
      <c r="E636" s="7" t="inlineStr">
        <is>
          <t>RSPSU02</t>
        </is>
      </c>
      <c r="F636" s="8" t="inlineStr">
        <is>
          <t>Morada Oscar Bittencourt</t>
        </is>
      </c>
      <c r="G636" s="8" t="inlineStr">
        <is>
          <t>Dr Oscar Bittencourt 130</t>
        </is>
      </c>
      <c r="H636" s="7" t="inlineStr">
        <is>
          <t>MNDAC.051.M020</t>
        </is>
      </c>
      <c r="I636" s="8" t="inlineStr">
        <is>
          <t>7 ABERTURA E FECHAMENTO, 10 FUSÕES, 4 TESTES</t>
        </is>
      </c>
      <c r="J636" s="8" t="inlineStr"/>
      <c r="K636" s="8" t="inlineStr">
        <is>
          <t>WILIAN VIGEL</t>
        </is>
      </c>
      <c r="L636" s="9" t="n">
        <v>45820</v>
      </c>
      <c r="M636" s="7" t="inlineStr"/>
      <c r="N636" s="7" t="inlineStr"/>
      <c r="O636" s="9" t="n">
        <v>45824</v>
      </c>
      <c r="P636" s="7" t="inlineStr">
        <is>
          <t>NÃO PRECISA</t>
        </is>
      </c>
      <c r="Q636" s="9" t="n">
        <v>45845</v>
      </c>
      <c r="R636" s="7" t="inlineStr">
        <is>
          <t>Concluído Campo</t>
        </is>
      </c>
      <c r="S636" s="7" t="inlineStr"/>
      <c r="T636" s="10" t="inlineStr"/>
      <c r="U636" s="7" t="inlineStr"/>
      <c r="V636" s="7" t="inlineStr"/>
      <c r="W636" s="7" t="inlineStr"/>
      <c r="X636" s="7" t="inlineStr">
        <is>
          <t>AG. MEDIÇÃO</t>
        </is>
      </c>
      <c r="Y636" s="11">
        <f>IF(AND(L636&lt;&gt;"", S636&lt;&gt;""), S636-L636, IF(L636&lt;&gt;"", TODAY()-L636, ""))</f>
        <v/>
      </c>
      <c r="Z636" s="7">
        <f>IF(Y636="", "", IF(Y636&lt;=3, "NO PRAZO", "ATRASADO"))</f>
        <v/>
      </c>
      <c r="AA636" s="8" t="inlineStr"/>
    </row>
    <row r="637" ht="20" customHeight="1">
      <c r="A637" s="7" t="inlineStr">
        <is>
          <t>RSCLER0635</t>
        </is>
      </c>
      <c r="B637" s="8" t="inlineStr">
        <is>
          <t>PORTO ALEGRE</t>
        </is>
      </c>
      <c r="C637" s="7" t="inlineStr">
        <is>
          <t>PDRAA</t>
        </is>
      </c>
      <c r="D637" s="7" t="inlineStr">
        <is>
          <t>PDRAG</t>
        </is>
      </c>
      <c r="E637" s="7" t="inlineStr">
        <is>
          <t>RSPNO17</t>
        </is>
      </c>
      <c r="F637" s="8" t="inlineStr">
        <is>
          <t>Cond. Edifício Ideale Massima Vita</t>
        </is>
      </c>
      <c r="G637" s="8" t="inlineStr">
        <is>
          <t>Av. Andaraí, 675 Torre A/B</t>
        </is>
      </c>
      <c r="H637" s="7" t="inlineStr">
        <is>
          <t>PDRAA.033.M030</t>
        </is>
      </c>
      <c r="I637" s="8" t="inlineStr">
        <is>
          <t>DENTRO DO NODE PDRAG</t>
        </is>
      </c>
      <c r="J637" s="8" t="inlineStr"/>
      <c r="K637" s="8" t="inlineStr">
        <is>
          <t>GILSON</t>
        </is>
      </c>
      <c r="L637" s="9" t="n">
        <v>45821</v>
      </c>
      <c r="M637" s="7" t="inlineStr"/>
      <c r="N637" s="7" t="inlineStr"/>
      <c r="O637" s="9" t="n">
        <v>45824</v>
      </c>
      <c r="P637" s="7" t="inlineStr">
        <is>
          <t>NÃO PRECISA</t>
        </is>
      </c>
      <c r="Q637" s="7" t="inlineStr">
        <is>
          <t>PDRAG</t>
        </is>
      </c>
      <c r="R637" s="7" t="inlineStr">
        <is>
          <t>Concluído Campo</t>
        </is>
      </c>
      <c r="S637" s="7" t="inlineStr"/>
      <c r="T637" s="10" t="inlineStr"/>
      <c r="U637" s="7" t="inlineStr"/>
      <c r="V637" s="7" t="inlineStr"/>
      <c r="W637" s="7" t="inlineStr"/>
      <c r="X637" s="7" t="inlineStr">
        <is>
          <t>AG. MEDIÇÃO</t>
        </is>
      </c>
      <c r="Y637" s="11">
        <f>IF(AND(L637&lt;&gt;"", S637&lt;&gt;""), S637-L637, IF(L637&lt;&gt;"", TODAY()-L637, ""))</f>
        <v/>
      </c>
      <c r="Z637" s="7">
        <f>IF(Y637="", "", IF(Y637&lt;=3, "NO PRAZO", "ATRASADO"))</f>
        <v/>
      </c>
      <c r="AA637" s="8" t="inlineStr"/>
    </row>
    <row r="638" ht="20" customHeight="1">
      <c r="A638" s="7" t="inlineStr">
        <is>
          <t>RSCLER0636</t>
        </is>
      </c>
      <c r="B638" s="8" t="inlineStr">
        <is>
          <t>PORTO ALEGRE</t>
        </is>
      </c>
      <c r="C638" s="7" t="inlineStr">
        <is>
          <t>PDRAA</t>
        </is>
      </c>
      <c r="D638" s="7" t="inlineStr">
        <is>
          <t>VIPAF</t>
        </is>
      </c>
      <c r="E638" s="7" t="inlineStr">
        <is>
          <t>RSPNO17</t>
        </is>
      </c>
      <c r="F638" s="8" t="inlineStr">
        <is>
          <t>Cond. Edifício Ópera Square</t>
        </is>
      </c>
      <c r="G638" s="8" t="inlineStr">
        <is>
          <t>Rua Roque Calage, 886</t>
        </is>
      </c>
      <c r="H638" s="7" t="inlineStr">
        <is>
          <t>PDRAA.125.M040....</t>
        </is>
      </c>
      <c r="I638" s="8" t="inlineStr">
        <is>
          <t>2 ABERTURA E FECHAMENTO, 3 FUSÕES, 3 TESTES</t>
        </is>
      </c>
      <c r="J638" s="8" t="inlineStr"/>
      <c r="K638" s="8" t="inlineStr">
        <is>
          <t>DIOGO</t>
        </is>
      </c>
      <c r="L638" s="9" t="n">
        <v>45821</v>
      </c>
      <c r="M638" s="7" t="inlineStr"/>
      <c r="N638" s="7" t="inlineStr"/>
      <c r="O638" s="9" t="n">
        <v>45825</v>
      </c>
      <c r="P638" s="7" t="inlineStr">
        <is>
          <t>NÃO PRECISA</t>
        </is>
      </c>
      <c r="Q638" s="9" t="n">
        <v>45845</v>
      </c>
      <c r="R638" s="7" t="inlineStr">
        <is>
          <t>Concluído Campo</t>
        </is>
      </c>
      <c r="S638" s="7" t="inlineStr"/>
      <c r="T638" s="10" t="inlineStr"/>
      <c r="U638" s="7" t="inlineStr"/>
      <c r="V638" s="7" t="inlineStr"/>
      <c r="W638" s="7" t="inlineStr"/>
      <c r="X638" s="7" t="inlineStr">
        <is>
          <t>AG. MEDIÇÃO</t>
        </is>
      </c>
      <c r="Y638" s="11">
        <f>IF(AND(L638&lt;&gt;"", S638&lt;&gt;""), S638-L638, IF(L638&lt;&gt;"", TODAY()-L638, ""))</f>
        <v/>
      </c>
      <c r="Z638" s="7">
        <f>IF(Y638="", "", IF(Y638&lt;=3, "NO PRAZO", "ATRASADO"))</f>
        <v/>
      </c>
      <c r="AA638" s="8" t="inlineStr"/>
    </row>
    <row r="639" ht="20" customHeight="1">
      <c r="A639" s="7" t="inlineStr">
        <is>
          <t>RSCLER0637</t>
        </is>
      </c>
      <c r="B639" s="8" t="inlineStr">
        <is>
          <t>PORTO ALEGRE</t>
        </is>
      </c>
      <c r="C639" s="7" t="inlineStr">
        <is>
          <t>PDRAA</t>
        </is>
      </c>
      <c r="D639" s="7" t="inlineStr">
        <is>
          <t>VIPAF</t>
        </is>
      </c>
      <c r="E639" s="7" t="inlineStr">
        <is>
          <t>RSPNO17</t>
        </is>
      </c>
      <c r="F639" s="8" t="inlineStr">
        <is>
          <t>Cond. Edifício Village Bourbon</t>
        </is>
      </c>
      <c r="G639" s="8" t="inlineStr">
        <is>
          <t>Rua Roque Calage, 758</t>
        </is>
      </c>
      <c r="H639" s="7" t="inlineStr">
        <is>
          <t>PDRAA.125.M040..</t>
        </is>
      </c>
      <c r="I639" s="8" t="inlineStr">
        <is>
          <t>COBRAR JUNTA A RSCLER0631</t>
        </is>
      </c>
      <c r="J639" s="8" t="inlineStr"/>
      <c r="K639" s="8" t="inlineStr">
        <is>
          <t>DIOGO</t>
        </is>
      </c>
      <c r="L639" s="9" t="n">
        <v>45821</v>
      </c>
      <c r="M639" s="7" t="inlineStr"/>
      <c r="N639" s="7" t="inlineStr"/>
      <c r="O639" s="9" t="n">
        <v>45825</v>
      </c>
      <c r="P639" s="7" t="inlineStr">
        <is>
          <t>NÃO PRECISA</t>
        </is>
      </c>
      <c r="Q639" s="9" t="n">
        <v>45845</v>
      </c>
      <c r="R639" s="7" t="inlineStr">
        <is>
          <t>Concluído Campo</t>
        </is>
      </c>
      <c r="S639" s="7" t="inlineStr"/>
      <c r="T639" s="10" t="inlineStr"/>
      <c r="U639" s="7" t="inlineStr"/>
      <c r="V639" s="7" t="inlineStr"/>
      <c r="W639" s="7" t="inlineStr"/>
      <c r="X639" s="7" t="inlineStr">
        <is>
          <t>AG. MEDIÇÃO</t>
        </is>
      </c>
      <c r="Y639" s="11">
        <f>IF(AND(L639&lt;&gt;"", S639&lt;&gt;""), S639-L639, IF(L639&lt;&gt;"", TODAY()-L639, ""))</f>
        <v/>
      </c>
      <c r="Z639" s="7">
        <f>IF(Y639="", "", IF(Y639&lt;=3, "NO PRAZO", "ATRASADO"))</f>
        <v/>
      </c>
      <c r="AA639" s="8" t="inlineStr"/>
    </row>
    <row r="640" ht="20" customHeight="1">
      <c r="A640" s="7" t="inlineStr">
        <is>
          <t>RSCLER0638</t>
        </is>
      </c>
      <c r="B640" s="8" t="inlineStr">
        <is>
          <t>PORTO ALEGRE</t>
        </is>
      </c>
      <c r="C640" s="7" t="inlineStr">
        <is>
          <t>PDRAA</t>
        </is>
      </c>
      <c r="D640" s="7" t="inlineStr">
        <is>
          <t>VIPAF</t>
        </is>
      </c>
      <c r="E640" s="7" t="inlineStr">
        <is>
          <t>RSPNO17</t>
        </is>
      </c>
      <c r="F640" s="8" t="inlineStr">
        <is>
          <t>Cond. Edifício Ópera Square</t>
        </is>
      </c>
      <c r="G640" s="8" t="inlineStr">
        <is>
          <t>Rua Roque Calage, 900</t>
        </is>
      </c>
      <c r="H640" s="7" t="inlineStr">
        <is>
          <t>PDRAA.125.M040...</t>
        </is>
      </c>
      <c r="I640" s="8" t="inlineStr">
        <is>
          <t>COBRAR JUNTA A RSCLER0631</t>
        </is>
      </c>
      <c r="J640" s="8" t="inlineStr"/>
      <c r="K640" s="8" t="inlineStr">
        <is>
          <t>DIOGO</t>
        </is>
      </c>
      <c r="L640" s="9" t="n">
        <v>45821</v>
      </c>
      <c r="M640" s="7" t="inlineStr"/>
      <c r="N640" s="7" t="inlineStr"/>
      <c r="O640" s="9" t="n">
        <v>45825</v>
      </c>
      <c r="P640" s="7" t="inlineStr">
        <is>
          <t>NÃO PRECISA</t>
        </is>
      </c>
      <c r="Q640" s="9" t="n">
        <v>45845</v>
      </c>
      <c r="R640" s="7" t="inlineStr">
        <is>
          <t>Concluído Campo</t>
        </is>
      </c>
      <c r="S640" s="9" t="n">
        <v>45832</v>
      </c>
      <c r="T640" s="10" t="inlineStr"/>
      <c r="U640" s="7" t="inlineStr">
        <is>
          <t>4830025</t>
        </is>
      </c>
      <c r="V640" s="7" t="inlineStr">
        <is>
          <t>FINALIZADO</t>
        </is>
      </c>
      <c r="W640" s="7" t="inlineStr"/>
      <c r="X640" s="7" t="inlineStr">
        <is>
          <t>MEDIÇÃO CONCLUÍDA</t>
        </is>
      </c>
      <c r="Y640" s="11">
        <f>IF(AND(L640&lt;&gt;"", S640&lt;&gt;""), S640-L640, IF(L640&lt;&gt;"", TODAY()-L640, ""))</f>
        <v/>
      </c>
      <c r="Z640" s="7">
        <f>IF(Y640="", "", IF(Y640&lt;=3, "NO PRAZO", "ATRASADO"))</f>
        <v/>
      </c>
      <c r="AA640" s="8" t="inlineStr"/>
    </row>
    <row r="641" ht="20" customHeight="1">
      <c r="A641" s="7" t="inlineStr">
        <is>
          <t>RSCLER0639</t>
        </is>
      </c>
      <c r="B641" s="8" t="inlineStr">
        <is>
          <t>PORTO ALEGRE</t>
        </is>
      </c>
      <c r="C641" s="7" t="inlineStr">
        <is>
          <t>PDRAA</t>
        </is>
      </c>
      <c r="D641" s="7" t="inlineStr">
        <is>
          <t>PDRAG</t>
        </is>
      </c>
      <c r="E641" s="7" t="inlineStr">
        <is>
          <t>RSPNO17</t>
        </is>
      </c>
      <c r="F641" s="8" t="inlineStr">
        <is>
          <t>Cond. Edificio Country Paradise</t>
        </is>
      </c>
      <c r="G641" s="8" t="inlineStr">
        <is>
          <t>Rua Geraldo Souza Moreira, 173</t>
        </is>
      </c>
      <c r="H641" s="7" t="inlineStr">
        <is>
          <t>PDRAA.035.M020</t>
        </is>
      </c>
      <c r="I641" s="8" t="inlineStr">
        <is>
          <t>DENTRO DO NODE PDRAG</t>
        </is>
      </c>
      <c r="J641" s="8" t="inlineStr"/>
      <c r="K641" s="8" t="inlineStr">
        <is>
          <t>GILSON</t>
        </is>
      </c>
      <c r="L641" s="9" t="n">
        <v>45824</v>
      </c>
      <c r="M641" s="7" t="inlineStr"/>
      <c r="N641" s="7" t="inlineStr"/>
      <c r="O641" s="9" t="n">
        <v>45824</v>
      </c>
      <c r="P641" s="7" t="inlineStr">
        <is>
          <t>NÃO PRECISA</t>
        </is>
      </c>
      <c r="Q641" s="7" t="inlineStr">
        <is>
          <t>COBRAR NO NODE</t>
        </is>
      </c>
      <c r="R641" s="7" t="inlineStr">
        <is>
          <t>Concluído Campo</t>
        </is>
      </c>
      <c r="S641" s="7" t="inlineStr"/>
      <c r="T641" s="10" t="inlineStr"/>
      <c r="U641" s="7" t="inlineStr"/>
      <c r="V641" s="7" t="inlineStr">
        <is>
          <t>corrigir medição</t>
        </is>
      </c>
      <c r="W641" s="7" t="inlineStr"/>
      <c r="X641" s="7" t="inlineStr">
        <is>
          <t>AG. MEDIÇÃO</t>
        </is>
      </c>
      <c r="Y641" s="11">
        <f>IF(AND(L641&lt;&gt;"", S641&lt;&gt;""), S641-L641, IF(L641&lt;&gt;"", TODAY()-L641, ""))</f>
        <v/>
      </c>
      <c r="Z641" s="7">
        <f>IF(Y641="", "", IF(Y641&lt;=3, "NO PRAZO", "ATRASADO"))</f>
        <v/>
      </c>
      <c r="AA641" s="8" t="inlineStr"/>
    </row>
    <row r="642" ht="20" customHeight="1">
      <c r="A642" s="7" t="inlineStr">
        <is>
          <t>RSCLER0640</t>
        </is>
      </c>
      <c r="B642" s="8" t="inlineStr">
        <is>
          <t>PORTO ALEGRE</t>
        </is>
      </c>
      <c r="C642" s="7" t="inlineStr">
        <is>
          <t>PDRAA</t>
        </is>
      </c>
      <c r="D642" s="7" t="inlineStr">
        <is>
          <t>PDRAG</t>
        </is>
      </c>
      <c r="E642" s="7" t="inlineStr">
        <is>
          <t>RSPNO17</t>
        </is>
      </c>
      <c r="F642" s="8" t="inlineStr">
        <is>
          <t>Cond. Edificio Reserva Kiev</t>
        </is>
      </c>
      <c r="G642" s="8" t="inlineStr">
        <is>
          <t>Rua Kiev, 46</t>
        </is>
      </c>
      <c r="H642" s="7" t="inlineStr">
        <is>
          <t>PDRAA.035.M010</t>
        </is>
      </c>
      <c r="I642" s="8" t="inlineStr">
        <is>
          <t>DENTRO DO NODE PDRAG</t>
        </is>
      </c>
      <c r="J642" s="8" t="inlineStr"/>
      <c r="K642" s="8" t="inlineStr">
        <is>
          <t>GILSON</t>
        </is>
      </c>
      <c r="L642" s="9" t="n">
        <v>45824</v>
      </c>
      <c r="M642" s="7" t="inlineStr"/>
      <c r="N642" s="7" t="inlineStr"/>
      <c r="O642" s="9" t="n">
        <v>45824</v>
      </c>
      <c r="P642" s="7" t="inlineStr">
        <is>
          <t>NÃO PRECISA</t>
        </is>
      </c>
      <c r="Q642" s="7" t="inlineStr">
        <is>
          <t>COBRAR NO NODE</t>
        </is>
      </c>
      <c r="R642" s="7" t="inlineStr">
        <is>
          <t>Concluído Campo</t>
        </is>
      </c>
      <c r="S642" s="9" t="n">
        <v>45840</v>
      </c>
      <c r="T642" s="10" t="inlineStr"/>
      <c r="U642" s="7" t="inlineStr">
        <is>
          <t>4990533</t>
        </is>
      </c>
      <c r="V642" s="7" t="inlineStr">
        <is>
          <t>FINALIZADO</t>
        </is>
      </c>
      <c r="W642" s="7" t="inlineStr"/>
      <c r="X642" s="7" t="inlineStr">
        <is>
          <t>MEDIÇÃO CONCLUÍDA</t>
        </is>
      </c>
      <c r="Y642" s="11">
        <f>IF(AND(L642&lt;&gt;"", S642&lt;&gt;""), S642-L642, IF(L642&lt;&gt;"", TODAY()-L642, ""))</f>
        <v/>
      </c>
      <c r="Z642" s="7">
        <f>IF(Y642="", "", IF(Y642&lt;=3, "NO PRAZO", "ATRASADO"))</f>
        <v/>
      </c>
      <c r="AA642" s="8" t="inlineStr"/>
    </row>
    <row r="643" ht="20" customHeight="1">
      <c r="A643" s="7" t="inlineStr">
        <is>
          <t>RSCLER0641</t>
        </is>
      </c>
      <c r="B643" s="8" t="inlineStr">
        <is>
          <t>PORTO ALEGRE</t>
        </is>
      </c>
      <c r="C643" s="7" t="inlineStr">
        <is>
          <t>TRZAA</t>
        </is>
      </c>
      <c r="D643" s="7" t="inlineStr">
        <is>
          <t>TRZAIA</t>
        </is>
      </c>
      <c r="E643" s="7" t="inlineStr">
        <is>
          <t>RSPSU11</t>
        </is>
      </c>
      <c r="F643" s="8" t="inlineStr">
        <is>
          <t>Cond. Residencial Ricon Marino</t>
        </is>
      </c>
      <c r="G643" s="8" t="inlineStr">
        <is>
          <t>AV Otto Niemeyer, 77</t>
        </is>
      </c>
      <c r="H643" s="7" t="inlineStr">
        <is>
          <t>TRZAA.151.M010</t>
        </is>
      </c>
      <c r="I643" s="8" t="inlineStr">
        <is>
          <t>DENTRO DO NODE TRZAIA</t>
        </is>
      </c>
      <c r="J643" s="8" t="inlineStr">
        <is>
          <t>TIAGO FERREIRA</t>
        </is>
      </c>
      <c r="K643" s="8" t="inlineStr">
        <is>
          <t>MARCOS EMILIANO</t>
        </is>
      </c>
      <c r="L643" s="9" t="n">
        <v>45824</v>
      </c>
      <c r="M643" s="7" t="inlineStr"/>
      <c r="N643" s="7" t="inlineStr"/>
      <c r="O643" s="7" t="inlineStr"/>
      <c r="P643" s="7" t="inlineStr">
        <is>
          <t>NÃO PRECISA</t>
        </is>
      </c>
      <c r="Q643" s="7" t="inlineStr">
        <is>
          <t>TRZAIA</t>
        </is>
      </c>
      <c r="R643" s="7" t="inlineStr">
        <is>
          <t>Concluído Campo</t>
        </is>
      </c>
      <c r="S643" s="9" t="n">
        <v>45834</v>
      </c>
      <c r="T643" s="10" t="inlineStr"/>
      <c r="U643" s="7" t="inlineStr">
        <is>
          <t>4973999</t>
        </is>
      </c>
      <c r="V643" s="7" t="inlineStr">
        <is>
          <t>FINALIZADO</t>
        </is>
      </c>
      <c r="W643" s="7" t="inlineStr"/>
      <c r="X643" s="7" t="inlineStr">
        <is>
          <t>MEDIÇÃO CONCLUÍDA</t>
        </is>
      </c>
      <c r="Y643" s="11">
        <f>IF(AND(L643&lt;&gt;"", S643&lt;&gt;""), S643-L643, IF(L643&lt;&gt;"", TODAY()-L643, ""))</f>
        <v/>
      </c>
      <c r="Z643" s="7">
        <f>IF(Y643="", "", IF(Y643&lt;=3, "NO PRAZO", "ATRASADO"))</f>
        <v/>
      </c>
      <c r="AA643" s="8" t="inlineStr"/>
    </row>
    <row r="644" ht="20" customHeight="1">
      <c r="A644" s="7" t="inlineStr">
        <is>
          <t>RSCLER0642</t>
        </is>
      </c>
      <c r="B644" s="8" t="inlineStr">
        <is>
          <t>PORTO ALEGRE</t>
        </is>
      </c>
      <c r="C644" s="7" t="inlineStr">
        <is>
          <t>RBRAQ</t>
        </is>
      </c>
      <c r="D644" s="7" t="inlineStr"/>
      <c r="E644" s="7" t="inlineStr">
        <is>
          <t>PAE BV</t>
        </is>
      </c>
      <c r="F644" s="8" t="inlineStr">
        <is>
          <t>Cond. Livile</t>
        </is>
      </c>
      <c r="G644" s="8" t="inlineStr">
        <is>
          <t>R Casemiro de Abreu 1655</t>
        </is>
      </c>
      <c r="H644" s="7" t="inlineStr">
        <is>
          <t>RBRAQ.001.M010</t>
        </is>
      </c>
      <c r="I644" s="8" t="inlineStr">
        <is>
          <t>3 ABERTURA E FECHAMENTO, 5 FUSÕES, 3 TESTES</t>
        </is>
      </c>
      <c r="J644" s="8" t="inlineStr"/>
      <c r="K644" s="8" t="inlineStr">
        <is>
          <t>DIOGO</t>
        </is>
      </c>
      <c r="L644" s="9" t="n">
        <v>45826</v>
      </c>
      <c r="M644" s="7" t="inlineStr"/>
      <c r="N644" s="7" t="inlineStr"/>
      <c r="O644" s="9" t="n">
        <v>45832</v>
      </c>
      <c r="P644" s="7" t="inlineStr">
        <is>
          <t>NÃO PRECISA</t>
        </is>
      </c>
      <c r="Q644" s="9" t="n">
        <v>45845</v>
      </c>
      <c r="R644" s="7" t="inlineStr">
        <is>
          <t>Concluído Campo</t>
        </is>
      </c>
      <c r="S644" s="9" t="n">
        <v>45835</v>
      </c>
      <c r="T644" s="10" t="inlineStr"/>
      <c r="U644" s="7" t="inlineStr">
        <is>
          <t>5058885</t>
        </is>
      </c>
      <c r="V644" s="7" t="inlineStr">
        <is>
          <t>FINALIZADO</t>
        </is>
      </c>
      <c r="W644" s="7" t="inlineStr"/>
      <c r="X644" s="7" t="inlineStr">
        <is>
          <t>MEDIÇÃO CONCLUÍDA</t>
        </is>
      </c>
      <c r="Y644" s="11">
        <f>IF(AND(L644&lt;&gt;"", S644&lt;&gt;""), S644-L644, IF(L644&lt;&gt;"", TODAY()-L644, ""))</f>
        <v/>
      </c>
      <c r="Z644" s="7">
        <f>IF(Y644="", "", IF(Y644&lt;=3, "NO PRAZO", "ATRASADO"))</f>
        <v/>
      </c>
      <c r="AA644" s="8" t="inlineStr"/>
    </row>
    <row r="645" ht="20" customHeight="1">
      <c r="A645" s="7" t="inlineStr">
        <is>
          <t>RSCLER0643</t>
        </is>
      </c>
      <c r="B645" s="8" t="inlineStr">
        <is>
          <t>PORTO ALEGRE</t>
        </is>
      </c>
      <c r="C645" s="7" t="inlineStr">
        <is>
          <t>CNTAB</t>
        </is>
      </c>
      <c r="D645" s="7" t="inlineStr">
        <is>
          <t>CNTAA</t>
        </is>
      </c>
      <c r="E645" s="7" t="inlineStr">
        <is>
          <t>RSPCE14</t>
        </is>
      </c>
      <c r="F645" s="8" t="inlineStr">
        <is>
          <t>Cond. Edifício The Sun</t>
        </is>
      </c>
      <c r="G645" s="8" t="inlineStr">
        <is>
          <t>Rua Washington Luiz, 238</t>
        </is>
      </c>
      <c r="H645" s="7" t="inlineStr">
        <is>
          <t>CNTAB.013.M040</t>
        </is>
      </c>
      <c r="I645" s="8" t="inlineStr">
        <is>
          <t>FOI LANÇADO 110 METROS DE CABO DE 12FO, 3 ABERTURA E FECHAMENTO, 1 CX NOVA, 1 DERIVAÇÃO, 3 FUSÕES, 1 TESTE OTDR, 1 TESTE</t>
        </is>
      </c>
      <c r="J645" s="8" t="inlineStr">
        <is>
          <t>UBIRATAN</t>
        </is>
      </c>
      <c r="K645" s="8" t="inlineStr">
        <is>
          <t>CATIA</t>
        </is>
      </c>
      <c r="L645" s="9" t="n">
        <v>45826</v>
      </c>
      <c r="M645" s="7" t="inlineStr"/>
      <c r="N645" s="7" t="inlineStr"/>
      <c r="O645" s="9" t="n">
        <v>45831</v>
      </c>
      <c r="P645" s="7" t="inlineStr">
        <is>
          <t>NÃO PRECISA</t>
        </is>
      </c>
      <c r="Q645" s="7" t="inlineStr">
        <is>
          <t>teste</t>
        </is>
      </c>
      <c r="R645" s="7" t="inlineStr">
        <is>
          <t>Concluído Campo</t>
        </is>
      </c>
      <c r="S645" s="9" t="n">
        <v>45846</v>
      </c>
      <c r="T645" s="10" t="inlineStr"/>
      <c r="U645" s="7" t="inlineStr">
        <is>
          <t>506606</t>
        </is>
      </c>
      <c r="V645" s="7" t="inlineStr">
        <is>
          <t>FINALIZADO</t>
        </is>
      </c>
      <c r="W645" s="7" t="inlineStr"/>
      <c r="X645" s="7" t="inlineStr">
        <is>
          <t>MEDIÇÃO CONCLUÍDA</t>
        </is>
      </c>
      <c r="Y645" s="11">
        <f>IF(AND(L645&lt;&gt;"", S645&lt;&gt;""), S645-L645, IF(L645&lt;&gt;"", TODAY()-L645, ""))</f>
        <v/>
      </c>
      <c r="Z645" s="7">
        <f>IF(Y645="", "", IF(Y645&lt;=3, "NO PRAZO", "ATRASADO"))</f>
        <v/>
      </c>
      <c r="AA645" s="8" t="inlineStr"/>
    </row>
    <row r="646" ht="20" customHeight="1">
      <c r="A646" s="7" t="inlineStr">
        <is>
          <t>RSCLER0644</t>
        </is>
      </c>
      <c r="B646" s="8" t="inlineStr">
        <is>
          <t>PORTO ALEGRE</t>
        </is>
      </c>
      <c r="C646" s="7" t="inlineStr">
        <is>
          <t>JBOAA</t>
        </is>
      </c>
      <c r="D646" s="7" t="inlineStr">
        <is>
          <t>JBOAG</t>
        </is>
      </c>
      <c r="E646" s="7" t="inlineStr">
        <is>
          <t>RSPLE18</t>
        </is>
      </c>
      <c r="F646" s="8" t="inlineStr">
        <is>
          <t>Cond. Edifício San Lorenzo</t>
        </is>
      </c>
      <c r="G646" s="8" t="inlineStr">
        <is>
          <t>Rua Veríssimo Rosa, 757</t>
        </is>
      </c>
      <c r="H646" s="7" t="inlineStr">
        <is>
          <t>JBOAA.021.M050</t>
        </is>
      </c>
      <c r="I646" s="8" t="inlineStr">
        <is>
          <t>FOI LANÇADO 282 METROS DE CABO DE 12FO, 3 ABERTURAS E FECHAMENTO, 4 FUSÕES, 1 CX NOVA, 1 TESTE POWER METER, 1 TESTE OTDR</t>
        </is>
      </c>
      <c r="J646" s="8" t="inlineStr">
        <is>
          <t>UBIRATAN</t>
        </is>
      </c>
      <c r="K646" s="8" t="inlineStr">
        <is>
          <t>CATIA</t>
        </is>
      </c>
      <c r="L646" s="9" t="n">
        <v>45826</v>
      </c>
      <c r="M646" s="7" t="inlineStr"/>
      <c r="N646" s="7" t="inlineStr"/>
      <c r="O646" s="9" t="n">
        <v>45832</v>
      </c>
      <c r="P646" s="7" t="inlineStr">
        <is>
          <t>NÃO PRECISA</t>
        </is>
      </c>
      <c r="Q646" s="9" t="n">
        <v>45845</v>
      </c>
      <c r="R646" s="7" t="inlineStr">
        <is>
          <t>Concluído Campo</t>
        </is>
      </c>
      <c r="S646" s="7" t="inlineStr"/>
      <c r="T646" s="10" t="inlineStr"/>
      <c r="U646" s="7" t="inlineStr"/>
      <c r="V646" s="7" t="inlineStr"/>
      <c r="W646" s="7" t="inlineStr"/>
      <c r="X646" s="7" t="inlineStr">
        <is>
          <t>AG. MEDIÇÃO</t>
        </is>
      </c>
      <c r="Y646" s="11">
        <f>IF(AND(L646&lt;&gt;"", S646&lt;&gt;""), S646-L646, IF(L646&lt;&gt;"", TODAY()-L646, ""))</f>
        <v/>
      </c>
      <c r="Z646" s="7">
        <f>IF(Y646="", "", IF(Y646&lt;=3, "NO PRAZO", "ATRASADO"))</f>
        <v/>
      </c>
      <c r="AA646" s="8" t="inlineStr"/>
    </row>
    <row r="647" ht="20" customHeight="1">
      <c r="A647" s="7" t="inlineStr">
        <is>
          <t>RSCLER0645</t>
        </is>
      </c>
      <c r="B647" s="8" t="inlineStr">
        <is>
          <t>OSORIO</t>
        </is>
      </c>
      <c r="C647" s="7" t="inlineStr">
        <is>
          <t>CTO</t>
        </is>
      </c>
      <c r="D647" s="7" t="inlineStr"/>
      <c r="E647" s="7" t="inlineStr">
        <is>
          <t>RSOSR01</t>
        </is>
      </c>
      <c r="F647" s="8" t="inlineStr"/>
      <c r="G647" s="8" t="inlineStr">
        <is>
          <t>R COSTA GAMA, 1427</t>
        </is>
      </c>
      <c r="H647" s="7" t="inlineStr">
        <is>
          <t>CTO.008.M020</t>
        </is>
      </c>
      <c r="I647" s="8" t="inlineStr">
        <is>
          <t>10 ABERTURA E FECHAMENTO, 14 FUSÕES, 2 TESTES</t>
        </is>
      </c>
      <c r="J647" s="8" t="inlineStr"/>
      <c r="K647" s="8" t="inlineStr">
        <is>
          <t>FABIO AMARILHO</t>
        </is>
      </c>
      <c r="L647" s="9" t="n">
        <v>45826</v>
      </c>
      <c r="M647" s="7" t="inlineStr"/>
      <c r="N647" s="7" t="inlineStr"/>
      <c r="O647" s="7" t="inlineStr"/>
      <c r="P647" s="9" t="n">
        <v>45905</v>
      </c>
      <c r="Q647" s="9" t="n">
        <v>45905</v>
      </c>
      <c r="R647" s="7" t="inlineStr">
        <is>
          <t>Concluído Campo</t>
        </is>
      </c>
      <c r="S647" s="9" t="n">
        <v>45849</v>
      </c>
      <c r="T647" s="10" t="inlineStr"/>
      <c r="U647" s="7" t="inlineStr">
        <is>
          <t>4886246</t>
        </is>
      </c>
      <c r="V647" s="7" t="inlineStr">
        <is>
          <t>FINALIZADO</t>
        </is>
      </c>
      <c r="W647" s="7" t="inlineStr"/>
      <c r="X647" s="7" t="inlineStr">
        <is>
          <t>MEDIÇÃO CONCLUÍDA</t>
        </is>
      </c>
      <c r="Y647" s="11">
        <f>IF(AND(L647&lt;&gt;"", S647&lt;&gt;""), S647-L647, IF(L647&lt;&gt;"", TODAY()-L647, ""))</f>
        <v/>
      </c>
      <c r="Z647" s="7">
        <f>IF(Y647="", "", IF(Y647&lt;=3, "NO PRAZO", "ATRASADO"))</f>
        <v/>
      </c>
      <c r="AA647" s="8" t="inlineStr"/>
    </row>
    <row r="648" ht="20" customHeight="1">
      <c r="A648" s="7" t="inlineStr">
        <is>
          <t>RSCLER0646</t>
        </is>
      </c>
      <c r="B648" s="8" t="inlineStr">
        <is>
          <t>PORTO ALEGRE</t>
        </is>
      </c>
      <c r="C648" s="7" t="inlineStr">
        <is>
          <t>JBOAA</t>
        </is>
      </c>
      <c r="D648" s="7" t="inlineStr">
        <is>
          <t>PETAE</t>
        </is>
      </c>
      <c r="E648" s="7" t="inlineStr">
        <is>
          <t>RSPLE18</t>
        </is>
      </c>
      <c r="F648" s="8" t="inlineStr">
        <is>
          <t>Cond. Idea Eça de Queiroz</t>
        </is>
      </c>
      <c r="G648" s="8" t="inlineStr">
        <is>
          <t>Rua Eça de Queiroz, 800</t>
        </is>
      </c>
      <c r="H648" s="7" t="inlineStr">
        <is>
          <t>JBOAA.093.M102</t>
        </is>
      </c>
      <c r="I648" s="8" t="inlineStr">
        <is>
          <t>FOI LANÇADO 229 METROS DE CABO DE 24FO, FOI LANÇADO 200 METROS DE CORDOALHA, 8 ABERTURA E FECHAMENTO, 5 DERIVAÇÃO, 3 TESTES OTDR, 19 FUSÕES</t>
        </is>
      </c>
      <c r="J648" s="8" t="inlineStr">
        <is>
          <t>UBIRATAN</t>
        </is>
      </c>
      <c r="K648" s="8" t="inlineStr">
        <is>
          <t>CATIA</t>
        </is>
      </c>
      <c r="L648" s="9" t="n">
        <v>45832</v>
      </c>
      <c r="M648" s="7" t="inlineStr"/>
      <c r="N648" s="7" t="inlineStr"/>
      <c r="O648" s="7" t="inlineStr"/>
      <c r="P648" s="7" t="inlineStr">
        <is>
          <t>NÃO PRECISA</t>
        </is>
      </c>
      <c r="Q648" s="9" t="n">
        <v>45852</v>
      </c>
      <c r="R648" s="7" t="inlineStr">
        <is>
          <t>Concluído Campo</t>
        </is>
      </c>
      <c r="S648" s="9" t="n">
        <v>45840</v>
      </c>
      <c r="T648" s="10" t="inlineStr"/>
      <c r="U648" s="7" t="inlineStr">
        <is>
          <t>4844404</t>
        </is>
      </c>
      <c r="V648" s="7" t="inlineStr">
        <is>
          <t>FINALIZADO</t>
        </is>
      </c>
      <c r="W648" s="7" t="inlineStr"/>
      <c r="X648" s="7" t="inlineStr">
        <is>
          <t>MEDIÇÃO CONCLUÍDA</t>
        </is>
      </c>
      <c r="Y648" s="11">
        <f>IF(AND(L648&lt;&gt;"", S648&lt;&gt;""), S648-L648, IF(L648&lt;&gt;"", TODAY()-L648, ""))</f>
        <v/>
      </c>
      <c r="Z648" s="7">
        <f>IF(Y648="", "", IF(Y648&lt;=3, "NO PRAZO", "ATRASADO"))</f>
        <v/>
      </c>
      <c r="AA648" s="8" t="inlineStr"/>
    </row>
    <row r="649" ht="20" customHeight="1">
      <c r="A649" s="7" t="inlineStr">
        <is>
          <t>RSCLER0647</t>
        </is>
      </c>
      <c r="B649" s="8" t="inlineStr">
        <is>
          <t>PORTO ALEGRE</t>
        </is>
      </c>
      <c r="C649" s="7" t="inlineStr">
        <is>
          <t>NNIAA</t>
        </is>
      </c>
      <c r="D649" s="7" t="inlineStr">
        <is>
          <t>NNIAGA</t>
        </is>
      </c>
      <c r="E649" s="7" t="inlineStr">
        <is>
          <t>RSPSU08</t>
        </is>
      </c>
      <c r="F649" s="8" t="inlineStr">
        <is>
          <t>Cond. dos Montes</t>
        </is>
      </c>
      <c r="G649" s="8" t="inlineStr">
        <is>
          <t>Rua Alcebiades Antonio dos Santos, 356</t>
        </is>
      </c>
      <c r="H649" s="7" t="inlineStr">
        <is>
          <t>NNIAA.101</t>
        </is>
      </c>
      <c r="I649" s="8" t="inlineStr">
        <is>
          <t>FOI LANÇADO 1895 METROS DE CABO DE 24FO, E 1159 METROS DE CABO DE 12FO, 1 ABERTURA E FECHAMENTO, 1 CX NOVA, 14 NAP NOVA, 4 DERIVAÇÃO, 32 FUSÕES, 42 TESTES</t>
        </is>
      </c>
      <c r="J649" s="8" t="inlineStr">
        <is>
          <t>VICTOR</t>
        </is>
      </c>
      <c r="K649" s="8" t="inlineStr">
        <is>
          <t>GILSON</t>
        </is>
      </c>
      <c r="L649" s="9" t="n">
        <v>45832</v>
      </c>
      <c r="M649" s="7" t="inlineStr"/>
      <c r="N649" s="7" t="inlineStr"/>
      <c r="O649" s="9" t="n">
        <v>45840</v>
      </c>
      <c r="P649" s="7" t="inlineStr">
        <is>
          <t>NÃO PRECISA</t>
        </is>
      </c>
      <c r="Q649" s="9" t="n">
        <v>45848</v>
      </c>
      <c r="R649" s="7" t="inlineStr">
        <is>
          <t>Concluído Campo</t>
        </is>
      </c>
      <c r="S649" s="7" t="inlineStr"/>
      <c r="T649" s="10" t="inlineStr"/>
      <c r="U649" s="7" t="inlineStr"/>
      <c r="V649" s="7" t="inlineStr"/>
      <c r="W649" s="7" t="inlineStr"/>
      <c r="X649" s="7" t="inlineStr">
        <is>
          <t>AG. MEDIÇÃO</t>
        </is>
      </c>
      <c r="Y649" s="11">
        <f>IF(AND(L649&lt;&gt;"", S649&lt;&gt;""), S649-L649, IF(L649&lt;&gt;"", TODAY()-L649, ""))</f>
        <v/>
      </c>
      <c r="Z649" s="7">
        <f>IF(Y649="", "", IF(Y649&lt;=3, "NO PRAZO", "ATRASADO"))</f>
        <v/>
      </c>
      <c r="AA649" s="8" t="inlineStr"/>
    </row>
    <row r="650" ht="20" customHeight="1">
      <c r="A650" s="7" t="inlineStr">
        <is>
          <t>RSCLER0648</t>
        </is>
      </c>
      <c r="B650" s="8" t="inlineStr">
        <is>
          <t>GUAÍBA</t>
        </is>
      </c>
      <c r="C650" s="7" t="inlineStr">
        <is>
          <t>CNT</t>
        </is>
      </c>
      <c r="D650" s="7" t="inlineStr"/>
      <c r="E650" s="7" t="inlineStr"/>
      <c r="F650" s="8" t="inlineStr"/>
      <c r="G650" s="8" t="inlineStr">
        <is>
          <t>RUA DONA FRUTUOSA,969</t>
        </is>
      </c>
      <c r="H650" s="7" t="inlineStr">
        <is>
          <t>CNT013.M010</t>
        </is>
      </c>
      <c r="I650" s="8" t="inlineStr">
        <is>
          <t>FOI LANÇADO 309 METROS DE CABO DE 12FO.1 ABERTURA E FECHAMENTO, 5 FUSÕES, 1 DERIVAÇÃO, 1 CX NOVA</t>
        </is>
      </c>
      <c r="J650" s="8" t="inlineStr">
        <is>
          <t>UBIRATAN</t>
        </is>
      </c>
      <c r="K650" s="8" t="inlineStr">
        <is>
          <t>CATIA</t>
        </is>
      </c>
      <c r="L650" s="9" t="n">
        <v>45832</v>
      </c>
      <c r="M650" s="7" t="inlineStr"/>
      <c r="N650" s="7" t="inlineStr"/>
      <c r="O650" s="9" t="n">
        <v>45834</v>
      </c>
      <c r="P650" s="9" t="n">
        <v>45904</v>
      </c>
      <c r="Q650" s="9" t="n">
        <v>45904</v>
      </c>
      <c r="R650" s="7" t="inlineStr">
        <is>
          <t>Concluído Campo</t>
        </is>
      </c>
      <c r="S650" s="9" t="n">
        <v>45845</v>
      </c>
      <c r="T650" s="10" t="inlineStr"/>
      <c r="U650" s="7" t="inlineStr">
        <is>
          <t>4841388</t>
        </is>
      </c>
      <c r="V650" s="7" t="inlineStr">
        <is>
          <t>FINALIZADO</t>
        </is>
      </c>
      <c r="W650" s="7" t="inlineStr"/>
      <c r="X650" s="7" t="inlineStr">
        <is>
          <t>MEDIÇÃO CONCLUÍDA</t>
        </is>
      </c>
      <c r="Y650" s="11">
        <f>IF(AND(L650&lt;&gt;"", S650&lt;&gt;""), S650-L650, IF(L650&lt;&gt;"", TODAY()-L650, ""))</f>
        <v/>
      </c>
      <c r="Z650" s="7">
        <f>IF(Y650="", "", IF(Y650&lt;=3, "NO PRAZO", "ATRASADO"))</f>
        <v/>
      </c>
      <c r="AA650" s="8" t="inlineStr"/>
    </row>
    <row r="651" ht="20" customHeight="1">
      <c r="A651" s="7" t="inlineStr">
        <is>
          <t>RSCLER0649</t>
        </is>
      </c>
      <c r="B651" s="8" t="inlineStr">
        <is>
          <t>PORTO ALEGRE</t>
        </is>
      </c>
      <c r="C651" s="7" t="inlineStr">
        <is>
          <t>CNTAB</t>
        </is>
      </c>
      <c r="D651" s="7" t="inlineStr">
        <is>
          <t>CNTAE</t>
        </is>
      </c>
      <c r="E651" s="7" t="inlineStr">
        <is>
          <t>RSPCE14</t>
        </is>
      </c>
      <c r="F651" s="8" t="inlineStr">
        <is>
          <t>LAFAYETE</t>
        </is>
      </c>
      <c r="G651" s="8" t="inlineStr">
        <is>
          <t>RUA DUQUE DE CAXIAS, 925</t>
        </is>
      </c>
      <c r="H651" s="7" t="inlineStr">
        <is>
          <t>CNTAB.171.M040</t>
        </is>
      </c>
      <c r="I651" s="8" t="inlineStr">
        <is>
          <t>FOI LANÇADO 102 METROS DE CABO DE 24FO, E 383 METROS DE CABO DE 12FO, 7 ABERTURA E FECHAMENTO, 13 FUSÕES, 4 DERIVAÇÕES, 2 TESTES</t>
        </is>
      </c>
      <c r="J651" s="8" t="inlineStr">
        <is>
          <t>UBIRAJARA</t>
        </is>
      </c>
      <c r="K651" s="8" t="inlineStr">
        <is>
          <t>CATIA</t>
        </is>
      </c>
      <c r="L651" s="9" t="n">
        <v>45835</v>
      </c>
      <c r="M651" s="7" t="inlineStr"/>
      <c r="N651" s="7" t="inlineStr"/>
      <c r="O651" s="7" t="inlineStr"/>
      <c r="P651" s="7" t="inlineStr">
        <is>
          <t>NÃO PRECISA</t>
        </is>
      </c>
      <c r="Q651" s="9" t="n">
        <v>45877</v>
      </c>
      <c r="R651" s="7" t="inlineStr">
        <is>
          <t>Concluído Campo</t>
        </is>
      </c>
      <c r="S651" s="9" t="n">
        <v>45842</v>
      </c>
      <c r="T651" s="10" t="inlineStr"/>
      <c r="U651" s="7" t="inlineStr"/>
      <c r="V651" s="7" t="inlineStr"/>
      <c r="W651" s="7" t="inlineStr"/>
      <c r="X651" s="7" t="inlineStr">
        <is>
          <t>MEDIÇÃO CONCLUÍDA</t>
        </is>
      </c>
      <c r="Y651" s="11">
        <f>IF(AND(L651&lt;&gt;"", S651&lt;&gt;""), S651-L651, IF(L651&lt;&gt;"", TODAY()-L651, ""))</f>
        <v/>
      </c>
      <c r="Z651" s="7">
        <f>IF(Y651="", "", IF(Y651&lt;=3, "NO PRAZO", "ATRASADO"))</f>
        <v/>
      </c>
      <c r="AA651" s="8" t="inlineStr"/>
    </row>
    <row r="652" ht="20" customHeight="1">
      <c r="A652" s="7" t="inlineStr">
        <is>
          <t>RSCLER0650</t>
        </is>
      </c>
      <c r="B652" s="8" t="inlineStr">
        <is>
          <t>PORTO ALEGRE</t>
        </is>
      </c>
      <c r="C652" s="7" t="inlineStr">
        <is>
          <t>CTLAA</t>
        </is>
      </c>
      <c r="D652" s="7" t="inlineStr"/>
      <c r="E652" s="7" t="inlineStr">
        <is>
          <t>RSPSU07</t>
        </is>
      </c>
      <c r="F652" s="8" t="inlineStr">
        <is>
          <t>Cond. Santa Flora</t>
        </is>
      </c>
      <c r="G652" s="8" t="inlineStr">
        <is>
          <t>Rua Dr. Campos Velho, 1245</t>
        </is>
      </c>
      <c r="H652" s="7" t="inlineStr">
        <is>
          <t>CTLAA.073</t>
        </is>
      </c>
      <c r="I652" s="8" t="inlineStr">
        <is>
          <t>FOI LANÇADO 1615 METROS DE CABO DE 12FO, 2 ABERTURA E FECHAMENTO, 2 CX NOVAS, 8 NAP NOVAS, 2 DERIVAÇÕES, 27 FUSÕES, 1 TESTE OTDR, 24 TESTES</t>
        </is>
      </c>
      <c r="J652" s="8" t="inlineStr">
        <is>
          <t>UBIRATAN</t>
        </is>
      </c>
      <c r="K652" s="8" t="inlineStr">
        <is>
          <t>GILSON</t>
        </is>
      </c>
      <c r="L652" s="9" t="n">
        <v>45835</v>
      </c>
      <c r="M652" s="7" t="inlineStr"/>
      <c r="N652" s="7" t="inlineStr"/>
      <c r="O652" s="9" t="n">
        <v>45846</v>
      </c>
      <c r="P652" s="7" t="inlineStr">
        <is>
          <t>NÃO PRECISA</t>
        </is>
      </c>
      <c r="Q652" s="9" t="n">
        <v>45848</v>
      </c>
      <c r="R652" s="7" t="inlineStr">
        <is>
          <t>Concluído Campo</t>
        </is>
      </c>
      <c r="S652" s="7" t="inlineStr"/>
      <c r="T652" s="10" t="inlineStr"/>
      <c r="U652" s="7" t="inlineStr"/>
      <c r="V652" s="7" t="inlineStr"/>
      <c r="W652" s="7" t="inlineStr"/>
      <c r="X652" s="7" t="inlineStr">
        <is>
          <t>AG. MEDIÇÃO</t>
        </is>
      </c>
      <c r="Y652" s="11">
        <f>IF(AND(L652&lt;&gt;"", S652&lt;&gt;""), S652-L652, IF(L652&lt;&gt;"", TODAY()-L652, ""))</f>
        <v/>
      </c>
      <c r="Z652" s="7">
        <f>IF(Y652="", "", IF(Y652&lt;=3, "NO PRAZO", "ATRASADO"))</f>
        <v/>
      </c>
      <c r="AA652" s="8" t="inlineStr"/>
    </row>
    <row r="653" ht="20" customHeight="1">
      <c r="A653" s="7" t="inlineStr">
        <is>
          <t>RSCLER0651</t>
        </is>
      </c>
      <c r="B653" s="8" t="inlineStr">
        <is>
          <t>PORTO ALEGRE</t>
        </is>
      </c>
      <c r="C653" s="7" t="inlineStr">
        <is>
          <t>SPEAA</t>
        </is>
      </c>
      <c r="D653" s="7" t="inlineStr">
        <is>
          <t>SPEAAA</t>
        </is>
      </c>
      <c r="E653" s="7" t="inlineStr">
        <is>
          <t>PAE DAM</t>
        </is>
      </c>
      <c r="F653" s="8" t="inlineStr"/>
      <c r="G653" s="8" t="inlineStr">
        <is>
          <t>RUA EDMUNDO BASTIAN 452</t>
        </is>
      </c>
      <c r="H653" s="7" t="inlineStr">
        <is>
          <t>SPEAA.012.M030</t>
        </is>
      </c>
      <c r="I653" s="8" t="inlineStr">
        <is>
          <t>COBRAR DENTRO DO NODE SPEAAA</t>
        </is>
      </c>
      <c r="J653" s="8" t="inlineStr">
        <is>
          <t>UBIRATAN</t>
        </is>
      </c>
      <c r="K653" s="8" t="inlineStr">
        <is>
          <t>CATIA</t>
        </is>
      </c>
      <c r="L653" s="7" t="inlineStr"/>
      <c r="M653" s="7" t="inlineStr"/>
      <c r="N653" s="7" t="inlineStr"/>
      <c r="O653" s="7" t="inlineStr"/>
      <c r="P653" s="7" t="inlineStr">
        <is>
          <t>NÃO PRECISA</t>
        </is>
      </c>
      <c r="Q653" s="7" t="inlineStr">
        <is>
          <t>SPEAAA</t>
        </is>
      </c>
      <c r="R653" s="7" t="inlineStr">
        <is>
          <t>Concluído Campo</t>
        </is>
      </c>
      <c r="S653" s="7" t="inlineStr"/>
      <c r="T653" s="10" t="inlineStr"/>
      <c r="U653" s="7" t="inlineStr"/>
      <c r="V653" s="7" t="inlineStr"/>
      <c r="W653" s="7" t="inlineStr"/>
      <c r="X653" s="7" t="inlineStr">
        <is>
          <t>AG. MEDIÇÃO</t>
        </is>
      </c>
      <c r="Y653" s="11">
        <f>IF(AND(L653&lt;&gt;"", S653&lt;&gt;""), S653-L653, IF(L653&lt;&gt;"", TODAY()-L653, ""))</f>
        <v/>
      </c>
      <c r="Z653" s="7">
        <f>IF(Y653="", "", IF(Y653&lt;=3, "NO PRAZO", "ATRASADO"))</f>
        <v/>
      </c>
      <c r="AA653" s="8" t="inlineStr"/>
    </row>
    <row r="654" ht="20" customHeight="1">
      <c r="A654" s="7" t="inlineStr">
        <is>
          <t>RSCLER0652</t>
        </is>
      </c>
      <c r="B654" s="8" t="inlineStr">
        <is>
          <t>PORTO ALEGRE</t>
        </is>
      </c>
      <c r="C654" s="7" t="inlineStr">
        <is>
          <t>MNDAA</t>
        </is>
      </c>
      <c r="D654" s="7" t="inlineStr">
        <is>
          <t>MNDAN</t>
        </is>
      </c>
      <c r="E654" s="7" t="inlineStr">
        <is>
          <t>PAE CL</t>
        </is>
      </c>
      <c r="F654" s="8" t="inlineStr"/>
      <c r="G654" s="8" t="inlineStr">
        <is>
          <t>R SILVEIRO 437 / R MIGUEL COUTO 350</t>
        </is>
      </c>
      <c r="H654" s="7" t="inlineStr">
        <is>
          <t>MNDAC.091.M040</t>
        </is>
      </c>
      <c r="I654" s="8" t="inlineStr">
        <is>
          <t>6 ABERTURA E FECHAMENTO, 9 FUSÕES, 3 TESTES</t>
        </is>
      </c>
      <c r="J654" s="8" t="inlineStr"/>
      <c r="K654" s="8" t="inlineStr">
        <is>
          <t>AUGUSTO</t>
        </is>
      </c>
      <c r="L654" s="9" t="n">
        <v>45838</v>
      </c>
      <c r="M654" s="9" t="n">
        <v>45845</v>
      </c>
      <c r="N654" s="9" t="n">
        <v>45847</v>
      </c>
      <c r="O654" s="9" t="n">
        <v>45849</v>
      </c>
      <c r="P654" s="9" t="n">
        <v>45876</v>
      </c>
      <c r="Q654" s="9" t="n">
        <v>45852</v>
      </c>
      <c r="R654" s="7" t="inlineStr">
        <is>
          <t>Concluído Campo</t>
        </is>
      </c>
      <c r="S654" s="9" t="n">
        <v>45849</v>
      </c>
      <c r="T654" s="10" t="inlineStr"/>
      <c r="U654" s="7" t="inlineStr">
        <is>
          <t>4886003</t>
        </is>
      </c>
      <c r="V654" s="7" t="inlineStr">
        <is>
          <t>FINALIZADO</t>
        </is>
      </c>
      <c r="W654" s="7" t="inlineStr"/>
      <c r="X654" s="7" t="inlineStr">
        <is>
          <t>MEDIÇÃO CONCLUÍDA</t>
        </is>
      </c>
      <c r="Y654" s="11">
        <f>IF(AND(L654&lt;&gt;"", S654&lt;&gt;""), S654-L654, IF(L654&lt;&gt;"", TODAY()-L654, ""))</f>
        <v/>
      </c>
      <c r="Z654" s="7">
        <f>IF(Y654="", "", IF(Y654&lt;=3, "NO PRAZO", "ATRASADO"))</f>
        <v/>
      </c>
      <c r="AA654" s="8" t="inlineStr"/>
    </row>
    <row r="655" ht="20" customHeight="1">
      <c r="A655" s="7" t="inlineStr">
        <is>
          <t>RSCLER0653</t>
        </is>
      </c>
      <c r="B655" s="8" t="inlineStr">
        <is>
          <t>PORTO ALEGRE</t>
        </is>
      </c>
      <c r="C655" s="7" t="inlineStr">
        <is>
          <t>CNTAB</t>
        </is>
      </c>
      <c r="D655" s="7" t="inlineStr">
        <is>
          <t>CNTAE</t>
        </is>
      </c>
      <c r="E655" s="7" t="inlineStr">
        <is>
          <t>RSPCE14</t>
        </is>
      </c>
      <c r="F655" s="8" t="inlineStr"/>
      <c r="G655" s="8" t="inlineStr">
        <is>
          <t>Demétrio Ribeiro 1067</t>
        </is>
      </c>
      <c r="H655" s="7" t="inlineStr">
        <is>
          <t>CNTAB.173.M010</t>
        </is>
      </c>
      <c r="I655" s="8" t="inlineStr">
        <is>
          <t>5 ABERTURA E FECHAMENTO, 7 FUSÕES, 2 TESTES</t>
        </is>
      </c>
      <c r="J655" s="8" t="inlineStr"/>
      <c r="K655" s="8" t="inlineStr">
        <is>
          <t>CATIA</t>
        </is>
      </c>
      <c r="L655" s="9" t="n">
        <v>45838</v>
      </c>
      <c r="M655" s="7" t="inlineStr"/>
      <c r="N655" s="7" t="inlineStr"/>
      <c r="O655" s="9" t="n">
        <v>45840</v>
      </c>
      <c r="P655" s="7" t="inlineStr">
        <is>
          <t>NÃO PRECISA</t>
        </is>
      </c>
      <c r="Q655" s="9" t="n">
        <v>45848</v>
      </c>
      <c r="R655" s="7" t="inlineStr">
        <is>
          <t>Concluído Campo</t>
        </is>
      </c>
      <c r="S655" s="9" t="n">
        <v>45850</v>
      </c>
      <c r="T655" s="10" t="inlineStr"/>
      <c r="U655" s="7" t="inlineStr"/>
      <c r="V655" s="7" t="inlineStr"/>
      <c r="W655" s="7" t="inlineStr"/>
      <c r="X655" s="7" t="inlineStr">
        <is>
          <t>MEDIÇÃO CONCLUÍDA</t>
        </is>
      </c>
      <c r="Y655" s="11">
        <f>IF(AND(L655&lt;&gt;"", S655&lt;&gt;""), S655-L655, IF(L655&lt;&gt;"", TODAY()-L655, ""))</f>
        <v/>
      </c>
      <c r="Z655" s="7">
        <f>IF(Y655="", "", IF(Y655&lt;=3, "NO PRAZO", "ATRASADO"))</f>
        <v/>
      </c>
      <c r="AA655" s="8" t="inlineStr"/>
    </row>
    <row r="656" ht="20" customHeight="1">
      <c r="A656" s="7" t="inlineStr">
        <is>
          <t>RSCLER0654</t>
        </is>
      </c>
      <c r="B656" s="8" t="inlineStr">
        <is>
          <t>PORTO ALEGRE</t>
        </is>
      </c>
      <c r="C656" s="7" t="inlineStr">
        <is>
          <t>SPEAA</t>
        </is>
      </c>
      <c r="D656" s="7" t="inlineStr"/>
      <c r="E656" s="7" t="inlineStr">
        <is>
          <t>PAE DAM</t>
        </is>
      </c>
      <c r="F656" s="8" t="inlineStr"/>
      <c r="G656" s="8" t="inlineStr">
        <is>
          <t>Comendador Albino Cunha, 128</t>
        </is>
      </c>
      <c r="H656" s="7" t="inlineStr">
        <is>
          <t>SPEAA.009.M020</t>
        </is>
      </c>
      <c r="I656" s="8" t="inlineStr">
        <is>
          <t>DENTRO DO NODE SPEAAA</t>
        </is>
      </c>
      <c r="J656" s="8" t="inlineStr"/>
      <c r="K656" s="8" t="inlineStr">
        <is>
          <t>CATIA</t>
        </is>
      </c>
      <c r="L656" s="9" t="n">
        <v>45838</v>
      </c>
      <c r="M656" s="7" t="inlineStr"/>
      <c r="N656" s="7" t="inlineStr"/>
      <c r="O656" s="9" t="n">
        <v>45840</v>
      </c>
      <c r="P656" s="7" t="inlineStr">
        <is>
          <t>NÃO PRECISA</t>
        </is>
      </c>
      <c r="Q656" s="7" t="inlineStr">
        <is>
          <t>SPEAAA</t>
        </is>
      </c>
      <c r="R656" s="7" t="inlineStr">
        <is>
          <t>Concluído Campo</t>
        </is>
      </c>
      <c r="S656" s="9" t="n">
        <v>45852</v>
      </c>
      <c r="T656" s="10" t="inlineStr"/>
      <c r="U656" s="7" t="inlineStr"/>
      <c r="V656" s="7" t="inlineStr"/>
      <c r="W656" s="7" t="inlineStr"/>
      <c r="X656" s="7" t="inlineStr">
        <is>
          <t>MEDIÇÃO CONCLUÍDA</t>
        </is>
      </c>
      <c r="Y656" s="11">
        <f>IF(AND(L656&lt;&gt;"", S656&lt;&gt;""), S656-L656, IF(L656&lt;&gt;"", TODAY()-L656, ""))</f>
        <v/>
      </c>
      <c r="Z656" s="7">
        <f>IF(Y656="", "", IF(Y656&lt;=3, "NO PRAZO", "ATRASADO"))</f>
        <v/>
      </c>
      <c r="AA656" s="8" t="inlineStr"/>
    </row>
    <row r="657" ht="20" customHeight="1">
      <c r="A657" s="7" t="inlineStr">
        <is>
          <t>RSCLER0655</t>
        </is>
      </c>
      <c r="B657" s="8" t="inlineStr">
        <is>
          <t>NOVO HAMBURGO</t>
        </is>
      </c>
      <c r="C657" s="7" t="inlineStr">
        <is>
          <t>PRIAA</t>
        </is>
      </c>
      <c r="D657" s="7" t="inlineStr">
        <is>
          <t>PRIAD</t>
        </is>
      </c>
      <c r="E657" s="7" t="inlineStr">
        <is>
          <t>RSNHO06</t>
        </is>
      </c>
      <c r="F657" s="8" t="inlineStr"/>
      <c r="G657" s="8" t="inlineStr">
        <is>
          <t>R_Arroio do Meio 108</t>
        </is>
      </c>
      <c r="H657" s="7" t="inlineStr">
        <is>
          <t>PRIAA.051.04.08</t>
        </is>
      </c>
      <c r="I657" s="8" t="inlineStr">
        <is>
          <t>FOI LANÇADO 690 METROS DE CABO DE 12FO, 3 ABERTURA E FECHAMENTO, 3 FUSÕES, 1 NAP NOVA, 3 TESTES, 1 TESTE OTDR</t>
        </is>
      </c>
      <c r="J657" s="8" t="inlineStr">
        <is>
          <t>LUIS FELIPE</t>
        </is>
      </c>
      <c r="K657" s="8" t="inlineStr">
        <is>
          <t>DIOGO</t>
        </is>
      </c>
      <c r="L657" s="9" t="n">
        <v>45840</v>
      </c>
      <c r="M657" s="9" t="n">
        <v>45842</v>
      </c>
      <c r="N657" s="9" t="n">
        <v>45845</v>
      </c>
      <c r="O657" s="9" t="n">
        <v>45845</v>
      </c>
      <c r="P657" s="7" t="inlineStr">
        <is>
          <t>NÃO PRECISA</t>
        </is>
      </c>
      <c r="Q657" s="9" t="n">
        <v>45845</v>
      </c>
      <c r="R657" s="7" t="inlineStr">
        <is>
          <t>Concluído Campo</t>
        </is>
      </c>
      <c r="S657" s="7" t="inlineStr"/>
      <c r="T657" s="10" t="inlineStr"/>
      <c r="U657" s="7" t="inlineStr"/>
      <c r="V657" s="7" t="inlineStr"/>
      <c r="W657" s="7" t="inlineStr"/>
      <c r="X657" s="7" t="inlineStr">
        <is>
          <t>AG. MEDIÇÃO</t>
        </is>
      </c>
      <c r="Y657" s="11">
        <f>IF(AND(L657&lt;&gt;"", S657&lt;&gt;""), S657-L657, IF(L657&lt;&gt;"", TODAY()-L657, ""))</f>
        <v/>
      </c>
      <c r="Z657" s="7">
        <f>IF(Y657="", "", IF(Y657&lt;=3, "NO PRAZO", "ATRASADO"))</f>
        <v/>
      </c>
      <c r="AA657" s="8" t="inlineStr"/>
    </row>
    <row r="658" ht="20" customHeight="1">
      <c r="A658" s="7" t="inlineStr">
        <is>
          <t>RSCLER0656</t>
        </is>
      </c>
      <c r="B658" s="8" t="inlineStr">
        <is>
          <t>NOVO HAMBURGO</t>
        </is>
      </c>
      <c r="C658" s="7" t="inlineStr">
        <is>
          <t>CNTAA</t>
        </is>
      </c>
      <c r="D658" s="7" t="inlineStr">
        <is>
          <t>CNTAA</t>
        </is>
      </c>
      <c r="E658" s="7" t="inlineStr">
        <is>
          <t>RSNHOLO</t>
        </is>
      </c>
      <c r="F658" s="8" t="inlineStr">
        <is>
          <t>Cond Ed Jd Juliana</t>
        </is>
      </c>
      <c r="G658" s="8" t="inlineStr">
        <is>
          <t>Av. Dr. Maurício Cardoso, 980</t>
        </is>
      </c>
      <c r="H658" s="7" t="inlineStr">
        <is>
          <t>CNTAA.033.M010</t>
        </is>
      </c>
      <c r="I658" s="8" t="inlineStr">
        <is>
          <t>5 ABERTURA E FECHAMENTO, 4 FUSÕES, 1 TESTE E 1 TESTE OTDR.</t>
        </is>
      </c>
      <c r="J658" s="8" t="inlineStr"/>
      <c r="K658" s="8" t="inlineStr">
        <is>
          <t>DIOGO</t>
        </is>
      </c>
      <c r="L658" s="9" t="n">
        <v>45840</v>
      </c>
      <c r="M658" s="9" t="n">
        <v>45842</v>
      </c>
      <c r="N658" s="9" t="n">
        <v>45842</v>
      </c>
      <c r="O658" s="9" t="n">
        <v>45842</v>
      </c>
      <c r="P658" s="7" t="inlineStr">
        <is>
          <t>NÃO PRECISA</t>
        </is>
      </c>
      <c r="Q658" s="9" t="n">
        <v>45848</v>
      </c>
      <c r="R658" s="7" t="inlineStr">
        <is>
          <t>Concluído Campo</t>
        </is>
      </c>
      <c r="S658" s="7" t="inlineStr"/>
      <c r="T658" s="10" t="inlineStr"/>
      <c r="U658" s="7" t="inlineStr"/>
      <c r="V658" s="7" t="inlineStr"/>
      <c r="W658" s="7" t="inlineStr"/>
      <c r="X658" s="7" t="inlineStr">
        <is>
          <t>AG. MEDIÇÃO</t>
        </is>
      </c>
      <c r="Y658" s="11">
        <f>IF(AND(L658&lt;&gt;"", S658&lt;&gt;""), S658-L658, IF(L658&lt;&gt;"", TODAY()-L658, ""))</f>
        <v/>
      </c>
      <c r="Z658" s="7">
        <f>IF(Y658="", "", IF(Y658&lt;=3, "NO PRAZO", "ATRASADO"))</f>
        <v/>
      </c>
      <c r="AA658" s="8" t="inlineStr"/>
    </row>
    <row r="659" ht="20" customHeight="1">
      <c r="A659" s="7" t="inlineStr">
        <is>
          <t>RSCLER0657</t>
        </is>
      </c>
      <c r="B659" s="8" t="inlineStr">
        <is>
          <t>XANGRILÁ</t>
        </is>
      </c>
      <c r="C659" s="7" t="inlineStr">
        <is>
          <t>CAPAB</t>
        </is>
      </c>
      <c r="D659" s="7" t="inlineStr">
        <is>
          <t>XNLAN</t>
        </is>
      </c>
      <c r="E659" s="7" t="inlineStr">
        <is>
          <t>RSXNL01</t>
        </is>
      </c>
      <c r="F659" s="8" t="inlineStr">
        <is>
          <t>COND. LAS DUNAS</t>
        </is>
      </c>
      <c r="G659" s="8" t="inlineStr">
        <is>
          <t>AV PARAGUASSU, 300</t>
        </is>
      </c>
      <c r="H659" s="7" t="inlineStr"/>
      <c r="I659" s="8" t="inlineStr">
        <is>
          <t>FOI LANÇADO 3200 METROS DE CABO CONECTORIZADOS, 400 METROS DE CABO DE 12FO ESPINADOS, 1 ABERTURA E FECHAMENTO, 1 FIST NOVA, 13 NAP NOVA, 7 FUSÕES, LIMPEZA DE 2 CXS, 63 METROS DE CANALIZAÇÃO, 1 COLOCAÇÃO DE LATERAL, DESOBRISTRUÇÃO DE 6 CXS, R$:2000,00 EM DISPESAS DO CONDOMINIO , COBRAR AS BUILTS</t>
        </is>
      </c>
      <c r="J659" s="8" t="inlineStr">
        <is>
          <t>ALAN VASCONCELOS</t>
        </is>
      </c>
      <c r="K659" s="8" t="inlineStr">
        <is>
          <t>FABIO AMARILHO</t>
        </is>
      </c>
      <c r="L659" s="9" t="n">
        <v>45805</v>
      </c>
      <c r="M659" s="7" t="inlineStr"/>
      <c r="N659" s="7" t="inlineStr"/>
      <c r="O659" s="7" t="inlineStr"/>
      <c r="P659" s="7" t="inlineStr">
        <is>
          <t>NÃO PRECISA</t>
        </is>
      </c>
      <c r="Q659" s="9" t="n">
        <v>45852</v>
      </c>
      <c r="R659" s="7" t="inlineStr">
        <is>
          <t>Concluído Campo</t>
        </is>
      </c>
      <c r="S659" s="7" t="inlineStr"/>
      <c r="T659" s="10" t="inlineStr"/>
      <c r="U659" s="7" t="inlineStr"/>
      <c r="V659" s="7" t="inlineStr"/>
      <c r="W659" s="7" t="inlineStr"/>
      <c r="X659" s="7" t="inlineStr">
        <is>
          <t>AG. MEDIÇÃO</t>
        </is>
      </c>
      <c r="Y659" s="11">
        <f>IF(AND(L659&lt;&gt;"", S659&lt;&gt;""), S659-L659, IF(L659&lt;&gt;"", TODAY()-L659, ""))</f>
        <v/>
      </c>
      <c r="Z659" s="7">
        <f>IF(Y659="", "", IF(Y659&lt;=3, "NO PRAZO", "ATRASADO"))</f>
        <v/>
      </c>
      <c r="AA659" s="8" t="inlineStr"/>
    </row>
    <row r="660" ht="20" customHeight="1">
      <c r="A660" s="7" t="inlineStr">
        <is>
          <t>RSCLER0658</t>
        </is>
      </c>
      <c r="B660" s="8" t="inlineStr">
        <is>
          <t>XANGRILÁ</t>
        </is>
      </c>
      <c r="C660" s="7" t="inlineStr">
        <is>
          <t>CAPAB</t>
        </is>
      </c>
      <c r="D660" s="7" t="inlineStr">
        <is>
          <t>XNLAM</t>
        </is>
      </c>
      <c r="E660" s="7" t="inlineStr">
        <is>
          <t>RSXNL01</t>
        </is>
      </c>
      <c r="F660" s="8" t="inlineStr"/>
      <c r="G660" s="8" t="inlineStr">
        <is>
          <t>Cond. Playa Vista</t>
        </is>
      </c>
      <c r="H660" s="7" t="inlineStr"/>
      <c r="I660" s="8" t="inlineStr">
        <is>
          <t>COBRAR NO PROJETO F, COBRAR 15 METROS DE CANALIZAÇÃO, 4 METROS DESOBSTRUÇÃO, 1 LIMPEZA DE CX</t>
        </is>
      </c>
      <c r="J660" s="8" t="inlineStr">
        <is>
          <t>ALAN VASCONCELOS</t>
        </is>
      </c>
      <c r="K660" s="8" t="inlineStr">
        <is>
          <t>MAQUENZE</t>
        </is>
      </c>
      <c r="L660" s="9" t="n">
        <v>45839</v>
      </c>
      <c r="M660" s="9" t="n">
        <v>45845</v>
      </c>
      <c r="N660" s="7" t="inlineStr"/>
      <c r="O660" s="7" t="inlineStr"/>
      <c r="P660" s="9" t="n">
        <v>45908</v>
      </c>
      <c r="Q660" s="7" t="inlineStr">
        <is>
          <t>PROJETO F</t>
        </is>
      </c>
      <c r="R660" s="7" t="inlineStr">
        <is>
          <t>Concluído Campo</t>
        </is>
      </c>
      <c r="S660" s="7" t="inlineStr"/>
      <c r="T660" s="10" t="inlineStr"/>
      <c r="U660" s="7" t="inlineStr"/>
      <c r="V660" s="7" t="inlineStr"/>
      <c r="W660" s="7" t="inlineStr"/>
      <c r="X660" s="7" t="inlineStr">
        <is>
          <t>AG. MEDIÇÃO</t>
        </is>
      </c>
      <c r="Y660" s="11">
        <f>IF(AND(L660&lt;&gt;"", S660&lt;&gt;""), S660-L660, IF(L660&lt;&gt;"", TODAY()-L660, ""))</f>
        <v/>
      </c>
      <c r="Z660" s="7">
        <f>IF(Y660="", "", IF(Y660&lt;=3, "NO PRAZO", "ATRASADO"))</f>
        <v/>
      </c>
      <c r="AA660" s="8" t="inlineStr"/>
    </row>
    <row r="661" ht="20" customHeight="1">
      <c r="A661" s="7" t="inlineStr">
        <is>
          <t>RSCLER0659</t>
        </is>
      </c>
      <c r="B661" s="8" t="inlineStr">
        <is>
          <t>PORTO ALEGRE</t>
        </is>
      </c>
      <c r="C661" s="7" t="inlineStr">
        <is>
          <t>MNDAC</t>
        </is>
      </c>
      <c r="D661" s="7" t="inlineStr"/>
      <c r="E661" s="7" t="inlineStr">
        <is>
          <t>RSPSU02</t>
        </is>
      </c>
      <c r="F661" s="8" t="inlineStr">
        <is>
          <t>Praia de Belas</t>
        </is>
      </c>
      <c r="G661" s="8" t="inlineStr">
        <is>
          <t>Av. Padre Cacique, 122</t>
        </is>
      </c>
      <c r="H661" s="7" t="inlineStr">
        <is>
          <t>MNDAC.071.M020...</t>
        </is>
      </c>
      <c r="I661" s="8" t="inlineStr">
        <is>
          <t>6 ABERTURA E FECHAMENTO, 6 FUSÕES, 1 TESTE</t>
        </is>
      </c>
      <c r="J661" s="8" t="inlineStr"/>
      <c r="K661" s="8" t="inlineStr">
        <is>
          <t>AUGUSTO</t>
        </is>
      </c>
      <c r="L661" s="9" t="n">
        <v>45842</v>
      </c>
      <c r="M661" s="9" t="n">
        <v>45846</v>
      </c>
      <c r="N661" s="9" t="n">
        <v>45847</v>
      </c>
      <c r="O661" s="9" t="n">
        <v>45849</v>
      </c>
      <c r="P661" s="9" t="n">
        <v>45874</v>
      </c>
      <c r="Q661" s="9" t="n">
        <v>45852</v>
      </c>
      <c r="R661" s="7" t="inlineStr">
        <is>
          <t>Concluído Campo</t>
        </is>
      </c>
      <c r="S661" s="9" t="n">
        <v>45848</v>
      </c>
      <c r="T661" s="10" t="inlineStr"/>
      <c r="U661" s="7" t="inlineStr"/>
      <c r="V661" s="7" t="inlineStr"/>
      <c r="W661" s="7" t="inlineStr"/>
      <c r="X661" s="7" t="inlineStr">
        <is>
          <t>MEDIÇÃO CONCLUÍDA</t>
        </is>
      </c>
      <c r="Y661" s="11">
        <f>IF(AND(L661&lt;&gt;"", S661&lt;&gt;""), S661-L661, IF(L661&lt;&gt;"", TODAY()-L661, ""))</f>
        <v/>
      </c>
      <c r="Z661" s="7">
        <f>IF(Y661="", "", IF(Y661&lt;=3, "NO PRAZO", "ATRASADO"))</f>
        <v/>
      </c>
      <c r="AA661" s="8" t="inlineStr"/>
    </row>
    <row r="662" ht="20" customHeight="1">
      <c r="A662" s="7" t="inlineStr">
        <is>
          <t>RSCLER0660</t>
        </is>
      </c>
      <c r="B662" s="8" t="inlineStr">
        <is>
          <t>TORRES</t>
        </is>
      </c>
      <c r="C662" s="7" t="inlineStr">
        <is>
          <t>CLC</t>
        </is>
      </c>
      <c r="D662" s="7" t="inlineStr"/>
      <c r="E662" s="7" t="inlineStr"/>
      <c r="F662" s="8" t="inlineStr"/>
      <c r="G662" s="8" t="inlineStr">
        <is>
          <t>AV INDEPENDENCIA, 500</t>
        </is>
      </c>
      <c r="H662" s="7" t="inlineStr">
        <is>
          <t>CLC011.M2</t>
        </is>
      </c>
      <c r="I662" s="8" t="inlineStr">
        <is>
          <t>2 ABERTURA E FECHAMENTO, 4 FUSÕES, 2 TESTES</t>
        </is>
      </c>
      <c r="J662" s="8" t="inlineStr"/>
      <c r="K662" s="8" t="inlineStr">
        <is>
          <t>MAQUENZE</t>
        </is>
      </c>
      <c r="L662" s="9" t="n">
        <v>45841</v>
      </c>
      <c r="M662" s="7" t="inlineStr"/>
      <c r="N662" s="7" t="inlineStr"/>
      <c r="O662" s="9" t="n">
        <v>45850</v>
      </c>
      <c r="P662" s="7" t="inlineStr">
        <is>
          <t>NÃO PRECISA</t>
        </is>
      </c>
      <c r="Q662" s="9" t="n">
        <v>45852</v>
      </c>
      <c r="R662" s="7" t="inlineStr">
        <is>
          <t>Concluído Campo</t>
        </is>
      </c>
      <c r="S662" s="9" t="n">
        <v>45849</v>
      </c>
      <c r="T662" s="10" t="inlineStr"/>
      <c r="U662" s="7" t="inlineStr">
        <is>
          <t>5065976</t>
        </is>
      </c>
      <c r="V662" s="7" t="inlineStr">
        <is>
          <t>FINALIZADO</t>
        </is>
      </c>
      <c r="W662" s="7" t="inlineStr"/>
      <c r="X662" s="7" t="inlineStr">
        <is>
          <t>MEDIÇÃO CONCLUÍDA</t>
        </is>
      </c>
      <c r="Y662" s="11">
        <f>IF(AND(L662&lt;&gt;"", S662&lt;&gt;""), S662-L662, IF(L662&lt;&gt;"", TODAY()-L662, ""))</f>
        <v/>
      </c>
      <c r="Z662" s="7">
        <f>IF(Y662="", "", IF(Y662&lt;=3, "NO PRAZO", "ATRASADO"))</f>
        <v/>
      </c>
      <c r="AA662" s="8" t="inlineStr"/>
    </row>
    <row r="663" ht="20" customHeight="1">
      <c r="A663" s="7" t="inlineStr">
        <is>
          <t>RSCLER0661</t>
        </is>
      </c>
      <c r="B663" s="8" t="inlineStr">
        <is>
          <t>TRAMANDAI</t>
        </is>
      </c>
      <c r="C663" s="7" t="inlineStr">
        <is>
          <t>TRA</t>
        </is>
      </c>
      <c r="D663" s="7" t="inlineStr"/>
      <c r="E663" s="7" t="inlineStr">
        <is>
          <t>RSTRI01</t>
        </is>
      </c>
      <c r="F663" s="8" t="inlineStr"/>
      <c r="G663" s="8" t="inlineStr">
        <is>
          <t>AV FERNANDO AMARAL, 1131</t>
        </is>
      </c>
      <c r="H663" s="7" t="inlineStr">
        <is>
          <t>TRA026.M040</t>
        </is>
      </c>
      <c r="I663" s="8" t="inlineStr">
        <is>
          <t>FOI LANÇADO 260 METROS DE CABO DE 12FO, 6 ABERTURA E FECHAMENTO, 6 FUSÕES, 1 DERIVAÇÃO, 1 CX NOVA. 1 TESTE, 2 TESTES OTDR</t>
        </is>
      </c>
      <c r="J663" s="8" t="inlineStr">
        <is>
          <t>ALAN VASCONCELOS</t>
        </is>
      </c>
      <c r="K663" s="8" t="inlineStr">
        <is>
          <t>FABIO AMARILHO</t>
        </is>
      </c>
      <c r="L663" s="9" t="n">
        <v>45841</v>
      </c>
      <c r="M663" s="7" t="inlineStr"/>
      <c r="N663" s="7" t="inlineStr"/>
      <c r="O663" s="9" t="n">
        <v>45852</v>
      </c>
      <c r="P663" s="7" t="inlineStr">
        <is>
          <t>NÃO PRECISA</t>
        </is>
      </c>
      <c r="Q663" s="9" t="n">
        <v>45852</v>
      </c>
      <c r="R663" s="7" t="inlineStr">
        <is>
          <t>Concluído Campo</t>
        </is>
      </c>
      <c r="S663" s="7" t="inlineStr"/>
      <c r="T663" s="10" t="inlineStr"/>
      <c r="U663" s="7" t="inlineStr"/>
      <c r="V663" s="7" t="inlineStr"/>
      <c r="W663" s="7" t="inlineStr"/>
      <c r="X663" s="7" t="inlineStr">
        <is>
          <t>AG. MEDIÇÃO</t>
        </is>
      </c>
      <c r="Y663" s="11">
        <f>IF(AND(L663&lt;&gt;"", S663&lt;&gt;""), S663-L663, IF(L663&lt;&gt;"", TODAY()-L663, ""))</f>
        <v/>
      </c>
      <c r="Z663" s="7">
        <f>IF(Y663="", "", IF(Y663&lt;=3, "NO PRAZO", "ATRASADO"))</f>
        <v/>
      </c>
      <c r="AA663" s="8" t="inlineStr"/>
    </row>
    <row r="664" ht="20" customHeight="1">
      <c r="A664" s="7" t="inlineStr">
        <is>
          <t>RSCLER0662</t>
        </is>
      </c>
      <c r="B664" s="8" t="inlineStr">
        <is>
          <t>PORTO ALEGRE</t>
        </is>
      </c>
      <c r="C664" s="7" t="inlineStr">
        <is>
          <t>SPEAA</t>
        </is>
      </c>
      <c r="D664" s="7" t="inlineStr">
        <is>
          <t>SJOAA</t>
        </is>
      </c>
      <c r="E664" s="7" t="inlineStr">
        <is>
          <t>PAE DAM</t>
        </is>
      </c>
      <c r="F664" s="8" t="inlineStr"/>
      <c r="G664" s="8" t="inlineStr">
        <is>
          <t>RUA CRISTOVÃO PEREIRA, 45</t>
        </is>
      </c>
      <c r="H664" s="7" t="inlineStr">
        <is>
          <t>SPEAA.020.M040</t>
        </is>
      </c>
      <c r="I664" s="8" t="inlineStr">
        <is>
          <t>COBRAR DENTRO DO NODE SJOAA</t>
        </is>
      </c>
      <c r="J664" s="8" t="inlineStr"/>
      <c r="K664" s="8" t="inlineStr">
        <is>
          <t>CATIA</t>
        </is>
      </c>
      <c r="L664" s="9" t="n">
        <v>45846</v>
      </c>
      <c r="M664" s="7" t="inlineStr"/>
      <c r="N664" s="7" t="inlineStr"/>
      <c r="O664" s="9" t="n">
        <v>45861</v>
      </c>
      <c r="P664" s="7" t="inlineStr">
        <is>
          <t>NÃO PRECISA</t>
        </is>
      </c>
      <c r="Q664" s="7" t="inlineStr">
        <is>
          <t>SJOAA</t>
        </is>
      </c>
      <c r="R664" s="7" t="inlineStr">
        <is>
          <t>Concluído Campo</t>
        </is>
      </c>
      <c r="S664" s="9" t="n">
        <v>45859</v>
      </c>
      <c r="T664" s="10" t="inlineStr"/>
      <c r="U664" s="7" t="inlineStr">
        <is>
          <t>4882225</t>
        </is>
      </c>
      <c r="V664" s="7" t="inlineStr">
        <is>
          <t>FINALIZADO</t>
        </is>
      </c>
      <c r="W664" s="7" t="inlineStr"/>
      <c r="X664" s="7" t="inlineStr">
        <is>
          <t>MEDIÇÃO CONCLUÍDA</t>
        </is>
      </c>
      <c r="Y664" s="11">
        <f>IF(AND(L664&lt;&gt;"", S664&lt;&gt;""), S664-L664, IF(L664&lt;&gt;"", TODAY()-L664, ""))</f>
        <v/>
      </c>
      <c r="Z664" s="7">
        <f>IF(Y664="", "", IF(Y664&lt;=3, "NO PRAZO", "ATRASADO"))</f>
        <v/>
      </c>
      <c r="AA664" s="8" t="inlineStr"/>
    </row>
    <row r="665" ht="20" customHeight="1">
      <c r="A665" s="7" t="inlineStr">
        <is>
          <t>RSCLER0663</t>
        </is>
      </c>
      <c r="B665" s="8" t="inlineStr">
        <is>
          <t>PORTO ALEGRE</t>
        </is>
      </c>
      <c r="C665" s="7" t="inlineStr">
        <is>
          <t>SPEAA</t>
        </is>
      </c>
      <c r="D665" s="7" t="inlineStr">
        <is>
          <t>SPEAAA</t>
        </is>
      </c>
      <c r="E665" s="7" t="inlineStr">
        <is>
          <t>PAE DAM</t>
        </is>
      </c>
      <c r="F665" s="8" t="inlineStr"/>
      <c r="G665" s="8" t="inlineStr">
        <is>
          <t>RUA DOMINGO MARTINS, 846</t>
        </is>
      </c>
      <c r="H665" s="7" t="inlineStr">
        <is>
          <t>SPEAA.011.M060</t>
        </is>
      </c>
      <c r="I665" s="8" t="inlineStr">
        <is>
          <t>COBRAR NO NODE SPEAAA</t>
        </is>
      </c>
      <c r="J665" s="8" t="inlineStr"/>
      <c r="K665" s="8" t="inlineStr">
        <is>
          <t>CATIA</t>
        </is>
      </c>
      <c r="L665" s="9" t="n">
        <v>45846</v>
      </c>
      <c r="M665" s="7" t="inlineStr"/>
      <c r="N665" s="7" t="inlineStr"/>
      <c r="O665" s="9" t="n">
        <v>45855</v>
      </c>
      <c r="P665" s="7" t="inlineStr">
        <is>
          <t>NÃO PRECISA</t>
        </is>
      </c>
      <c r="Q665" s="7" t="inlineStr">
        <is>
          <t>SPEAAA</t>
        </is>
      </c>
      <c r="R665" s="7" t="inlineStr">
        <is>
          <t>Concluído Campo</t>
        </is>
      </c>
      <c r="S665" s="7" t="inlineStr"/>
      <c r="T665" s="10" t="inlineStr"/>
      <c r="U665" s="7" t="inlineStr"/>
      <c r="V665" s="7" t="inlineStr"/>
      <c r="W665" s="7" t="inlineStr"/>
      <c r="X665" s="7" t="inlineStr">
        <is>
          <t>AG. MEDIÇÃO</t>
        </is>
      </c>
      <c r="Y665" s="11">
        <f>IF(AND(L665&lt;&gt;"", S665&lt;&gt;""), S665-L665, IF(L665&lt;&gt;"", TODAY()-L665, ""))</f>
        <v/>
      </c>
      <c r="Z665" s="7">
        <f>IF(Y665="", "", IF(Y665&lt;=3, "NO PRAZO", "ATRASADO"))</f>
        <v/>
      </c>
      <c r="AA665" s="8" t="inlineStr"/>
    </row>
    <row r="666" ht="20" customHeight="1">
      <c r="A666" s="7" t="inlineStr">
        <is>
          <t>RSCLER0664</t>
        </is>
      </c>
      <c r="B666" s="8" t="inlineStr">
        <is>
          <t>PORTO ALEGRE</t>
        </is>
      </c>
      <c r="C666" s="7" t="inlineStr">
        <is>
          <t>SPEAA</t>
        </is>
      </c>
      <c r="D666" s="7" t="inlineStr"/>
      <c r="E666" s="7" t="inlineStr">
        <is>
          <t>PAE DAM</t>
        </is>
      </c>
      <c r="F666" s="8" t="inlineStr"/>
      <c r="G666" s="8" t="inlineStr">
        <is>
          <t>RUA JAÚ, 106</t>
        </is>
      </c>
      <c r="H666" s="7" t="inlineStr">
        <is>
          <t>SPEAA.009.M030</t>
        </is>
      </c>
      <c r="I666" s="8" t="inlineStr">
        <is>
          <t>DENTRO DO NODE SPEAAA</t>
        </is>
      </c>
      <c r="J666" s="8" t="inlineStr"/>
      <c r="K666" s="8" t="inlineStr">
        <is>
          <t>CATIA</t>
        </is>
      </c>
      <c r="L666" s="9" t="n">
        <v>45846</v>
      </c>
      <c r="M666" s="7" t="inlineStr"/>
      <c r="N666" s="7" t="inlineStr"/>
      <c r="O666" s="9" t="n">
        <v>45849</v>
      </c>
      <c r="P666" s="7" t="inlineStr">
        <is>
          <t>NÃO PRECISA</t>
        </is>
      </c>
      <c r="Q666" s="7" t="inlineStr">
        <is>
          <t>SPEAA</t>
        </is>
      </c>
      <c r="R666" s="7" t="inlineStr">
        <is>
          <t>Concluído Campo</t>
        </is>
      </c>
      <c r="S666" s="7" t="inlineStr"/>
      <c r="T666" s="10" t="inlineStr"/>
      <c r="U666" s="7" t="inlineStr"/>
      <c r="V666" s="7" t="inlineStr"/>
      <c r="W666" s="7" t="inlineStr"/>
      <c r="X666" s="7" t="inlineStr">
        <is>
          <t>AG. MEDIÇÃO</t>
        </is>
      </c>
      <c r="Y666" s="11">
        <f>IF(AND(L666&lt;&gt;"", S666&lt;&gt;""), S666-L666, IF(L666&lt;&gt;"", TODAY()-L666, ""))</f>
        <v/>
      </c>
      <c r="Z666" s="7">
        <f>IF(Y666="", "", IF(Y666&lt;=3, "NO PRAZO", "ATRASADO"))</f>
        <v/>
      </c>
      <c r="AA666" s="8" t="inlineStr"/>
    </row>
    <row r="667" ht="20" customHeight="1">
      <c r="A667" s="7" t="inlineStr">
        <is>
          <t>RSCLER0665</t>
        </is>
      </c>
      <c r="B667" s="8" t="inlineStr">
        <is>
          <t>PORTO ALEGRE</t>
        </is>
      </c>
      <c r="C667" s="7" t="inlineStr">
        <is>
          <t>SPEAA</t>
        </is>
      </c>
      <c r="D667" s="7" t="inlineStr"/>
      <c r="E667" s="7" t="inlineStr">
        <is>
          <t>PAE DAM</t>
        </is>
      </c>
      <c r="F667" s="8" t="inlineStr"/>
      <c r="G667" s="8" t="inlineStr">
        <is>
          <t>RUA OURO PRETO, 45</t>
        </is>
      </c>
      <c r="H667" s="7" t="inlineStr">
        <is>
          <t>SPEAA.059.01.01</t>
        </is>
      </c>
      <c r="I667" s="8" t="inlineStr">
        <is>
          <t>DENTRO DO NODE SPEAC FASE 2</t>
        </is>
      </c>
      <c r="J667" s="8" t="inlineStr"/>
      <c r="K667" s="8" t="inlineStr">
        <is>
          <t>CATIA</t>
        </is>
      </c>
      <c r="L667" s="9" t="n">
        <v>45846</v>
      </c>
      <c r="M667" s="7" t="inlineStr"/>
      <c r="N667" s="7" t="inlineStr"/>
      <c r="O667" s="9" t="n">
        <v>45848</v>
      </c>
      <c r="P667" s="7" t="inlineStr">
        <is>
          <t>NÃO PRECISA</t>
        </is>
      </c>
      <c r="Q667" s="7" t="inlineStr">
        <is>
          <t>SPEAC</t>
        </is>
      </c>
      <c r="R667" s="7" t="inlineStr">
        <is>
          <t>Concluído Campo</t>
        </is>
      </c>
      <c r="S667" s="7" t="inlineStr"/>
      <c r="T667" s="10" t="inlineStr"/>
      <c r="U667" s="7" t="inlineStr"/>
      <c r="V667" s="7" t="inlineStr"/>
      <c r="W667" s="7" t="inlineStr"/>
      <c r="X667" s="7" t="inlineStr">
        <is>
          <t>AG. MEDIÇÃO</t>
        </is>
      </c>
      <c r="Y667" s="11">
        <f>IF(AND(L667&lt;&gt;"", S667&lt;&gt;""), S667-L667, IF(L667&lt;&gt;"", TODAY()-L667, ""))</f>
        <v/>
      </c>
      <c r="Z667" s="7">
        <f>IF(Y667="", "", IF(Y667&lt;=3, "NO PRAZO", "ATRASADO"))</f>
        <v/>
      </c>
      <c r="AA667" s="8" t="inlineStr"/>
    </row>
    <row r="668" ht="20" customHeight="1">
      <c r="A668" s="7" t="inlineStr">
        <is>
          <t>RSCLER0666</t>
        </is>
      </c>
      <c r="B668" s="8" t="inlineStr">
        <is>
          <t>NOVO HAMBURGO</t>
        </is>
      </c>
      <c r="C668" s="7" t="inlineStr">
        <is>
          <t>CNTAA</t>
        </is>
      </c>
      <c r="D668" s="7" t="inlineStr"/>
      <c r="E668" s="7" t="inlineStr">
        <is>
          <t>RSNHO LO</t>
        </is>
      </c>
      <c r="F668" s="8" t="inlineStr">
        <is>
          <t>COND. EDF. REGENTE</t>
        </is>
      </c>
      <c r="G668" s="8" t="inlineStr">
        <is>
          <t>JULIO DE CASTILHOS 22</t>
        </is>
      </c>
      <c r="H668" s="7" t="inlineStr">
        <is>
          <t>CNTAA.061.M040</t>
        </is>
      </c>
      <c r="I668" s="8" t="inlineStr">
        <is>
          <t>2 ABERTURA E FECHAMENTO, 1 FUSÃO, 1 TESTE</t>
        </is>
      </c>
      <c r="J668" s="8" t="inlineStr"/>
      <c r="K668" s="8" t="inlineStr">
        <is>
          <t>DIOGO</t>
        </is>
      </c>
      <c r="L668" s="9" t="n">
        <v>45847</v>
      </c>
      <c r="M668" s="7" t="inlineStr"/>
      <c r="N668" s="7" t="inlineStr"/>
      <c r="O668" s="9" t="n">
        <v>45848</v>
      </c>
      <c r="P668" s="7" t="inlineStr">
        <is>
          <t>NÃO PRECISA</t>
        </is>
      </c>
      <c r="Q668" s="9" t="n">
        <v>45849</v>
      </c>
      <c r="R668" s="7" t="inlineStr">
        <is>
          <t>Concluído Campo</t>
        </is>
      </c>
      <c r="S668" s="7" t="inlineStr"/>
      <c r="T668" s="10" t="inlineStr"/>
      <c r="U668" s="7" t="inlineStr"/>
      <c r="V668" s="7" t="inlineStr"/>
      <c r="W668" s="7" t="inlineStr"/>
      <c r="X668" s="7" t="inlineStr">
        <is>
          <t>AG. MEDIÇÃO</t>
        </is>
      </c>
      <c r="Y668" s="11">
        <f>IF(AND(L668&lt;&gt;"", S668&lt;&gt;""), S668-L668, IF(L668&lt;&gt;"", TODAY()-L668, ""))</f>
        <v/>
      </c>
      <c r="Z668" s="7">
        <f>IF(Y668="", "", IF(Y668&lt;=3, "NO PRAZO", "ATRASADO"))</f>
        <v/>
      </c>
      <c r="AA668" s="8" t="inlineStr"/>
    </row>
    <row r="669" ht="20" customHeight="1">
      <c r="A669" s="7" t="inlineStr">
        <is>
          <t>RSCLER0667</t>
        </is>
      </c>
      <c r="B669" s="8" t="inlineStr">
        <is>
          <t>PORTO ALEGRE</t>
        </is>
      </c>
      <c r="C669" s="7" t="inlineStr">
        <is>
          <t>MNDAB</t>
        </is>
      </c>
      <c r="D669" s="7" t="inlineStr"/>
      <c r="E669" s="7" t="inlineStr"/>
      <c r="F669" s="8" t="inlineStr"/>
      <c r="G669" s="8" t="inlineStr">
        <is>
          <t>R ALBERTO TORRES 111</t>
        </is>
      </c>
      <c r="H669" s="7" t="inlineStr">
        <is>
          <t>MNDAB.352.M080</t>
        </is>
      </c>
      <c r="I669" s="8" t="inlineStr">
        <is>
          <t>FOI LANÇADO 385 METROS DE CABO DE 12FO, 4 ABERTURA E FECHAMENTO, 8 FUSÕES, 4 DERIVAÇÕES, 2 TESTES</t>
        </is>
      </c>
      <c r="J669" s="8" t="inlineStr">
        <is>
          <t>UBIRAJARA</t>
        </is>
      </c>
      <c r="K669" s="8" t="inlineStr">
        <is>
          <t>DIOGO</t>
        </is>
      </c>
      <c r="L669" s="9" t="n">
        <v>45848</v>
      </c>
      <c r="M669" s="9" t="n">
        <v>45849</v>
      </c>
      <c r="N669" s="7" t="inlineStr">
        <is>
          <t>11/07/20250</t>
        </is>
      </c>
      <c r="O669" s="9" t="n">
        <v>45849</v>
      </c>
      <c r="P669" s="7" t="inlineStr">
        <is>
          <t>NÃO PRECISA</t>
        </is>
      </c>
      <c r="Q669" s="9" t="n">
        <v>45852</v>
      </c>
      <c r="R669" s="7" t="inlineStr">
        <is>
          <t>Concluído Campo</t>
        </is>
      </c>
      <c r="S669" s="9" t="n">
        <v>45881</v>
      </c>
      <c r="T669" s="10" t="inlineStr"/>
      <c r="U669" s="7" t="inlineStr">
        <is>
          <t>5058963</t>
        </is>
      </c>
      <c r="V669" s="7" t="inlineStr">
        <is>
          <t>FINALIZADO</t>
        </is>
      </c>
      <c r="W669" s="7" t="inlineStr"/>
      <c r="X669" s="7" t="inlineStr">
        <is>
          <t>MEDIÇÃO CONCLUÍDA</t>
        </is>
      </c>
      <c r="Y669" s="11">
        <f>IF(AND(L669&lt;&gt;"", S669&lt;&gt;""), S669-L669, IF(L669&lt;&gt;"", TODAY()-L669, ""))</f>
        <v/>
      </c>
      <c r="Z669" s="7">
        <f>IF(Y669="", "", IF(Y669&lt;=3, "NO PRAZO", "ATRASADO"))</f>
        <v/>
      </c>
      <c r="AA669" s="8" t="inlineStr">
        <is>
          <t>100% - OK</t>
        </is>
      </c>
    </row>
    <row r="670" ht="20" customHeight="1">
      <c r="A670" s="7" t="inlineStr">
        <is>
          <t>RSCLER0668</t>
        </is>
      </c>
      <c r="B670" s="8" t="inlineStr">
        <is>
          <t>PORTO ALEGRE</t>
        </is>
      </c>
      <c r="C670" s="7" t="inlineStr">
        <is>
          <t>NAVAB</t>
        </is>
      </c>
      <c r="D670" s="7" t="inlineStr">
        <is>
          <t>NAVAD</t>
        </is>
      </c>
      <c r="E670" s="7" t="inlineStr">
        <is>
          <t>PAE FAR</t>
        </is>
      </c>
      <c r="F670" s="8" t="inlineStr"/>
      <c r="G670" s="8" t="inlineStr">
        <is>
          <t>Quintino Bandeira, 67</t>
        </is>
      </c>
      <c r="H670" s="7" t="inlineStr">
        <is>
          <t>NAVAB.122.M010.</t>
        </is>
      </c>
      <c r="I670" s="8" t="inlineStr">
        <is>
          <t>COBRAR DENTRO DO NODE NAVAD FASE 2</t>
        </is>
      </c>
      <c r="J670" s="8" t="inlineStr"/>
      <c r="K670" s="8" t="inlineStr"/>
      <c r="L670" s="9" t="n">
        <v>45852</v>
      </c>
      <c r="M670" s="7" t="inlineStr"/>
      <c r="N670" s="7" t="inlineStr"/>
      <c r="O670" s="9" t="n">
        <v>45855</v>
      </c>
      <c r="P670" s="7" t="inlineStr">
        <is>
          <t>NÃO PRECISA</t>
        </is>
      </c>
      <c r="Q670" s="7" t="inlineStr">
        <is>
          <t>NAVAD F2</t>
        </is>
      </c>
      <c r="R670" s="7" t="inlineStr">
        <is>
          <t>Concluído Campo</t>
        </is>
      </c>
      <c r="S670" s="9" t="n">
        <v>45856</v>
      </c>
      <c r="T670" s="10" t="inlineStr"/>
      <c r="U670" s="7" t="inlineStr">
        <is>
          <t>5058932</t>
        </is>
      </c>
      <c r="V670" s="7" t="inlineStr">
        <is>
          <t>FINALIZADO</t>
        </is>
      </c>
      <c r="W670" s="7" t="inlineStr"/>
      <c r="X670" s="7" t="inlineStr">
        <is>
          <t>MEDIÇÃO CONCLUÍDA</t>
        </is>
      </c>
      <c r="Y670" s="11">
        <f>IF(AND(L670&lt;&gt;"", S670&lt;&gt;""), S670-L670, IF(L670&lt;&gt;"", TODAY()-L670, ""))</f>
        <v/>
      </c>
      <c r="Z670" s="7">
        <f>IF(Y670="", "", IF(Y670&lt;=3, "NO PRAZO", "ATRASADO"))</f>
        <v/>
      </c>
      <c r="AA670" s="8" t="inlineStr"/>
    </row>
    <row r="671" ht="20" customHeight="1">
      <c r="A671" s="7" t="inlineStr">
        <is>
          <t>RSCLER0669</t>
        </is>
      </c>
      <c r="B671" s="8" t="inlineStr">
        <is>
          <t>PORTO ALEGRE</t>
        </is>
      </c>
      <c r="C671" s="7" t="inlineStr">
        <is>
          <t>CNTAB</t>
        </is>
      </c>
      <c r="D671" s="7" t="inlineStr"/>
      <c r="E671" s="7" t="inlineStr">
        <is>
          <t>RSPCE14</t>
        </is>
      </c>
      <c r="F671" s="8" t="inlineStr"/>
      <c r="G671" s="8" t="inlineStr">
        <is>
          <t>R SIQUEIRA CAMPOS 644</t>
        </is>
      </c>
      <c r="H671" s="7" t="inlineStr">
        <is>
          <t>CNTAB.401.M010</t>
        </is>
      </c>
      <c r="I671" s="8" t="inlineStr">
        <is>
          <t>FOI LANÇADO 1077 METROS DE CABO DE 12FO, 1 ABERTURA E FECHAMENTO, 6 FUSÕES, 1 DERIVAÇÃO, 1 TESTE OTDR, 2 CXS NOVAS, 4 TESTES.</t>
        </is>
      </c>
      <c r="J671" s="8" t="inlineStr">
        <is>
          <t>UBIRAJARA</t>
        </is>
      </c>
      <c r="K671" s="8" t="inlineStr">
        <is>
          <t>DIOGO</t>
        </is>
      </c>
      <c r="L671" s="9" t="n">
        <v>45852</v>
      </c>
      <c r="M671" s="7" t="inlineStr"/>
      <c r="N671" s="7" t="inlineStr"/>
      <c r="O671" s="9" t="n">
        <v>45859</v>
      </c>
      <c r="P671" s="7" t="inlineStr">
        <is>
          <t>NÃO PRECISA</t>
        </is>
      </c>
      <c r="Q671" s="9" t="n">
        <v>45860</v>
      </c>
      <c r="R671" s="7" t="inlineStr">
        <is>
          <t>Concluído Campo</t>
        </is>
      </c>
      <c r="S671" s="7" t="inlineStr"/>
      <c r="T671" s="10" t="inlineStr"/>
      <c r="U671" s="7" t="inlineStr"/>
      <c r="V671" s="7" t="inlineStr"/>
      <c r="W671" s="7" t="inlineStr"/>
      <c r="X671" s="7" t="inlineStr">
        <is>
          <t>AG. MEDIÇÃO</t>
        </is>
      </c>
      <c r="Y671" s="11">
        <f>IF(AND(L671&lt;&gt;"", S671&lt;&gt;""), S671-L671, IF(L671&lt;&gt;"", TODAY()-L671, ""))</f>
        <v/>
      </c>
      <c r="Z671" s="7">
        <f>IF(Y671="", "", IF(Y671&lt;=3, "NO PRAZO", "ATRASADO"))</f>
        <v/>
      </c>
      <c r="AA671" s="8" t="inlineStr">
        <is>
          <t>100% - OK</t>
        </is>
      </c>
    </row>
    <row r="672" ht="20" customHeight="1">
      <c r="A672" s="7" t="inlineStr">
        <is>
          <t>RSCLER0670</t>
        </is>
      </c>
      <c r="B672" s="8" t="inlineStr">
        <is>
          <t>PORTO ALEGRE</t>
        </is>
      </c>
      <c r="C672" s="7" t="inlineStr">
        <is>
          <t>SPEAA</t>
        </is>
      </c>
      <c r="D672" s="7" t="inlineStr">
        <is>
          <t>SPEAAA</t>
        </is>
      </c>
      <c r="E672" s="7" t="inlineStr">
        <is>
          <t>PAE DAM</t>
        </is>
      </c>
      <c r="F672" s="8" t="inlineStr"/>
      <c r="G672" s="8" t="inlineStr">
        <is>
          <t>Rua Amoroso Costa, 100</t>
        </is>
      </c>
      <c r="H672" s="7" t="inlineStr">
        <is>
          <t>SPEAA.011.M040</t>
        </is>
      </c>
      <c r="I672" s="8" t="inlineStr">
        <is>
          <t>COBRAR NO NODE SPEAAA</t>
        </is>
      </c>
      <c r="J672" s="8" t="inlineStr"/>
      <c r="K672" s="8" t="inlineStr">
        <is>
          <t>CATIA</t>
        </is>
      </c>
      <c r="L672" s="9" t="n">
        <v>45852</v>
      </c>
      <c r="M672" s="7" t="inlineStr"/>
      <c r="N672" s="7" t="inlineStr"/>
      <c r="O672" s="9" t="n">
        <v>45855</v>
      </c>
      <c r="P672" s="7" t="inlineStr">
        <is>
          <t>NÃO PRECISA</t>
        </is>
      </c>
      <c r="Q672" s="7" t="inlineStr">
        <is>
          <t>SPEAAA</t>
        </is>
      </c>
      <c r="R672" s="7" t="inlineStr">
        <is>
          <t>Concluído Campo</t>
        </is>
      </c>
      <c r="S672" s="7" t="inlineStr"/>
      <c r="T672" s="10" t="inlineStr"/>
      <c r="U672" s="7" t="inlineStr"/>
      <c r="V672" s="7" t="inlineStr"/>
      <c r="W672" s="7" t="inlineStr"/>
      <c r="X672" s="7" t="inlineStr">
        <is>
          <t>AG. MEDIÇÃO</t>
        </is>
      </c>
      <c r="Y672" s="11">
        <f>IF(AND(L672&lt;&gt;"", S672&lt;&gt;""), S672-L672, IF(L672&lt;&gt;"", TODAY()-L672, ""))</f>
        <v/>
      </c>
      <c r="Z672" s="7">
        <f>IF(Y672="", "", IF(Y672&lt;=3, "NO PRAZO", "ATRASADO"))</f>
        <v/>
      </c>
      <c r="AA672" s="8" t="inlineStr"/>
    </row>
    <row r="673" ht="20" customHeight="1">
      <c r="A673" s="7" t="inlineStr">
        <is>
          <t>RSCLER0671</t>
        </is>
      </c>
      <c r="B673" s="8" t="inlineStr">
        <is>
          <t>PORTO ALEGRE</t>
        </is>
      </c>
      <c r="C673" s="7" t="inlineStr">
        <is>
          <t>NAVAB</t>
        </is>
      </c>
      <c r="D673" s="7" t="inlineStr">
        <is>
          <t>NAVAD</t>
        </is>
      </c>
      <c r="E673" s="7" t="inlineStr">
        <is>
          <t>PAE FAR</t>
        </is>
      </c>
      <c r="F673" s="8" t="inlineStr"/>
      <c r="G673" s="8" t="inlineStr">
        <is>
          <t>Quintino Bandeira, 64</t>
        </is>
      </c>
      <c r="H673" s="7" t="inlineStr">
        <is>
          <t>NAVAB.122.M010</t>
        </is>
      </c>
      <c r="I673" s="8" t="inlineStr">
        <is>
          <t>COBRAR DENTRO DO NODE NAVAD FASE 2</t>
        </is>
      </c>
      <c r="J673" s="8" t="inlineStr"/>
      <c r="K673" s="8" t="inlineStr"/>
      <c r="L673" s="9" t="n">
        <v>45852</v>
      </c>
      <c r="M673" s="7" t="inlineStr"/>
      <c r="N673" s="7" t="inlineStr"/>
      <c r="O673" s="9" t="n">
        <v>45855</v>
      </c>
      <c r="P673" s="7" t="inlineStr">
        <is>
          <t>NÃO PRECISA</t>
        </is>
      </c>
      <c r="Q673" s="7" t="inlineStr">
        <is>
          <t>NAVAD F2</t>
        </is>
      </c>
      <c r="R673" s="7" t="inlineStr">
        <is>
          <t>Concluído Campo</t>
        </is>
      </c>
      <c r="S673" s="7" t="inlineStr"/>
      <c r="T673" s="10" t="inlineStr"/>
      <c r="U673" s="7" t="inlineStr"/>
      <c r="V673" s="7" t="inlineStr"/>
      <c r="W673" s="7" t="inlineStr"/>
      <c r="X673" s="7" t="inlineStr">
        <is>
          <t>AG. MEDIÇÃO</t>
        </is>
      </c>
      <c r="Y673" s="11">
        <f>IF(AND(L673&lt;&gt;"", S673&lt;&gt;""), S673-L673, IF(L673&lt;&gt;"", TODAY()-L673, ""))</f>
        <v/>
      </c>
      <c r="Z673" s="7">
        <f>IF(Y673="", "", IF(Y673&lt;=3, "NO PRAZO", "ATRASADO"))</f>
        <v/>
      </c>
      <c r="AA673" s="8" t="inlineStr"/>
    </row>
    <row r="674" ht="20" customHeight="1">
      <c r="A674" s="7" t="inlineStr">
        <is>
          <t>RSCLER0672</t>
        </is>
      </c>
      <c r="B674" s="8" t="inlineStr">
        <is>
          <t>XANGRILÁ</t>
        </is>
      </c>
      <c r="C674" s="7" t="inlineStr">
        <is>
          <t>CAPAB</t>
        </is>
      </c>
      <c r="D674" s="7" t="inlineStr">
        <is>
          <t>XNLAM</t>
        </is>
      </c>
      <c r="E674" s="7" t="inlineStr">
        <is>
          <t>RSXNL01</t>
        </is>
      </c>
      <c r="F674" s="8" t="inlineStr"/>
      <c r="G674" s="8" t="inlineStr">
        <is>
          <t>Cond. Lá Plage</t>
        </is>
      </c>
      <c r="H674" s="7" t="inlineStr">
        <is>
          <t>CAPAB.092</t>
        </is>
      </c>
      <c r="I674" s="8" t="inlineStr">
        <is>
          <t>COBRAR NO PROJETO F</t>
        </is>
      </c>
      <c r="J674" s="8" t="inlineStr">
        <is>
          <t>ALAN VASCONCELOS</t>
        </is>
      </c>
      <c r="K674" s="8" t="inlineStr">
        <is>
          <t>FABIO AMARILHO</t>
        </is>
      </c>
      <c r="L674" s="9" t="n">
        <v>45838</v>
      </c>
      <c r="M674" s="7" t="inlineStr">
        <is>
          <t>14/07/20250</t>
        </is>
      </c>
      <c r="N674" s="9" t="n">
        <v>45861</v>
      </c>
      <c r="O674" s="9" t="n">
        <v>45862</v>
      </c>
      <c r="P674" s="9" t="n">
        <v>45918</v>
      </c>
      <c r="Q674" s="9" t="n">
        <v>45918</v>
      </c>
      <c r="R674" s="7" t="inlineStr">
        <is>
          <t>Concluído Campo</t>
        </is>
      </c>
      <c r="S674" s="9" t="n">
        <v>45861</v>
      </c>
      <c r="T674" s="10" t="inlineStr"/>
      <c r="U674" s="7" t="inlineStr"/>
      <c r="V674" s="7" t="inlineStr"/>
      <c r="W674" s="7" t="inlineStr"/>
      <c r="X674" s="7" t="inlineStr">
        <is>
          <t>MEDIÇÃO CONCLUÍDA</t>
        </is>
      </c>
      <c r="Y674" s="11">
        <f>IF(AND(L674&lt;&gt;"", S674&lt;&gt;""), S674-L674, IF(L674&lt;&gt;"", TODAY()-L674, ""))</f>
        <v/>
      </c>
      <c r="Z674" s="7">
        <f>IF(Y674="", "", IF(Y674&lt;=3, "NO PRAZO", "ATRASADO"))</f>
        <v/>
      </c>
      <c r="AA674" s="8" t="inlineStr"/>
    </row>
    <row r="675" ht="20" customHeight="1">
      <c r="A675" s="7" t="inlineStr">
        <is>
          <t>RSCLER0673</t>
        </is>
      </c>
      <c r="B675" s="8" t="inlineStr">
        <is>
          <t>PORTO ALEGRE</t>
        </is>
      </c>
      <c r="C675" s="7" t="inlineStr">
        <is>
          <t>CNTAB</t>
        </is>
      </c>
      <c r="D675" s="7" t="inlineStr">
        <is>
          <t>CNTAI</t>
        </is>
      </c>
      <c r="E675" s="7" t="inlineStr">
        <is>
          <t>PAE MF</t>
        </is>
      </c>
      <c r="F675" s="8" t="inlineStr">
        <is>
          <t>Cond Edifício Sereno</t>
        </is>
      </c>
      <c r="G675" s="8" t="inlineStr">
        <is>
          <t>Rua 24 de Maio, 211</t>
        </is>
      </c>
      <c r="H675" s="7" t="inlineStr">
        <is>
          <t>CNTAB.173.M040.</t>
        </is>
      </c>
      <c r="I675" s="8" t="inlineStr">
        <is>
          <t>FOI LANÇADO 622 METROS DE CABO DE 12FO, 5 ABERTURA E FECHAMENTO, 2 DERIVAÇÕES, 8 FUSÕES, 1 TESTE, 3 TESTES OTDR</t>
        </is>
      </c>
      <c r="J675" s="8" t="inlineStr">
        <is>
          <t>UBIRAJARA</t>
        </is>
      </c>
      <c r="K675" s="8" t="inlineStr">
        <is>
          <t>DIOGO</t>
        </is>
      </c>
      <c r="L675" s="9" t="n">
        <v>45853</v>
      </c>
      <c r="M675" s="7" t="inlineStr"/>
      <c r="N675" s="7" t="inlineStr"/>
      <c r="O675" s="9" t="n">
        <v>45867</v>
      </c>
      <c r="P675" s="9" t="n">
        <v>45880</v>
      </c>
      <c r="Q675" s="9" t="n">
        <v>45880</v>
      </c>
      <c r="R675" s="7" t="inlineStr">
        <is>
          <t>Concluído Campo</t>
        </is>
      </c>
      <c r="S675" s="7" t="inlineStr"/>
      <c r="T675" s="10" t="inlineStr"/>
      <c r="U675" s="7" t="inlineStr"/>
      <c r="V675" s="7" t="inlineStr"/>
      <c r="W675" s="7" t="inlineStr"/>
      <c r="X675" s="7" t="inlineStr">
        <is>
          <t>AG. MEDIÇÃO</t>
        </is>
      </c>
      <c r="Y675" s="11">
        <f>IF(AND(L675&lt;&gt;"", S675&lt;&gt;""), S675-L675, IF(L675&lt;&gt;"", TODAY()-L675, ""))</f>
        <v/>
      </c>
      <c r="Z675" s="7">
        <f>IF(Y675="", "", IF(Y675&lt;=3, "NO PRAZO", "ATRASADO"))</f>
        <v/>
      </c>
      <c r="AA675" s="8" t="inlineStr">
        <is>
          <t>100% - OK</t>
        </is>
      </c>
    </row>
    <row r="676" ht="20" customHeight="1">
      <c r="A676" s="7" t="inlineStr">
        <is>
          <t>RSCLER0674</t>
        </is>
      </c>
      <c r="B676" s="8" t="inlineStr">
        <is>
          <t>PORTO ALEGRE</t>
        </is>
      </c>
      <c r="C676" s="7" t="inlineStr">
        <is>
          <t>SPEAA</t>
        </is>
      </c>
      <c r="D676" s="7" t="inlineStr"/>
      <c r="E676" s="7" t="inlineStr">
        <is>
          <t>PAE DAM</t>
        </is>
      </c>
      <c r="F676" s="8" t="inlineStr">
        <is>
          <t>Cond Barao De Tramandai</t>
        </is>
      </c>
      <c r="G676" s="8" t="inlineStr">
        <is>
          <t>R. Barão de Tramandaí, 291</t>
        </is>
      </c>
      <c r="H676" s="7" t="inlineStr">
        <is>
          <t>SPEAA.025.M040</t>
        </is>
      </c>
      <c r="I676" s="8" t="inlineStr">
        <is>
          <t>6 ABERTURA E FECHAMENTO, 7 FUSÕES, 2 TESTES, 5 TESTES OTDR</t>
        </is>
      </c>
      <c r="J676" s="8" t="inlineStr"/>
      <c r="K676" s="8" t="inlineStr">
        <is>
          <t>CATIA</t>
        </is>
      </c>
      <c r="L676" s="9" t="n">
        <v>45854</v>
      </c>
      <c r="M676" s="9" t="n">
        <v>45858</v>
      </c>
      <c r="N676" s="9" t="n">
        <v>45861</v>
      </c>
      <c r="O676" s="9" t="n">
        <v>45861</v>
      </c>
      <c r="P676" s="9" t="n">
        <v>45881</v>
      </c>
      <c r="Q676" s="9" t="n">
        <v>45881</v>
      </c>
      <c r="R676" s="7" t="inlineStr">
        <is>
          <t>Concluído Campo</t>
        </is>
      </c>
      <c r="S676" s="7" t="inlineStr"/>
      <c r="T676" s="10" t="inlineStr"/>
      <c r="U676" s="7" t="inlineStr"/>
      <c r="V676" s="7" t="inlineStr"/>
      <c r="W676" s="7" t="inlineStr"/>
      <c r="X676" s="7" t="inlineStr">
        <is>
          <t>AG. MEDIÇÃO</t>
        </is>
      </c>
      <c r="Y676" s="11">
        <f>IF(AND(L676&lt;&gt;"", S676&lt;&gt;""), S676-L676, IF(L676&lt;&gt;"", TODAY()-L676, ""))</f>
        <v/>
      </c>
      <c r="Z676" s="7">
        <f>IF(Y676="", "", IF(Y676&lt;=3, "NO PRAZO", "ATRASADO"))</f>
        <v/>
      </c>
      <c r="AA676" s="8" t="inlineStr"/>
    </row>
    <row r="677" ht="20" customHeight="1">
      <c r="A677" s="7" t="inlineStr">
        <is>
          <t>RSCLER0675</t>
        </is>
      </c>
      <c r="B677" s="8" t="inlineStr">
        <is>
          <t>PORTO ALEGRE</t>
        </is>
      </c>
      <c r="C677" s="7" t="inlineStr">
        <is>
          <t>SPEAA</t>
        </is>
      </c>
      <c r="D677" s="7" t="inlineStr"/>
      <c r="E677" s="7" t="inlineStr">
        <is>
          <t>PAE DAM</t>
        </is>
      </c>
      <c r="F677" s="8" t="inlineStr">
        <is>
          <t>Conselho Regional de Farmacias</t>
        </is>
      </c>
      <c r="G677" s="8" t="inlineStr">
        <is>
          <t>Rua São Nicolau 1070</t>
        </is>
      </c>
      <c r="H677" s="7" t="inlineStr">
        <is>
          <t>SPEAA.025.04.07</t>
        </is>
      </c>
      <c r="I677" s="8" t="inlineStr">
        <is>
          <t>FOI LANÇADO 685 METROS DE CABO DE 12FO, 1 ABERTURA E FECHAMENTO, 1 NAP NOVA, 1 DERIVÇÃO, 2 FUSÃO, 3 TESTES</t>
        </is>
      </c>
      <c r="J677" s="8" t="inlineStr">
        <is>
          <t>UBIRAJARA</t>
        </is>
      </c>
      <c r="K677" s="8" t="inlineStr">
        <is>
          <t>DIOGO</t>
        </is>
      </c>
      <c r="L677" s="9" t="n">
        <v>45856</v>
      </c>
      <c r="M677" s="9" t="n">
        <v>45858</v>
      </c>
      <c r="N677" s="9" t="n">
        <v>45861</v>
      </c>
      <c r="O677" s="9" t="n">
        <v>45861</v>
      </c>
      <c r="P677" s="7" t="inlineStr">
        <is>
          <t>NÃO PRECISA</t>
        </is>
      </c>
      <c r="Q677" s="9" t="n">
        <v>45887</v>
      </c>
      <c r="R677" s="7" t="inlineStr">
        <is>
          <t>Concluído Campo</t>
        </is>
      </c>
      <c r="S677" s="7" t="inlineStr"/>
      <c r="T677" s="10" t="inlineStr"/>
      <c r="U677" s="7" t="inlineStr"/>
      <c r="V677" s="7" t="inlineStr"/>
      <c r="W677" s="7" t="inlineStr"/>
      <c r="X677" s="7" t="inlineStr">
        <is>
          <t>AG. MEDIÇÃO</t>
        </is>
      </c>
      <c r="Y677" s="11">
        <f>IF(AND(L677&lt;&gt;"", S677&lt;&gt;""), S677-L677, IF(L677&lt;&gt;"", TODAY()-L677, ""))</f>
        <v/>
      </c>
      <c r="Z677" s="7">
        <f>IF(Y677="", "", IF(Y677&lt;=3, "NO PRAZO", "ATRASADO"))</f>
        <v/>
      </c>
      <c r="AA677" s="8" t="inlineStr">
        <is>
          <t>100% - OK</t>
        </is>
      </c>
    </row>
    <row r="678" ht="20" customHeight="1">
      <c r="A678" s="7" t="inlineStr">
        <is>
          <t>RSCLER0676</t>
        </is>
      </c>
      <c r="B678" s="8" t="inlineStr">
        <is>
          <t>PORTO ALEGRE</t>
        </is>
      </c>
      <c r="C678" s="7" t="inlineStr">
        <is>
          <t>SPEAA</t>
        </is>
      </c>
      <c r="D678" s="7" t="inlineStr"/>
      <c r="E678" s="7" t="inlineStr">
        <is>
          <t>PAE DAM</t>
        </is>
      </c>
      <c r="F678" s="8" t="inlineStr"/>
      <c r="G678" s="8" t="inlineStr">
        <is>
          <t>RUA FERNANDO ABBOTT, 249</t>
        </is>
      </c>
      <c r="H678" s="7" t="inlineStr">
        <is>
          <t>SPEAA.011.M030</t>
        </is>
      </c>
      <c r="I678" s="8" t="inlineStr">
        <is>
          <t>COBRAR DENTRO DO NODE SPEAAA</t>
        </is>
      </c>
      <c r="J678" s="8" t="inlineStr"/>
      <c r="K678" s="8" t="inlineStr"/>
      <c r="L678" s="7" t="inlineStr"/>
      <c r="M678" s="7" t="inlineStr"/>
      <c r="N678" s="7" t="inlineStr"/>
      <c r="O678" s="9" t="n">
        <v>45859</v>
      </c>
      <c r="P678" s="7" t="inlineStr">
        <is>
          <t>NÃO PRECISA</t>
        </is>
      </c>
      <c r="Q678" s="7" t="inlineStr">
        <is>
          <t>SPEAAA</t>
        </is>
      </c>
      <c r="R678" s="7" t="inlineStr">
        <is>
          <t>Concluído Campo</t>
        </is>
      </c>
      <c r="S678" s="7" t="inlineStr"/>
      <c r="T678" s="10" t="inlineStr"/>
      <c r="U678" s="7" t="inlineStr"/>
      <c r="V678" s="7" t="inlineStr"/>
      <c r="W678" s="7" t="inlineStr"/>
      <c r="X678" s="7" t="inlineStr">
        <is>
          <t>AG. MEDIÇÃO</t>
        </is>
      </c>
      <c r="Y678" s="11">
        <f>IF(AND(L678&lt;&gt;"", S678&lt;&gt;""), S678-L678, IF(L678&lt;&gt;"", TODAY()-L678, ""))</f>
        <v/>
      </c>
      <c r="Z678" s="7">
        <f>IF(Y678="", "", IF(Y678&lt;=3, "NO PRAZO", "ATRASADO"))</f>
        <v/>
      </c>
      <c r="AA678" s="8" t="inlineStr"/>
    </row>
    <row r="679" ht="20" customHeight="1">
      <c r="A679" s="7" t="inlineStr">
        <is>
          <t>RSCLER0677</t>
        </is>
      </c>
      <c r="B679" s="8" t="inlineStr">
        <is>
          <t>GRAVATAI</t>
        </is>
      </c>
      <c r="C679" s="7" t="inlineStr">
        <is>
          <t>CNTAA</t>
        </is>
      </c>
      <c r="D679" s="7" t="inlineStr"/>
      <c r="E679" s="7" t="inlineStr"/>
      <c r="F679" s="8" t="inlineStr"/>
      <c r="G679" s="8" t="inlineStr">
        <is>
          <t>RUA JOÃO DUTRA, 81</t>
        </is>
      </c>
      <c r="H679" s="7" t="inlineStr">
        <is>
          <t>CNTAA.051.M030</t>
        </is>
      </c>
      <c r="I679" s="8" t="inlineStr"/>
      <c r="J679" s="8" t="inlineStr"/>
      <c r="K679" s="8" t="inlineStr">
        <is>
          <t>ROGERIO</t>
        </is>
      </c>
      <c r="L679" s="9" t="n">
        <v>45859</v>
      </c>
      <c r="M679" s="7" t="inlineStr"/>
      <c r="N679" s="7" t="inlineStr"/>
      <c r="O679" s="7" t="inlineStr"/>
      <c r="P679" s="7" t="inlineStr">
        <is>
          <t>Não Precisa</t>
        </is>
      </c>
      <c r="Q679" s="7" t="inlineStr"/>
      <c r="R679" s="7" t="inlineStr">
        <is>
          <t>Concluído Campo</t>
        </is>
      </c>
      <c r="S679" s="7" t="inlineStr"/>
      <c r="T679" s="10" t="inlineStr"/>
      <c r="U679" s="7" t="inlineStr"/>
      <c r="V679" s="7" t="inlineStr"/>
      <c r="W679" s="7" t="inlineStr"/>
      <c r="X679" s="7" t="inlineStr">
        <is>
          <t>AG. RELATÓRIO</t>
        </is>
      </c>
      <c r="Y679" s="11">
        <f>IF(AND(L679&lt;&gt;"", S679&lt;&gt;""), S679-L679, IF(L679&lt;&gt;"", TODAY()-L679, ""))</f>
        <v/>
      </c>
      <c r="Z679" s="7">
        <f>IF(Y679="", "", IF(Y679&lt;=3, "NO PRAZO", "ATRASADO"))</f>
        <v/>
      </c>
      <c r="AA679" s="8" t="inlineStr"/>
    </row>
    <row r="680" ht="20" customHeight="1">
      <c r="A680" s="7" t="inlineStr">
        <is>
          <t>RSCLER0678</t>
        </is>
      </c>
      <c r="B680" s="8" t="inlineStr">
        <is>
          <t>PORTO ALEGRE</t>
        </is>
      </c>
      <c r="C680" s="7" t="inlineStr">
        <is>
          <t>SPEAA</t>
        </is>
      </c>
      <c r="D680" s="7" t="inlineStr"/>
      <c r="E680" s="7" t="inlineStr"/>
      <c r="F680" s="8" t="inlineStr"/>
      <c r="G680" s="8" t="inlineStr">
        <is>
          <t>RUA FERNANDO ABBOTT, 29</t>
        </is>
      </c>
      <c r="H680" s="7" t="inlineStr">
        <is>
          <t>SPEAA.011.M010</t>
        </is>
      </c>
      <c r="I680" s="8" t="inlineStr">
        <is>
          <t>COBRAR DENTRO DO NODE SPEAAA</t>
        </is>
      </c>
      <c r="J680" s="8" t="inlineStr"/>
      <c r="K680" s="8" t="inlineStr">
        <is>
          <t>CATIA</t>
        </is>
      </c>
      <c r="L680" s="7" t="inlineStr"/>
      <c r="M680" s="7" t="inlineStr"/>
      <c r="N680" s="7" t="inlineStr"/>
      <c r="O680" s="9" t="n">
        <v>45859</v>
      </c>
      <c r="P680" s="7" t="inlineStr">
        <is>
          <t>NÃO PRECISA</t>
        </is>
      </c>
      <c r="Q680" s="7" t="inlineStr">
        <is>
          <t>SPEAAA</t>
        </is>
      </c>
      <c r="R680" s="7" t="inlineStr">
        <is>
          <t>Concluído Campo</t>
        </is>
      </c>
      <c r="S680" s="7" t="inlineStr"/>
      <c r="T680" s="10" t="inlineStr"/>
      <c r="U680" s="7" t="inlineStr"/>
      <c r="V680" s="7" t="inlineStr"/>
      <c r="W680" s="7" t="inlineStr"/>
      <c r="X680" s="7" t="inlineStr">
        <is>
          <t>AG. MEDIÇÃO</t>
        </is>
      </c>
      <c r="Y680" s="11">
        <f>IF(AND(L680&lt;&gt;"", S680&lt;&gt;""), S680-L680, IF(L680&lt;&gt;"", TODAY()-L680, ""))</f>
        <v/>
      </c>
      <c r="Z680" s="7">
        <f>IF(Y680="", "", IF(Y680&lt;=3, "NO PRAZO", "ATRASADO"))</f>
        <v/>
      </c>
      <c r="AA680" s="8" t="inlineStr"/>
    </row>
    <row r="681" ht="20" customHeight="1">
      <c r="A681" s="7" t="inlineStr">
        <is>
          <t>RSCLER0679</t>
        </is>
      </c>
      <c r="B681" s="8" t="inlineStr">
        <is>
          <t>PORTO ALEGRE</t>
        </is>
      </c>
      <c r="C681" s="7" t="inlineStr">
        <is>
          <t>SPEAA</t>
        </is>
      </c>
      <c r="D681" s="7" t="inlineStr">
        <is>
          <t>SPEAAA</t>
        </is>
      </c>
      <c r="E681" s="7" t="inlineStr">
        <is>
          <t>PAE DAM</t>
        </is>
      </c>
      <c r="F681" s="8" t="inlineStr"/>
      <c r="G681" s="8" t="inlineStr">
        <is>
          <t>RUA COMENDADOR ALBINO CUNHA, 53, 97</t>
        </is>
      </c>
      <c r="H681" s="7" t="inlineStr">
        <is>
          <t>SPEAA.009.M010</t>
        </is>
      </c>
      <c r="I681" s="8" t="inlineStr">
        <is>
          <t>COBRAR DENTRO DO NODE SPEAAA</t>
        </is>
      </c>
      <c r="J681" s="8" t="inlineStr"/>
      <c r="K681" s="8" t="inlineStr">
        <is>
          <t>CATIA</t>
        </is>
      </c>
      <c r="L681" s="7" t="inlineStr"/>
      <c r="M681" s="7" t="inlineStr"/>
      <c r="N681" s="7" t="inlineStr"/>
      <c r="O681" s="9" t="n">
        <v>45860</v>
      </c>
      <c r="P681" s="7" t="inlineStr">
        <is>
          <t>NÃO PRECISA</t>
        </is>
      </c>
      <c r="Q681" s="7" t="inlineStr">
        <is>
          <t>SPEAAA</t>
        </is>
      </c>
      <c r="R681" s="7" t="inlineStr">
        <is>
          <t>Concluído Campo</t>
        </is>
      </c>
      <c r="S681" s="7" t="inlineStr"/>
      <c r="T681" s="10" t="inlineStr"/>
      <c r="U681" s="7" t="inlineStr"/>
      <c r="V681" s="7" t="inlineStr"/>
      <c r="W681" s="7" t="inlineStr"/>
      <c r="X681" s="7" t="inlineStr">
        <is>
          <t>AG. MEDIÇÃO</t>
        </is>
      </c>
      <c r="Y681" s="11">
        <f>IF(AND(L681&lt;&gt;"", S681&lt;&gt;""), S681-L681, IF(L681&lt;&gt;"", TODAY()-L681, ""))</f>
        <v/>
      </c>
      <c r="Z681" s="7">
        <f>IF(Y681="", "", IF(Y681&lt;=3, "NO PRAZO", "ATRASADO"))</f>
        <v/>
      </c>
      <c r="AA681" s="8" t="inlineStr"/>
    </row>
    <row r="682" ht="20" customHeight="1">
      <c r="A682" s="7" t="inlineStr">
        <is>
          <t>RSCLER0680</t>
        </is>
      </c>
      <c r="B682" s="8" t="inlineStr">
        <is>
          <t>PORTO ALEGRE</t>
        </is>
      </c>
      <c r="C682" s="7" t="inlineStr">
        <is>
          <t>SPEAA</t>
        </is>
      </c>
      <c r="D682" s="7" t="inlineStr"/>
      <c r="E682" s="7" t="inlineStr"/>
      <c r="F682" s="8" t="inlineStr"/>
      <c r="G682" s="8" t="inlineStr">
        <is>
          <t>RUA FERNANDO ABBOTT, 91, 103, 154</t>
        </is>
      </c>
      <c r="H682" s="7" t="inlineStr">
        <is>
          <t>SPEAA.011.M020</t>
        </is>
      </c>
      <c r="I682" s="8" t="inlineStr">
        <is>
          <t>COBRAR DENTRO DO NODE SPEAAA</t>
        </is>
      </c>
      <c r="J682" s="8" t="inlineStr"/>
      <c r="K682" s="8" t="inlineStr">
        <is>
          <t>CATIA</t>
        </is>
      </c>
      <c r="L682" s="7" t="inlineStr"/>
      <c r="M682" s="7" t="inlineStr"/>
      <c r="N682" s="7" t="inlineStr"/>
      <c r="O682" s="9" t="n">
        <v>45859</v>
      </c>
      <c r="P682" s="7" t="inlineStr">
        <is>
          <t>NÃO PRECISA</t>
        </is>
      </c>
      <c r="Q682" s="7" t="inlineStr">
        <is>
          <t>SPEAAA</t>
        </is>
      </c>
      <c r="R682" s="7" t="inlineStr">
        <is>
          <t>Concluído Campo</t>
        </is>
      </c>
      <c r="S682" s="7" t="inlineStr"/>
      <c r="T682" s="10" t="inlineStr"/>
      <c r="U682" s="7" t="inlineStr"/>
      <c r="V682" s="7" t="inlineStr"/>
      <c r="W682" s="7" t="inlineStr"/>
      <c r="X682" s="7" t="inlineStr">
        <is>
          <t>AG. MEDIÇÃO</t>
        </is>
      </c>
      <c r="Y682" s="11">
        <f>IF(AND(L682&lt;&gt;"", S682&lt;&gt;""), S682-L682, IF(L682&lt;&gt;"", TODAY()-L682, ""))</f>
        <v/>
      </c>
      <c r="Z682" s="7">
        <f>IF(Y682="", "", IF(Y682&lt;=3, "NO PRAZO", "ATRASADO"))</f>
        <v/>
      </c>
      <c r="AA682" s="8" t="inlineStr"/>
    </row>
    <row r="683" ht="20" customHeight="1">
      <c r="A683" s="7" t="inlineStr">
        <is>
          <t>RSCLER0681</t>
        </is>
      </c>
      <c r="B683" s="8" t="inlineStr">
        <is>
          <t>TRAMANDAÍ</t>
        </is>
      </c>
      <c r="C683" s="7" t="inlineStr">
        <is>
          <t>TRA</t>
        </is>
      </c>
      <c r="D683" s="7" t="inlineStr"/>
      <c r="E683" s="7" t="inlineStr"/>
      <c r="F683" s="8" t="inlineStr"/>
      <c r="G683" s="8" t="inlineStr">
        <is>
          <t>BEIRA RIO 1011</t>
        </is>
      </c>
      <c r="H683" s="7" t="inlineStr">
        <is>
          <t>TRA051.M030</t>
        </is>
      </c>
      <c r="I683" s="8" t="inlineStr">
        <is>
          <t>FOI LANÇADO 24 METROS DE CABO DE 12FO, 4 ABERTURA E FECHAMENTO, 15 FUSÕES, 2 DERIVAÇÕES, 3 TESTES, 1 CX NOVA.</t>
        </is>
      </c>
      <c r="J683" s="8" t="inlineStr">
        <is>
          <t>FABIO AMARILHO</t>
        </is>
      </c>
      <c r="K683" s="8" t="inlineStr">
        <is>
          <t>FABIO AMARILHO</t>
        </is>
      </c>
      <c r="L683" s="9" t="n">
        <v>45861</v>
      </c>
      <c r="M683" s="7" t="inlineStr"/>
      <c r="N683" s="7" t="inlineStr"/>
      <c r="O683" s="9" t="n">
        <v>45874</v>
      </c>
      <c r="P683" s="7" t="inlineStr">
        <is>
          <t>NÃO PRECISA</t>
        </is>
      </c>
      <c r="Q683" s="9" t="n">
        <v>45877</v>
      </c>
      <c r="R683" s="7" t="inlineStr">
        <is>
          <t>Concluído Campo</t>
        </is>
      </c>
      <c r="S683" s="7" t="inlineStr"/>
      <c r="T683" s="10" t="inlineStr"/>
      <c r="U683" s="7" t="inlineStr"/>
      <c r="V683" s="7" t="inlineStr"/>
      <c r="W683" s="7" t="inlineStr"/>
      <c r="X683" s="7" t="inlineStr">
        <is>
          <t>AG. MEDIÇÃO</t>
        </is>
      </c>
      <c r="Y683" s="11">
        <f>IF(AND(L683&lt;&gt;"", S683&lt;&gt;""), S683-L683, IF(L683&lt;&gt;"", TODAY()-L683, ""))</f>
        <v/>
      </c>
      <c r="Z683" s="7">
        <f>IF(Y683="", "", IF(Y683&lt;=3, "NO PRAZO", "ATRASADO"))</f>
        <v/>
      </c>
      <c r="AA683" s="8" t="inlineStr"/>
    </row>
    <row r="684" ht="20" customHeight="1">
      <c r="A684" s="7" t="inlineStr">
        <is>
          <t>RSCLER0682</t>
        </is>
      </c>
      <c r="B684" s="8" t="inlineStr">
        <is>
          <t>PORTO ALEGRE</t>
        </is>
      </c>
      <c r="C684" s="7" t="inlineStr">
        <is>
          <t>NAVAB</t>
        </is>
      </c>
      <c r="D684" s="7" t="inlineStr">
        <is>
          <t>NAVAD</t>
        </is>
      </c>
      <c r="E684" s="7" t="inlineStr">
        <is>
          <t>PAE FAR</t>
        </is>
      </c>
      <c r="F684" s="8" t="inlineStr"/>
      <c r="G684" s="8" t="inlineStr">
        <is>
          <t>Rua Conde de Porto Alegre, 71</t>
        </is>
      </c>
      <c r="H684" s="7" t="inlineStr">
        <is>
          <t>NAVAB.122.01.07</t>
        </is>
      </c>
      <c r="I684" s="8" t="inlineStr">
        <is>
          <t>COBRAR DENTRO DO NODE NAVAD FASE 2</t>
        </is>
      </c>
      <c r="J684" s="8" t="inlineStr"/>
      <c r="K684" s="8" t="inlineStr">
        <is>
          <t>ANDERSON</t>
        </is>
      </c>
      <c r="L684" s="9" t="n">
        <v>45861</v>
      </c>
      <c r="M684" s="7" t="inlineStr"/>
      <c r="N684" s="7" t="inlineStr"/>
      <c r="O684" s="9" t="n">
        <v>45862</v>
      </c>
      <c r="P684" s="7" t="inlineStr">
        <is>
          <t>NÃO PRECISA</t>
        </is>
      </c>
      <c r="Q684" s="7" t="inlineStr">
        <is>
          <t>NAVAD F2</t>
        </is>
      </c>
      <c r="R684" s="7" t="inlineStr">
        <is>
          <t>Concluído Campo</t>
        </is>
      </c>
      <c r="S684" s="7" t="inlineStr"/>
      <c r="T684" s="10" t="inlineStr"/>
      <c r="U684" s="7" t="inlineStr"/>
      <c r="V684" s="7" t="inlineStr"/>
      <c r="W684" s="7" t="inlineStr"/>
      <c r="X684" s="7" t="inlineStr">
        <is>
          <t>AG. MEDIÇÃO</t>
        </is>
      </c>
      <c r="Y684" s="11">
        <f>IF(AND(L684&lt;&gt;"", S684&lt;&gt;""), S684-L684, IF(L684&lt;&gt;"", TODAY()-L684, ""))</f>
        <v/>
      </c>
      <c r="Z684" s="7">
        <f>IF(Y684="", "", IF(Y684&lt;=3, "NO PRAZO", "ATRASADO"))</f>
        <v/>
      </c>
      <c r="AA684" s="8" t="inlineStr"/>
    </row>
    <row r="685" ht="20" customHeight="1">
      <c r="A685" s="7" t="inlineStr">
        <is>
          <t>RSCLER0683</t>
        </is>
      </c>
      <c r="B685" s="8" t="inlineStr">
        <is>
          <t>PORTO ALEGRE</t>
        </is>
      </c>
      <c r="C685" s="7" t="inlineStr">
        <is>
          <t>PETAA</t>
        </is>
      </c>
      <c r="D685" s="7" t="inlineStr">
        <is>
          <t>PETAR</t>
        </is>
      </c>
      <c r="E685" s="7" t="inlineStr">
        <is>
          <t>RSPLE11</t>
        </is>
      </c>
      <c r="F685" s="8" t="inlineStr"/>
      <c r="G685" s="8" t="inlineStr">
        <is>
          <t>AV BAGE, 494</t>
        </is>
      </c>
      <c r="H685" s="7" t="inlineStr">
        <is>
          <t>PETAA.151.M050</t>
        </is>
      </c>
      <c r="I685" s="8" t="inlineStr">
        <is>
          <t>COBRAR DENTRO DO NODE PETAR</t>
        </is>
      </c>
      <c r="J685" s="8" t="inlineStr"/>
      <c r="K685" s="8" t="inlineStr">
        <is>
          <t>AUGUSTO</t>
        </is>
      </c>
      <c r="L685" s="9" t="n">
        <v>45868</v>
      </c>
      <c r="M685" s="7" t="inlineStr"/>
      <c r="N685" s="7" t="inlineStr"/>
      <c r="O685" s="9" t="n">
        <v>45868</v>
      </c>
      <c r="P685" s="7" t="inlineStr">
        <is>
          <t>NÃO PRECISA</t>
        </is>
      </c>
      <c r="Q685" s="7" t="inlineStr">
        <is>
          <t>PETAR</t>
        </is>
      </c>
      <c r="R685" s="7" t="inlineStr">
        <is>
          <t>Concluído Campo</t>
        </is>
      </c>
      <c r="S685" s="7" t="inlineStr"/>
      <c r="T685" s="10" t="inlineStr"/>
      <c r="U685" s="7" t="inlineStr"/>
      <c r="V685" s="7" t="inlineStr"/>
      <c r="W685" s="7" t="inlineStr"/>
      <c r="X685" s="7" t="inlineStr">
        <is>
          <t>AG. MEDIÇÃO</t>
        </is>
      </c>
      <c r="Y685" s="11">
        <f>IF(AND(L685&lt;&gt;"", S685&lt;&gt;""), S685-L685, IF(L685&lt;&gt;"", TODAY()-L685, ""))</f>
        <v/>
      </c>
      <c r="Z685" s="7">
        <f>IF(Y685="", "", IF(Y685&lt;=3, "NO PRAZO", "ATRASADO"))</f>
        <v/>
      </c>
      <c r="AA685" s="8" t="inlineStr"/>
    </row>
    <row r="686" ht="20" customHeight="1">
      <c r="A686" s="7" t="inlineStr">
        <is>
          <t>RSCLER0684</t>
        </is>
      </c>
      <c r="B686" s="8" t="inlineStr">
        <is>
          <t>PORTO ALEGRE</t>
        </is>
      </c>
      <c r="C686" s="7" t="inlineStr">
        <is>
          <t>PETAA</t>
        </is>
      </c>
      <c r="D686" s="7" t="inlineStr">
        <is>
          <t>PETAQ</t>
        </is>
      </c>
      <c r="E686" s="7" t="inlineStr">
        <is>
          <t>RSPLE11</t>
        </is>
      </c>
      <c r="F686" s="8" t="inlineStr"/>
      <c r="G686" s="8" t="inlineStr">
        <is>
          <t>AV ALEGRETE, 50</t>
        </is>
      </c>
      <c r="H686" s="7" t="inlineStr">
        <is>
          <t>PETAA.121.M020</t>
        </is>
      </c>
      <c r="I686" s="8" t="inlineStr">
        <is>
          <t>COBRAR DENTRO DO NODE PETAQ</t>
        </is>
      </c>
      <c r="J686" s="8" t="inlineStr"/>
      <c r="K686" s="8" t="inlineStr">
        <is>
          <t>CLEVERSON</t>
        </is>
      </c>
      <c r="L686" s="9" t="n">
        <v>45868</v>
      </c>
      <c r="M686" s="7" t="inlineStr"/>
      <c r="N686" s="7" t="inlineStr"/>
      <c r="O686" s="9" t="n">
        <v>45868</v>
      </c>
      <c r="P686" s="7" t="inlineStr">
        <is>
          <t>NÃO PRECISA</t>
        </is>
      </c>
      <c r="Q686" s="7" t="inlineStr">
        <is>
          <t>PETAQ</t>
        </is>
      </c>
      <c r="R686" s="7" t="inlineStr">
        <is>
          <t>Concluído Campo</t>
        </is>
      </c>
      <c r="S686" s="7" t="inlineStr"/>
      <c r="T686" s="10" t="inlineStr"/>
      <c r="U686" s="7" t="inlineStr"/>
      <c r="V686" s="7" t="inlineStr"/>
      <c r="W686" s="7" t="inlineStr"/>
      <c r="X686" s="7" t="inlineStr">
        <is>
          <t>AG. MEDIÇÃO</t>
        </is>
      </c>
      <c r="Y686" s="11">
        <f>IF(AND(L686&lt;&gt;"", S686&lt;&gt;""), S686-L686, IF(L686&lt;&gt;"", TODAY()-L686, ""))</f>
        <v/>
      </c>
      <c r="Z686" s="7">
        <f>IF(Y686="", "", IF(Y686&lt;=3, "NO PRAZO", "ATRASADO"))</f>
        <v/>
      </c>
      <c r="AA686" s="8" t="inlineStr"/>
    </row>
    <row r="687" ht="20" customHeight="1">
      <c r="A687" s="7" t="inlineStr">
        <is>
          <t>RSCLER0685</t>
        </is>
      </c>
      <c r="B687" s="8" t="inlineStr">
        <is>
          <t>PORTO ALEGRE</t>
        </is>
      </c>
      <c r="C687" s="7" t="inlineStr">
        <is>
          <t>PETAA</t>
        </is>
      </c>
      <c r="D687" s="7" t="inlineStr">
        <is>
          <t>MTSAM</t>
        </is>
      </c>
      <c r="E687" s="7" t="inlineStr">
        <is>
          <t>RSPLE11</t>
        </is>
      </c>
      <c r="F687" s="8" t="inlineStr"/>
      <c r="G687" s="8" t="inlineStr">
        <is>
          <t>AV DR NILO PEÇANHA, 242</t>
        </is>
      </c>
      <c r="H687" s="7" t="inlineStr">
        <is>
          <t>PETAA.171.M020</t>
        </is>
      </c>
      <c r="I687" s="8" t="inlineStr">
        <is>
          <t>COBRAR DENTRO DO NODE MTSAM</t>
        </is>
      </c>
      <c r="J687" s="8" t="inlineStr"/>
      <c r="K687" s="8" t="inlineStr">
        <is>
          <t>CLEVERSON</t>
        </is>
      </c>
      <c r="L687" s="9" t="n">
        <v>45868</v>
      </c>
      <c r="M687" s="7" t="inlineStr"/>
      <c r="N687" s="9" t="n">
        <v>45877</v>
      </c>
      <c r="O687" s="7" t="inlineStr"/>
      <c r="P687" s="7" t="inlineStr">
        <is>
          <t>NÃO PRECISA</t>
        </is>
      </c>
      <c r="Q687" s="7" t="inlineStr">
        <is>
          <t>MTSAM</t>
        </is>
      </c>
      <c r="R687" s="7" t="inlineStr">
        <is>
          <t>Concluído Campo</t>
        </is>
      </c>
      <c r="S687" s="7" t="inlineStr"/>
      <c r="T687" s="10" t="inlineStr"/>
      <c r="U687" s="7" t="inlineStr"/>
      <c r="V687" s="7" t="inlineStr"/>
      <c r="W687" s="7" t="inlineStr"/>
      <c r="X687" s="7" t="inlineStr">
        <is>
          <t>AG. MEDIÇÃO</t>
        </is>
      </c>
      <c r="Y687" s="11">
        <f>IF(AND(L687&lt;&gt;"", S687&lt;&gt;""), S687-L687, IF(L687&lt;&gt;"", TODAY()-L687, ""))</f>
        <v/>
      </c>
      <c r="Z687" s="7">
        <f>IF(Y687="", "", IF(Y687&lt;=3, "NO PRAZO", "ATRASADO"))</f>
        <v/>
      </c>
      <c r="AA687" s="8" t="inlineStr"/>
    </row>
    <row r="688" ht="20" customHeight="1">
      <c r="A688" s="7" t="inlineStr">
        <is>
          <t>RSCLER0686</t>
        </is>
      </c>
      <c r="B688" s="8" t="inlineStr">
        <is>
          <t>PORTO ALEGRE</t>
        </is>
      </c>
      <c r="C688" s="7" t="inlineStr">
        <is>
          <t>PETAA</t>
        </is>
      </c>
      <c r="D688" s="7" t="inlineStr">
        <is>
          <t>MTSAU</t>
        </is>
      </c>
      <c r="E688" s="7" t="inlineStr">
        <is>
          <t>RSPLE11</t>
        </is>
      </c>
      <c r="F688" s="8" t="inlineStr"/>
      <c r="G688" s="8" t="inlineStr">
        <is>
          <t>AV BAGE, 1259</t>
        </is>
      </c>
      <c r="H688" s="7" t="inlineStr">
        <is>
          <t>PETAA.012.M010</t>
        </is>
      </c>
      <c r="I688" s="8" t="inlineStr">
        <is>
          <t>COBRAR DENTRO DO NODE MTSAU</t>
        </is>
      </c>
      <c r="J688" s="8" t="inlineStr"/>
      <c r="K688" s="8" t="inlineStr">
        <is>
          <t>AFONSO</t>
        </is>
      </c>
      <c r="L688" s="9" t="n">
        <v>45868</v>
      </c>
      <c r="M688" s="7" t="inlineStr"/>
      <c r="N688" s="9" t="n">
        <v>45876</v>
      </c>
      <c r="O688" s="7" t="inlineStr"/>
      <c r="P688" s="7" t="inlineStr">
        <is>
          <t>NÃO PRECISA</t>
        </is>
      </c>
      <c r="Q688" s="7" t="inlineStr">
        <is>
          <t>MTSAU</t>
        </is>
      </c>
      <c r="R688" s="7" t="inlineStr">
        <is>
          <t>Concluído Campo</t>
        </is>
      </c>
      <c r="S688" s="9" t="n">
        <v>45922</v>
      </c>
      <c r="T688" s="10" t="inlineStr"/>
      <c r="U688" s="7" t="inlineStr">
        <is>
          <t>4983939</t>
        </is>
      </c>
      <c r="V688" s="7" t="inlineStr">
        <is>
          <t>FINALIZADO</t>
        </is>
      </c>
      <c r="W688" s="7" t="inlineStr"/>
      <c r="X688" s="7" t="inlineStr">
        <is>
          <t>MEDIÇÃO CONCLUÍDA</t>
        </is>
      </c>
      <c r="Y688" s="11">
        <f>IF(AND(L688&lt;&gt;"", S688&lt;&gt;""), S688-L688, IF(L688&lt;&gt;"", TODAY()-L688, ""))</f>
        <v/>
      </c>
      <c r="Z688" s="7">
        <f>IF(Y688="", "", IF(Y688&lt;=3, "NO PRAZO", "ATRASADO"))</f>
        <v/>
      </c>
      <c r="AA688" s="8" t="inlineStr"/>
    </row>
    <row r="689" ht="20" customHeight="1">
      <c r="A689" s="7" t="inlineStr">
        <is>
          <t>RSCLER0687</t>
        </is>
      </c>
      <c r="B689" s="8" t="inlineStr">
        <is>
          <t>PORTO ALEGRE</t>
        </is>
      </c>
      <c r="C689" s="7" t="inlineStr">
        <is>
          <t>PETAA</t>
        </is>
      </c>
      <c r="D689" s="7" t="inlineStr">
        <is>
          <t>MTSAU</t>
        </is>
      </c>
      <c r="E689" s="7" t="inlineStr">
        <is>
          <t>RSPLE11</t>
        </is>
      </c>
      <c r="F689" s="8" t="inlineStr"/>
      <c r="G689" s="8" t="inlineStr">
        <is>
          <t>AV BAGE, 1301,1313,1344</t>
        </is>
      </c>
      <c r="H689" s="7" t="inlineStr">
        <is>
          <t>PETAA.012.M020</t>
        </is>
      </c>
      <c r="I689" s="8" t="inlineStr">
        <is>
          <t>COBRAR DENTRO DO NODE MTSAU</t>
        </is>
      </c>
      <c r="J689" s="8" t="inlineStr"/>
      <c r="K689" s="8" t="inlineStr">
        <is>
          <t>AFONSO</t>
        </is>
      </c>
      <c r="L689" s="9" t="n">
        <v>45868</v>
      </c>
      <c r="M689" s="7" t="inlineStr"/>
      <c r="N689" s="7" t="inlineStr"/>
      <c r="O689" s="9" t="n">
        <v>45874</v>
      </c>
      <c r="P689" s="7" t="inlineStr">
        <is>
          <t>NÃO PRECISA</t>
        </is>
      </c>
      <c r="Q689" s="7" t="inlineStr">
        <is>
          <t>MTSAU</t>
        </is>
      </c>
      <c r="R689" s="7" t="inlineStr">
        <is>
          <t>Concluído Campo</t>
        </is>
      </c>
      <c r="S689" s="7" t="inlineStr"/>
      <c r="T689" s="10" t="inlineStr"/>
      <c r="U689" s="7" t="inlineStr"/>
      <c r="V689" s="7" t="inlineStr"/>
      <c r="W689" s="7" t="inlineStr"/>
      <c r="X689" s="7" t="inlineStr">
        <is>
          <t>AG. MEDIÇÃO</t>
        </is>
      </c>
      <c r="Y689" s="11">
        <f>IF(AND(L689&lt;&gt;"", S689&lt;&gt;""), S689-L689, IF(L689&lt;&gt;"", TODAY()-L689, ""))</f>
        <v/>
      </c>
      <c r="Z689" s="7">
        <f>IF(Y689="", "", IF(Y689&lt;=3, "NO PRAZO", "ATRASADO"))</f>
        <v/>
      </c>
      <c r="AA689" s="8" t="inlineStr"/>
    </row>
    <row r="690" ht="20" customHeight="1">
      <c r="A690" s="7" t="inlineStr">
        <is>
          <t>RSCLER0688</t>
        </is>
      </c>
      <c r="B690" s="8" t="inlineStr">
        <is>
          <t>PORTO ALEGRE</t>
        </is>
      </c>
      <c r="C690" s="7" t="inlineStr">
        <is>
          <t>PETAA</t>
        </is>
      </c>
      <c r="D690" s="7" t="inlineStr">
        <is>
          <t>MTSAU</t>
        </is>
      </c>
      <c r="E690" s="7" t="inlineStr">
        <is>
          <t>RSPLE11</t>
        </is>
      </c>
      <c r="F690" s="8" t="inlineStr"/>
      <c r="G690" s="8" t="inlineStr">
        <is>
          <t>AV BAGE, 1400</t>
        </is>
      </c>
      <c r="H690" s="7" t="inlineStr">
        <is>
          <t>PETAA.012.M030</t>
        </is>
      </c>
      <c r="I690" s="8" t="inlineStr">
        <is>
          <t>COBRAR DENTRO DO NODE MTSAU</t>
        </is>
      </c>
      <c r="J690" s="8" t="inlineStr"/>
      <c r="K690" s="8" t="inlineStr">
        <is>
          <t>AFONSO</t>
        </is>
      </c>
      <c r="L690" s="9" t="n">
        <v>45868</v>
      </c>
      <c r="M690" s="7" t="inlineStr"/>
      <c r="N690" s="7" t="inlineStr"/>
      <c r="O690" s="9" t="n">
        <v>45874</v>
      </c>
      <c r="P690" s="7" t="inlineStr">
        <is>
          <t>NÃO PRECISA</t>
        </is>
      </c>
      <c r="Q690" s="7" t="inlineStr">
        <is>
          <t>MTSAU</t>
        </is>
      </c>
      <c r="R690" s="7" t="inlineStr">
        <is>
          <t>Concluído Campo</t>
        </is>
      </c>
      <c r="S690" s="9" t="n">
        <v>45890</v>
      </c>
      <c r="T690" s="10" t="inlineStr"/>
      <c r="U690" s="7" t="inlineStr">
        <is>
          <t>5058941</t>
        </is>
      </c>
      <c r="V690" s="7" t="inlineStr">
        <is>
          <t>FINALIZADO</t>
        </is>
      </c>
      <c r="W690" s="7" t="inlineStr"/>
      <c r="X690" s="7" t="inlineStr">
        <is>
          <t>MEDIÇÃO CONCLUÍDA</t>
        </is>
      </c>
      <c r="Y690" s="11">
        <f>IF(AND(L690&lt;&gt;"", S690&lt;&gt;""), S690-L690, IF(L690&lt;&gt;"", TODAY()-L690, ""))</f>
        <v/>
      </c>
      <c r="Z690" s="7">
        <f>IF(Y690="", "", IF(Y690&lt;=3, "NO PRAZO", "ATRASADO"))</f>
        <v/>
      </c>
      <c r="AA690" s="8" t="inlineStr"/>
    </row>
    <row r="691" ht="20" customHeight="1">
      <c r="A691" s="7" t="inlineStr">
        <is>
          <t>RSCLER0689</t>
        </is>
      </c>
      <c r="B691" s="8" t="inlineStr">
        <is>
          <t>PORTO ALEGRE</t>
        </is>
      </c>
      <c r="C691" s="7" t="inlineStr">
        <is>
          <t>PETAA</t>
        </is>
      </c>
      <c r="D691" s="7" t="inlineStr">
        <is>
          <t>MTSAU</t>
        </is>
      </c>
      <c r="E691" s="7" t="inlineStr">
        <is>
          <t>RSPLE11</t>
        </is>
      </c>
      <c r="F691" s="8" t="inlineStr"/>
      <c r="G691" s="8" t="inlineStr">
        <is>
          <t>AV LAGEADO, 1233</t>
        </is>
      </c>
      <c r="H691" s="7" t="inlineStr">
        <is>
          <t>PETAA.013.M010</t>
        </is>
      </c>
      <c r="I691" s="8" t="inlineStr">
        <is>
          <t>COBRAR DENTRO DO NODE MTSAU</t>
        </is>
      </c>
      <c r="J691" s="8" t="inlineStr"/>
      <c r="K691" s="8" t="inlineStr">
        <is>
          <t>AFONSO</t>
        </is>
      </c>
      <c r="L691" s="9" t="n">
        <v>45868</v>
      </c>
      <c r="M691" s="7" t="inlineStr"/>
      <c r="N691" s="7" t="inlineStr"/>
      <c r="O691" s="9" t="n">
        <v>45874</v>
      </c>
      <c r="P691" s="7" t="inlineStr">
        <is>
          <t>NÃO PRECISA</t>
        </is>
      </c>
      <c r="Q691" s="7" t="inlineStr">
        <is>
          <t>MTSAU</t>
        </is>
      </c>
      <c r="R691" s="7" t="inlineStr">
        <is>
          <t>Concluído Campo</t>
        </is>
      </c>
      <c r="S691" s="9" t="n">
        <v>45874</v>
      </c>
      <c r="T691" s="10" t="inlineStr"/>
      <c r="U691" s="7" t="inlineStr">
        <is>
          <t>4983985</t>
        </is>
      </c>
      <c r="V691" s="7" t="inlineStr">
        <is>
          <t>FINALIZADO</t>
        </is>
      </c>
      <c r="W691" s="7" t="inlineStr"/>
      <c r="X691" s="7" t="inlineStr">
        <is>
          <t>MEDIÇÃO CONCLUÍDA</t>
        </is>
      </c>
      <c r="Y691" s="11">
        <f>IF(AND(L691&lt;&gt;"", S691&lt;&gt;""), S691-L691, IF(L691&lt;&gt;"", TODAY()-L691, ""))</f>
        <v/>
      </c>
      <c r="Z691" s="7">
        <f>IF(Y691="", "", IF(Y691&lt;=3, "NO PRAZO", "ATRASADO"))</f>
        <v/>
      </c>
      <c r="AA691" s="8" t="inlineStr"/>
    </row>
    <row r="692" ht="20" customHeight="1">
      <c r="A692" s="7" t="inlineStr">
        <is>
          <t>RSCLER0690</t>
        </is>
      </c>
      <c r="B692" s="8" t="inlineStr">
        <is>
          <t>PORTO ALEGRE</t>
        </is>
      </c>
      <c r="C692" s="7" t="inlineStr">
        <is>
          <t>PETAA</t>
        </is>
      </c>
      <c r="D692" s="7" t="inlineStr">
        <is>
          <t>MTSAU</t>
        </is>
      </c>
      <c r="E692" s="7" t="inlineStr">
        <is>
          <t>RSPLE11</t>
        </is>
      </c>
      <c r="F692" s="8" t="inlineStr"/>
      <c r="G692" s="8" t="inlineStr">
        <is>
          <t>AV LAGEADO, 1355, 1380</t>
        </is>
      </c>
      <c r="H692" s="7" t="inlineStr">
        <is>
          <t>PETAA.013.M020</t>
        </is>
      </c>
      <c r="I692" s="8" t="inlineStr">
        <is>
          <t>COBRAR DENTRO DO NODE MTSAU</t>
        </is>
      </c>
      <c r="J692" s="8" t="inlineStr"/>
      <c r="K692" s="8" t="inlineStr">
        <is>
          <t>AFONSO</t>
        </is>
      </c>
      <c r="L692" s="9" t="n">
        <v>45868</v>
      </c>
      <c r="M692" s="7" t="inlineStr"/>
      <c r="N692" s="7" t="inlineStr"/>
      <c r="O692" s="9" t="n">
        <v>45874</v>
      </c>
      <c r="P692" s="7" t="inlineStr">
        <is>
          <t>NÃO PRECISA</t>
        </is>
      </c>
      <c r="Q692" s="7" t="inlineStr">
        <is>
          <t>MTSAU</t>
        </is>
      </c>
      <c r="R692" s="7" t="inlineStr">
        <is>
          <t>Concluído Campo</t>
        </is>
      </c>
      <c r="S692" s="9" t="n">
        <v>45888</v>
      </c>
      <c r="T692" s="10" t="inlineStr"/>
      <c r="U692" s="7" t="inlineStr">
        <is>
          <t>4990506</t>
        </is>
      </c>
      <c r="V692" s="7" t="inlineStr">
        <is>
          <t>FINALIZADO</t>
        </is>
      </c>
      <c r="W692" s="7" t="inlineStr"/>
      <c r="X692" s="7" t="inlineStr">
        <is>
          <t>MEDIÇÃO CONCLUÍDA</t>
        </is>
      </c>
      <c r="Y692" s="11">
        <f>IF(AND(L692&lt;&gt;"", S692&lt;&gt;""), S692-L692, IF(L692&lt;&gt;"", TODAY()-L692, ""))</f>
        <v/>
      </c>
      <c r="Z692" s="7">
        <f>IF(Y692="", "", IF(Y692&lt;=3, "NO PRAZO", "ATRASADO"))</f>
        <v/>
      </c>
      <c r="AA692" s="8" t="inlineStr"/>
    </row>
    <row r="693" ht="20" customHeight="1">
      <c r="A693" s="7" t="inlineStr">
        <is>
          <t>RSCLER0691</t>
        </is>
      </c>
      <c r="B693" s="8" t="inlineStr">
        <is>
          <t>PORTO ALEGRE</t>
        </is>
      </c>
      <c r="C693" s="7" t="inlineStr">
        <is>
          <t>BFMAA</t>
        </is>
      </c>
      <c r="D693" s="7" t="inlineStr">
        <is>
          <t>RBRAI</t>
        </is>
      </c>
      <c r="E693" s="7" t="inlineStr">
        <is>
          <t>PAE IND</t>
        </is>
      </c>
      <c r="F693" s="8" t="inlineStr"/>
      <c r="G693" s="8" t="inlineStr">
        <is>
          <t>RUA CASTRO ALVES, 312</t>
        </is>
      </c>
      <c r="H693" s="7" t="inlineStr">
        <is>
          <t>BFMAA.183.M010</t>
        </is>
      </c>
      <c r="I693" s="8" t="inlineStr">
        <is>
          <t>COBRAR DENTRO DO NODE RBRAI</t>
        </is>
      </c>
      <c r="J693" s="8" t="inlineStr"/>
      <c r="K693" s="8" t="inlineStr">
        <is>
          <t>MARCOS EMILIANO</t>
        </is>
      </c>
      <c r="L693" s="9" t="n">
        <v>45868</v>
      </c>
      <c r="M693" s="7" t="inlineStr"/>
      <c r="N693" s="9" t="n">
        <v>45878</v>
      </c>
      <c r="O693" s="9" t="n">
        <v>45879</v>
      </c>
      <c r="P693" s="9" t="n">
        <v>45883</v>
      </c>
      <c r="Q693" s="7" t="inlineStr">
        <is>
          <t>RBRAI</t>
        </is>
      </c>
      <c r="R693" s="7" t="inlineStr">
        <is>
          <t>Concluído Campo</t>
        </is>
      </c>
      <c r="S693" s="7" t="inlineStr"/>
      <c r="T693" s="10" t="inlineStr"/>
      <c r="U693" s="7" t="inlineStr"/>
      <c r="V693" s="7" t="inlineStr"/>
      <c r="W693" s="7" t="inlineStr"/>
      <c r="X693" s="7" t="inlineStr">
        <is>
          <t>AG. MEDIÇÃO</t>
        </is>
      </c>
      <c r="Y693" s="11">
        <f>IF(AND(L693&lt;&gt;"", S693&lt;&gt;""), S693-L693, IF(L693&lt;&gt;"", TODAY()-L693, ""))</f>
        <v/>
      </c>
      <c r="Z693" s="7">
        <f>IF(Y693="", "", IF(Y693&lt;=3, "NO PRAZO", "ATRASADO"))</f>
        <v/>
      </c>
      <c r="AA693" s="8" t="inlineStr"/>
    </row>
    <row r="694" ht="20" customHeight="1">
      <c r="A694" s="7" t="inlineStr">
        <is>
          <t>RSCLER0692</t>
        </is>
      </c>
      <c r="B694" s="8" t="inlineStr">
        <is>
          <t>PORTO ALEGRE</t>
        </is>
      </c>
      <c r="C694" s="7" t="inlineStr">
        <is>
          <t>TRLAA</t>
        </is>
      </c>
      <c r="D694" s="7" t="inlineStr">
        <is>
          <t>TRLAC</t>
        </is>
      </c>
      <c r="E694" s="7" t="inlineStr">
        <is>
          <t>PAE HZS</t>
        </is>
      </c>
      <c r="F694" s="8" t="inlineStr"/>
      <c r="G694" s="8" t="inlineStr">
        <is>
          <t>PRAÇA SÃO CAETANO, 90</t>
        </is>
      </c>
      <c r="H694" s="7" t="inlineStr">
        <is>
          <t>TRLAA.211.M010</t>
        </is>
      </c>
      <c r="I694" s="8" t="inlineStr">
        <is>
          <t>COBRAR DENTRO DO NODE TRLAC</t>
        </is>
      </c>
      <c r="J694" s="8" t="inlineStr"/>
      <c r="K694" s="8" t="inlineStr"/>
      <c r="L694" s="9" t="n">
        <v>45868</v>
      </c>
      <c r="M694" s="7" t="inlineStr"/>
      <c r="N694" s="9" t="n">
        <v>45881</v>
      </c>
      <c r="O694" s="7" t="inlineStr"/>
      <c r="P694" s="9" t="n">
        <v>45885</v>
      </c>
      <c r="Q694" s="7" t="inlineStr">
        <is>
          <t>TRLAC</t>
        </is>
      </c>
      <c r="R694" s="7" t="inlineStr">
        <is>
          <t>Concluído Campo</t>
        </is>
      </c>
      <c r="S694" s="9" t="n">
        <v>45889</v>
      </c>
      <c r="T694" s="10" t="inlineStr"/>
      <c r="U694" s="7" t="inlineStr">
        <is>
          <t>4990486</t>
        </is>
      </c>
      <c r="V694" s="7" t="inlineStr">
        <is>
          <t>FINALIZADO</t>
        </is>
      </c>
      <c r="W694" s="7" t="inlineStr"/>
      <c r="X694" s="7" t="inlineStr">
        <is>
          <t>MEDIÇÃO CONCLUÍDA</t>
        </is>
      </c>
      <c r="Y694" s="11">
        <f>IF(AND(L694&lt;&gt;"", S694&lt;&gt;""), S694-L694, IF(L694&lt;&gt;"", TODAY()-L694, ""))</f>
        <v/>
      </c>
      <c r="Z694" s="7">
        <f>IF(Y694="", "", IF(Y694&lt;=3, "NO PRAZO", "ATRASADO"))</f>
        <v/>
      </c>
      <c r="AA694" s="8" t="inlineStr"/>
    </row>
    <row r="695" ht="20" customHeight="1">
      <c r="A695" s="7" t="inlineStr">
        <is>
          <t>RSCLER0693</t>
        </is>
      </c>
      <c r="B695" s="8" t="inlineStr">
        <is>
          <t>PORTO ALEGRE</t>
        </is>
      </c>
      <c r="C695" s="7" t="inlineStr">
        <is>
          <t>FLOAA</t>
        </is>
      </c>
      <c r="D695" s="7" t="inlineStr">
        <is>
          <t>FLOAEA</t>
        </is>
      </c>
      <c r="E695" s="7" t="inlineStr">
        <is>
          <t>RSPNO11</t>
        </is>
      </c>
      <c r="F695" s="8" t="inlineStr"/>
      <c r="G695" s="8" t="inlineStr">
        <is>
          <t>RUA MARQUES DO HERVAL, 600</t>
        </is>
      </c>
      <c r="H695" s="7" t="inlineStr">
        <is>
          <t>FLOAA.044.M010</t>
        </is>
      </c>
      <c r="I695" s="8" t="inlineStr">
        <is>
          <t>COBRAR DENTRO DO NODE FLOAEA</t>
        </is>
      </c>
      <c r="J695" s="8" t="inlineStr"/>
      <c r="K695" s="8" t="inlineStr">
        <is>
          <t>GILSON</t>
        </is>
      </c>
      <c r="L695" s="9" t="n">
        <v>45868</v>
      </c>
      <c r="M695" s="7" t="inlineStr"/>
      <c r="N695" s="9" t="n">
        <v>45877</v>
      </c>
      <c r="O695" s="7" t="inlineStr"/>
      <c r="P695" s="9" t="n">
        <v>45882</v>
      </c>
      <c r="Q695" s="7" t="inlineStr">
        <is>
          <t>FLOAEA F2</t>
        </is>
      </c>
      <c r="R695" s="7" t="inlineStr">
        <is>
          <t>Concluído Campo</t>
        </is>
      </c>
      <c r="S695" s="7" t="inlineStr"/>
      <c r="T695" s="10" t="inlineStr"/>
      <c r="U695" s="7" t="inlineStr"/>
      <c r="V695" s="7" t="inlineStr"/>
      <c r="W695" s="7" t="inlineStr"/>
      <c r="X695" s="7" t="inlineStr">
        <is>
          <t>AG. MEDIÇÃO</t>
        </is>
      </c>
      <c r="Y695" s="11">
        <f>IF(AND(L695&lt;&gt;"", S695&lt;&gt;""), S695-L695, IF(L695&lt;&gt;"", TODAY()-L695, ""))</f>
        <v/>
      </c>
      <c r="Z695" s="7">
        <f>IF(Y695="", "", IF(Y695&lt;=3, "NO PRAZO", "ATRASADO"))</f>
        <v/>
      </c>
      <c r="AA695" s="8" t="inlineStr"/>
    </row>
    <row r="696" ht="20" customHeight="1">
      <c r="A696" s="7" t="inlineStr">
        <is>
          <t>RSCLER0694</t>
        </is>
      </c>
      <c r="B696" s="8" t="inlineStr">
        <is>
          <t>PORTO ALEGRE</t>
        </is>
      </c>
      <c r="C696" s="7" t="inlineStr">
        <is>
          <t>PETAA</t>
        </is>
      </c>
      <c r="D696" s="7" t="inlineStr">
        <is>
          <t>MTSAU</t>
        </is>
      </c>
      <c r="E696" s="7" t="inlineStr">
        <is>
          <t>RSPLE11</t>
        </is>
      </c>
      <c r="F696" s="8" t="inlineStr"/>
      <c r="G696" s="8" t="inlineStr">
        <is>
          <t>RUA CARVALHO MONTEIRO, 68</t>
        </is>
      </c>
      <c r="H696" s="7" t="inlineStr">
        <is>
          <t>PETAA.014.M020</t>
        </is>
      </c>
      <c r="I696" s="8" t="inlineStr">
        <is>
          <t>COBRAR DENTRO DO NODE MTSAU</t>
        </is>
      </c>
      <c r="J696" s="8" t="inlineStr"/>
      <c r="K696" s="8" t="inlineStr">
        <is>
          <t>DIOGO</t>
        </is>
      </c>
      <c r="L696" s="7" t="inlineStr"/>
      <c r="M696" s="7" t="inlineStr"/>
      <c r="N696" s="7" t="inlineStr"/>
      <c r="O696" s="9" t="n">
        <v>45874</v>
      </c>
      <c r="P696" s="7" t="inlineStr">
        <is>
          <t>NÃO PRECISA</t>
        </is>
      </c>
      <c r="Q696" s="7" t="inlineStr">
        <is>
          <t>MTSAU</t>
        </is>
      </c>
      <c r="R696" s="7" t="inlineStr">
        <is>
          <t>Concluído Campo</t>
        </is>
      </c>
      <c r="S696" s="7" t="inlineStr"/>
      <c r="T696" s="10" t="inlineStr"/>
      <c r="U696" s="7" t="inlineStr"/>
      <c r="V696" s="7" t="inlineStr"/>
      <c r="W696" s="7" t="inlineStr"/>
      <c r="X696" s="7" t="inlineStr">
        <is>
          <t>AG. MEDIÇÃO</t>
        </is>
      </c>
      <c r="Y696" s="11">
        <f>IF(AND(L696&lt;&gt;"", S696&lt;&gt;""), S696-L696, IF(L696&lt;&gt;"", TODAY()-L696, ""))</f>
        <v/>
      </c>
      <c r="Z696" s="7">
        <f>IF(Y696="", "", IF(Y696&lt;=3, "NO PRAZO", "ATRASADO"))</f>
        <v/>
      </c>
      <c r="AA696" s="8" t="inlineStr">
        <is>
          <t>100% - OK</t>
        </is>
      </c>
    </row>
    <row r="697" ht="20" customHeight="1">
      <c r="A697" s="7" t="inlineStr">
        <is>
          <t>RSCLER0695</t>
        </is>
      </c>
      <c r="B697" s="8" t="inlineStr">
        <is>
          <t>TORRES</t>
        </is>
      </c>
      <c r="C697" s="7" t="inlineStr">
        <is>
          <t>CNT</t>
        </is>
      </c>
      <c r="D697" s="7" t="inlineStr"/>
      <c r="E697" s="7" t="inlineStr"/>
      <c r="F697" s="8" t="inlineStr"/>
      <c r="G697" s="8" t="inlineStr">
        <is>
          <t>R ALEXANDRINO DE ALENCAR, 485</t>
        </is>
      </c>
      <c r="H697" s="7" t="inlineStr">
        <is>
          <t>CNT22-M6</t>
        </is>
      </c>
      <c r="I697" s="8" t="inlineStr">
        <is>
          <t>FOI LANÇADO 339 METROS DE CABO DE 12FO, 11 ABERTURA E FECHAMENTO, 11 FUSÕES, 1 CX NOVA, 1 DERIVAÇÃO, 1 TESTE</t>
        </is>
      </c>
      <c r="J697" s="8" t="inlineStr">
        <is>
          <t>ALAN GALVÃO</t>
        </is>
      </c>
      <c r="K697" s="8" t="inlineStr">
        <is>
          <t>MAQUENZE</t>
        </is>
      </c>
      <c r="L697" s="9" t="n">
        <v>45870</v>
      </c>
      <c r="M697" s="7" t="inlineStr"/>
      <c r="N697" s="7" t="inlineStr"/>
      <c r="O697" s="9" t="n">
        <v>45918</v>
      </c>
      <c r="P697" s="9" t="n">
        <v>45918</v>
      </c>
      <c r="Q697" s="9" t="n">
        <v>45918</v>
      </c>
      <c r="R697" s="7" t="inlineStr">
        <is>
          <t>Concluído Campo</t>
        </is>
      </c>
      <c r="S697" s="7" t="inlineStr"/>
      <c r="T697" s="10" t="inlineStr"/>
      <c r="U697" s="7" t="inlineStr"/>
      <c r="V697" s="7" t="inlineStr"/>
      <c r="W697" s="7" t="inlineStr"/>
      <c r="X697" s="7" t="inlineStr">
        <is>
          <t>AG. MEDIÇÃO</t>
        </is>
      </c>
      <c r="Y697" s="11">
        <f>IF(AND(L697&lt;&gt;"", S697&lt;&gt;""), S697-L697, IF(L697&lt;&gt;"", TODAY()-L697, ""))</f>
        <v/>
      </c>
      <c r="Z697" s="7">
        <f>IF(Y697="", "", IF(Y697&lt;=3, "NO PRAZO", "ATRASADO"))</f>
        <v/>
      </c>
      <c r="AA697" s="8" t="inlineStr"/>
    </row>
    <row r="698" ht="20" customHeight="1">
      <c r="A698" s="7" t="inlineStr">
        <is>
          <t>RSCLER0696</t>
        </is>
      </c>
      <c r="B698" s="8" t="inlineStr">
        <is>
          <t>PORTO ALEGRE</t>
        </is>
      </c>
      <c r="C698" s="7" t="inlineStr">
        <is>
          <t>HMTAA</t>
        </is>
      </c>
      <c r="D698" s="7" t="inlineStr"/>
      <c r="E698" s="7" t="inlineStr"/>
      <c r="F698" s="8" t="inlineStr">
        <is>
          <t>Instituto Caldeira</t>
        </is>
      </c>
      <c r="G698" s="8" t="inlineStr"/>
      <c r="H698" s="7" t="inlineStr">
        <is>
          <t>HMTAA.035.M020</t>
        </is>
      </c>
      <c r="I698" s="8" t="inlineStr"/>
      <c r="J698" s="8" t="inlineStr"/>
      <c r="K698" s="8" t="inlineStr"/>
      <c r="L698" s="9" t="n">
        <v>45870</v>
      </c>
      <c r="M698" s="7" t="inlineStr"/>
      <c r="N698" s="7" t="inlineStr"/>
      <c r="O698" s="7" t="inlineStr">
        <is>
          <t>CANCELADO</t>
        </is>
      </c>
      <c r="P698" s="7" t="inlineStr">
        <is>
          <t>Não Precisa</t>
        </is>
      </c>
      <c r="Q698" s="7" t="inlineStr"/>
      <c r="R698" s="7" t="inlineStr">
        <is>
          <t>Cancelado</t>
        </is>
      </c>
      <c r="S698" s="9" t="n">
        <v>45904</v>
      </c>
      <c r="T698" s="10" t="inlineStr"/>
      <c r="U698" s="7" t="inlineStr">
        <is>
          <t>4984580</t>
        </is>
      </c>
      <c r="V698" s="7" t="inlineStr">
        <is>
          <t>FINALIZADO</t>
        </is>
      </c>
      <c r="W698" s="7" t="inlineStr"/>
      <c r="X698" s="7" t="inlineStr">
        <is>
          <t>MEDIÇÃO CONCLUÍDA</t>
        </is>
      </c>
      <c r="Y698" s="11">
        <f>IF(AND(L698&lt;&gt;"", S698&lt;&gt;""), S698-L698, IF(L698&lt;&gt;"", TODAY()-L698, ""))</f>
        <v/>
      </c>
      <c r="Z698" s="7">
        <f>IF(Y698="", "", IF(Y698&lt;=3, "NO PRAZO", "ATRASADO"))</f>
        <v/>
      </c>
      <c r="AA698" s="8" t="inlineStr"/>
    </row>
    <row r="699" ht="20" customHeight="1">
      <c r="A699" s="7" t="inlineStr">
        <is>
          <t>RSCLER0697</t>
        </is>
      </c>
      <c r="B699" s="8" t="inlineStr">
        <is>
          <t>PORTO ALEGRE</t>
        </is>
      </c>
      <c r="C699" s="7" t="inlineStr">
        <is>
          <t>BFMAA</t>
        </is>
      </c>
      <c r="D699" s="7" t="inlineStr">
        <is>
          <t>RBRAFA</t>
        </is>
      </c>
      <c r="E699" s="7" t="inlineStr">
        <is>
          <t>PAE IND</t>
        </is>
      </c>
      <c r="F699" s="8" t="inlineStr"/>
      <c r="G699" s="8" t="inlineStr">
        <is>
          <t>AV INDEPENDENCIA, 1299</t>
        </is>
      </c>
      <c r="H699" s="7" t="inlineStr">
        <is>
          <t>BFMAA.092M010</t>
        </is>
      </c>
      <c r="I699" s="8" t="inlineStr">
        <is>
          <t>2 ABERTURA E FECHAMENTO, 3 FUSÕES</t>
        </is>
      </c>
      <c r="J699" s="8" t="inlineStr"/>
      <c r="K699" s="8" t="inlineStr">
        <is>
          <t>CATIA</t>
        </is>
      </c>
      <c r="L699" s="9" t="n">
        <v>45887</v>
      </c>
      <c r="M699" s="7" t="inlineStr"/>
      <c r="N699" s="7" t="inlineStr"/>
      <c r="O699" s="9" t="n">
        <v>45887</v>
      </c>
      <c r="P699" s="7" t="inlineStr">
        <is>
          <t>NÃO PRECISA</t>
        </is>
      </c>
      <c r="Q699" s="9" t="n">
        <v>45887</v>
      </c>
      <c r="R699" s="7" t="inlineStr">
        <is>
          <t>Concluído Campo</t>
        </is>
      </c>
      <c r="S699" s="7" t="inlineStr"/>
      <c r="T699" s="10" t="inlineStr"/>
      <c r="U699" s="7" t="inlineStr"/>
      <c r="V699" s="7" t="inlineStr"/>
      <c r="W699" s="7" t="inlineStr"/>
      <c r="X699" s="7" t="inlineStr">
        <is>
          <t>AG. MEDIÇÃO</t>
        </is>
      </c>
      <c r="Y699" s="11">
        <f>IF(AND(L699&lt;&gt;"", S699&lt;&gt;""), S699-L699, IF(L699&lt;&gt;"", TODAY()-L699, ""))</f>
        <v/>
      </c>
      <c r="Z699" s="7">
        <f>IF(Y699="", "", IF(Y699&lt;=3, "NO PRAZO", "ATRASADO"))</f>
        <v/>
      </c>
      <c r="AA699" s="8" t="inlineStr"/>
    </row>
    <row r="700" ht="20" customHeight="1">
      <c r="A700" s="7" t="inlineStr">
        <is>
          <t>RSCLER0698</t>
        </is>
      </c>
      <c r="B700" s="8" t="inlineStr">
        <is>
          <t>PORTO ALEGRE</t>
        </is>
      </c>
      <c r="C700" s="7" t="inlineStr">
        <is>
          <t>MTSAA</t>
        </is>
      </c>
      <c r="D700" s="7" t="inlineStr">
        <is>
          <t>MTSARA</t>
        </is>
      </c>
      <c r="E700" s="7" t="inlineStr">
        <is>
          <t>PAE BV</t>
        </is>
      </c>
      <c r="F700" s="8" t="inlineStr">
        <is>
          <t>Ed. freire 342</t>
        </is>
      </c>
      <c r="G700" s="8" t="inlineStr">
        <is>
          <t>R. Dr. Freire Alemão, 342 (NOVA ATUALIZAÇÃO)</t>
        </is>
      </c>
      <c r="H700" s="7" t="inlineStr">
        <is>
          <t>MTSAA.111.M010.</t>
        </is>
      </c>
      <c r="I700" s="8" t="inlineStr">
        <is>
          <t>FOI LANÇADO 15 METROS DE CABO DE 12FO, 3 ABERTURA E FECHAMENTO, 3 FUSÕES, 1 TESTE</t>
        </is>
      </c>
      <c r="J700" s="8" t="inlineStr">
        <is>
          <t>DIOGO</t>
        </is>
      </c>
      <c r="K700" s="8" t="inlineStr">
        <is>
          <t>DIOGO</t>
        </is>
      </c>
      <c r="L700" s="9" t="n">
        <v>45874</v>
      </c>
      <c r="M700" s="9" t="n">
        <v>45875</v>
      </c>
      <c r="N700" s="9" t="n">
        <v>45876</v>
      </c>
      <c r="O700" s="9" t="n">
        <v>45875</v>
      </c>
      <c r="P700" s="9" t="n">
        <v>45881</v>
      </c>
      <c r="Q700" s="9" t="n">
        <v>45881</v>
      </c>
      <c r="R700" s="7" t="inlineStr">
        <is>
          <t>Concluído Campo</t>
        </is>
      </c>
      <c r="S700" s="9" t="n">
        <v>45904</v>
      </c>
      <c r="T700" s="10" t="inlineStr"/>
      <c r="U700" s="7" t="inlineStr">
        <is>
          <t>4986252</t>
        </is>
      </c>
      <c r="V700" s="7" t="inlineStr">
        <is>
          <t>FINALIZADO</t>
        </is>
      </c>
      <c r="W700" s="7" t="inlineStr"/>
      <c r="X700" s="7" t="inlineStr">
        <is>
          <t>MEDIÇÃO CONCLUÍDA</t>
        </is>
      </c>
      <c r="Y700" s="11">
        <f>IF(AND(L700&lt;&gt;"", S700&lt;&gt;""), S700-L700, IF(L700&lt;&gt;"", TODAY()-L700, ""))</f>
        <v/>
      </c>
      <c r="Z700" s="7">
        <f>IF(Y700="", "", IF(Y700&lt;=3, "NO PRAZO", "ATRASADO"))</f>
        <v/>
      </c>
      <c r="AA700" s="8" t="inlineStr">
        <is>
          <t>100% - OK</t>
        </is>
      </c>
    </row>
    <row r="701" ht="20" customHeight="1">
      <c r="A701" s="7" t="inlineStr">
        <is>
          <t>RSCLER0699</t>
        </is>
      </c>
      <c r="B701" s="8" t="inlineStr">
        <is>
          <t>PORTO ALEGRE</t>
        </is>
      </c>
      <c r="C701" s="7" t="inlineStr">
        <is>
          <t>CMQAA</t>
        </is>
      </c>
      <c r="D701" s="7" t="inlineStr"/>
      <c r="E701" s="7" t="inlineStr">
        <is>
          <t>RSPSU87</t>
        </is>
      </c>
      <c r="F701" s="8" t="inlineStr">
        <is>
          <t>PATMOS</t>
        </is>
      </c>
      <c r="G701" s="8" t="inlineStr">
        <is>
          <t>R DR PEREIRA NETO 715</t>
        </is>
      </c>
      <c r="H701" s="7" t="inlineStr">
        <is>
          <t>CMQAA.142.M030</t>
        </is>
      </c>
      <c r="I701" s="8" t="inlineStr">
        <is>
          <t>4 ABERTURA E FECHAMENTO, 3 FUSÕES, 1 TESTE</t>
        </is>
      </c>
      <c r="J701" s="8" t="inlineStr"/>
      <c r="K701" s="8" t="inlineStr">
        <is>
          <t>DIOGO</t>
        </is>
      </c>
      <c r="L701" s="9" t="n">
        <v>45877</v>
      </c>
      <c r="M701" s="7" t="inlineStr"/>
      <c r="N701" s="7" t="inlineStr"/>
      <c r="O701" s="9" t="n">
        <v>45888</v>
      </c>
      <c r="P701" s="9" t="n">
        <v>45888</v>
      </c>
      <c r="Q701" s="9" t="n">
        <v>45888</v>
      </c>
      <c r="R701" s="7" t="inlineStr">
        <is>
          <t>Concluído Campo</t>
        </is>
      </c>
      <c r="S701" s="9" t="n">
        <v>45901</v>
      </c>
      <c r="T701" s="10" t="inlineStr"/>
      <c r="U701" s="7" t="inlineStr">
        <is>
          <t>4984528</t>
        </is>
      </c>
      <c r="V701" s="7" t="inlineStr">
        <is>
          <t>FINALIZADO</t>
        </is>
      </c>
      <c r="W701" s="7" t="inlineStr"/>
      <c r="X701" s="7" t="inlineStr">
        <is>
          <t>MEDIÇÃO CONCLUÍDA</t>
        </is>
      </c>
      <c r="Y701" s="11">
        <f>IF(AND(L701&lt;&gt;"", S701&lt;&gt;""), S701-L701, IF(L701&lt;&gt;"", TODAY()-L701, ""))</f>
        <v/>
      </c>
      <c r="Z701" s="7">
        <f>IF(Y701="", "", IF(Y701&lt;=3, "NO PRAZO", "ATRASADO"))</f>
        <v/>
      </c>
      <c r="AA701" s="8" t="inlineStr">
        <is>
          <t>100% - OK</t>
        </is>
      </c>
    </row>
    <row r="702" ht="20" customHeight="1">
      <c r="A702" s="7" t="inlineStr">
        <is>
          <t>RSCLER0700</t>
        </is>
      </c>
      <c r="B702" s="8" t="inlineStr">
        <is>
          <t>PORTO ALEGRE</t>
        </is>
      </c>
      <c r="C702" s="7" t="inlineStr">
        <is>
          <t>PRTAA</t>
        </is>
      </c>
      <c r="D702" s="7" t="inlineStr">
        <is>
          <t>PRTAP</t>
        </is>
      </c>
      <c r="E702" s="7" t="inlineStr">
        <is>
          <t>RSPLE26</t>
        </is>
      </c>
      <c r="F702" s="8" t="inlineStr"/>
      <c r="G702" s="8" t="inlineStr">
        <is>
          <t>R DOS BURGUESES 255</t>
        </is>
      </c>
      <c r="H702" s="7" t="inlineStr">
        <is>
          <t>PRTAA.031.M020</t>
        </is>
      </c>
      <c r="I702" s="8" t="inlineStr">
        <is>
          <t>COBRAR DENTRO DO NODE PRTAP</t>
        </is>
      </c>
      <c r="J702" s="8" t="inlineStr">
        <is>
          <t>LUIS FELIPE</t>
        </is>
      </c>
      <c r="K702" s="8" t="inlineStr">
        <is>
          <t>CLEVERSON</t>
        </is>
      </c>
      <c r="L702" s="7" t="inlineStr"/>
      <c r="M702" s="7" t="inlineStr"/>
      <c r="N702" s="7" t="inlineStr"/>
      <c r="O702" s="7" t="inlineStr"/>
      <c r="P702" s="7" t="inlineStr">
        <is>
          <t>NÃO PRECISA</t>
        </is>
      </c>
      <c r="Q702" s="7" t="inlineStr">
        <is>
          <t>PRTAP</t>
        </is>
      </c>
      <c r="R702" s="7" t="inlineStr">
        <is>
          <t>Concluído Campo</t>
        </is>
      </c>
      <c r="S702" s="9" t="n">
        <v>45901</v>
      </c>
      <c r="T702" s="10" t="inlineStr"/>
      <c r="U702" s="7" t="inlineStr">
        <is>
          <t>4984021</t>
        </is>
      </c>
      <c r="V702" s="7" t="inlineStr">
        <is>
          <t>FINALIZADO</t>
        </is>
      </c>
      <c r="W702" s="7" t="inlineStr"/>
      <c r="X702" s="7" t="inlineStr">
        <is>
          <t>MEDIÇÃO CONCLUÍDA</t>
        </is>
      </c>
      <c r="Y702" s="11">
        <f>IF(AND(L702&lt;&gt;"", S702&lt;&gt;""), S702-L702, IF(L702&lt;&gt;"", TODAY()-L702, ""))</f>
        <v/>
      </c>
      <c r="Z702" s="7">
        <f>IF(Y702="", "", IF(Y702&lt;=3, "NO PRAZO", "ATRASADO"))</f>
        <v/>
      </c>
      <c r="AA702" s="8" t="inlineStr"/>
    </row>
    <row r="703" ht="20" customHeight="1">
      <c r="A703" s="7" t="inlineStr">
        <is>
          <t>RSCLER0701</t>
        </is>
      </c>
      <c r="B703" s="8" t="inlineStr">
        <is>
          <t>PORTO ALEGRE</t>
        </is>
      </c>
      <c r="C703" s="7" t="inlineStr">
        <is>
          <t>CNTAB</t>
        </is>
      </c>
      <c r="D703" s="7" t="inlineStr">
        <is>
          <t>CNTAE</t>
        </is>
      </c>
      <c r="E703" s="7" t="inlineStr">
        <is>
          <t>RSPCE14</t>
        </is>
      </c>
      <c r="F703" s="8" t="inlineStr">
        <is>
          <t>Cond. Edifício Ravena</t>
        </is>
      </c>
      <c r="G703" s="8" t="inlineStr">
        <is>
          <t>Rua Demétrio Ribeiro, 900</t>
        </is>
      </c>
      <c r="H703" s="7" t="inlineStr">
        <is>
          <t>CNTAB.171.M030</t>
        </is>
      </c>
      <c r="I703" s="8" t="inlineStr">
        <is>
          <t>5 ABERTURA E FECHAMENTO, 4 FUSÕES, 1 TESTE E 2 TESTE OTDR.</t>
        </is>
      </c>
      <c r="J703" s="8" t="inlineStr"/>
      <c r="K703" s="8" t="inlineStr">
        <is>
          <t>DIOGO</t>
        </is>
      </c>
      <c r="L703" s="9" t="n">
        <v>45881</v>
      </c>
      <c r="M703" s="7" t="inlineStr"/>
      <c r="N703" s="7" t="inlineStr"/>
      <c r="O703" s="9" t="n">
        <v>45889</v>
      </c>
      <c r="P703" s="9" t="n">
        <v>45889</v>
      </c>
      <c r="Q703" s="9" t="n">
        <v>45889</v>
      </c>
      <c r="R703" s="7" t="inlineStr">
        <is>
          <t>Concluído Campo</t>
        </is>
      </c>
      <c r="S703" s="7" t="inlineStr"/>
      <c r="T703" s="10" t="inlineStr"/>
      <c r="U703" s="7" t="inlineStr"/>
      <c r="V703" s="7" t="inlineStr"/>
      <c r="W703" s="7" t="inlineStr"/>
      <c r="X703" s="7" t="inlineStr">
        <is>
          <t>AG. MEDIÇÃO</t>
        </is>
      </c>
      <c r="Y703" s="11">
        <f>IF(AND(L703&lt;&gt;"", S703&lt;&gt;""), S703-L703, IF(L703&lt;&gt;"", TODAY()-L703, ""))</f>
        <v/>
      </c>
      <c r="Z703" s="7">
        <f>IF(Y703="", "", IF(Y703&lt;=3, "NO PRAZO", "ATRASADO"))</f>
        <v/>
      </c>
      <c r="AA703" s="8" t="inlineStr">
        <is>
          <t>100% - OK</t>
        </is>
      </c>
    </row>
    <row r="704" ht="20" customHeight="1">
      <c r="A704" s="7" t="inlineStr">
        <is>
          <t>RSCLER0702</t>
        </is>
      </c>
      <c r="B704" s="8" t="inlineStr">
        <is>
          <t>PORTO ALEGRE</t>
        </is>
      </c>
      <c r="C704" s="7" t="inlineStr">
        <is>
          <t>VNVAA</t>
        </is>
      </c>
      <c r="D704" s="7" t="inlineStr"/>
      <c r="E704" s="7" t="inlineStr"/>
      <c r="F704" s="8" t="inlineStr">
        <is>
          <t>Cond Village Center Zona Sul</t>
        </is>
      </c>
      <c r="G704" s="8" t="inlineStr">
        <is>
          <t>Av. da Cavalhada, 4760</t>
        </is>
      </c>
      <c r="H704" s="7" t="inlineStr">
        <is>
          <t>VNVAA.051.01.07</t>
        </is>
      </c>
      <c r="I704" s="8" t="inlineStr">
        <is>
          <t>FOI LANÇADO 206 METROS DE CABO DE 12FO, COBRAE 27 METROS DE CORDOALHA DIELÉTRICA.</t>
        </is>
      </c>
      <c r="J704" s="8" t="inlineStr">
        <is>
          <t>UBIRAJARA</t>
        </is>
      </c>
      <c r="K704" s="8" t="inlineStr">
        <is>
          <t>DIOGO</t>
        </is>
      </c>
      <c r="L704" s="9" t="n">
        <v>45882</v>
      </c>
      <c r="M704" s="7" t="inlineStr"/>
      <c r="N704" s="7" t="inlineStr"/>
      <c r="O704" s="9" t="n">
        <v>45883</v>
      </c>
      <c r="P704" s="7" t="inlineStr">
        <is>
          <t>Não Precisa</t>
        </is>
      </c>
      <c r="Q704" s="7" t="inlineStr"/>
      <c r="R704" s="7" t="inlineStr">
        <is>
          <t>Concluído Campo</t>
        </is>
      </c>
      <c r="S704" s="7" t="inlineStr"/>
      <c r="T704" s="10" t="inlineStr"/>
      <c r="U704" s="7" t="inlineStr"/>
      <c r="V704" s="7" t="inlineStr"/>
      <c r="W704" s="7" t="inlineStr"/>
      <c r="X704" s="7" t="inlineStr">
        <is>
          <t>AG. RELATÓRIO</t>
        </is>
      </c>
      <c r="Y704" s="11">
        <f>IF(AND(L704&lt;&gt;"", S704&lt;&gt;""), S704-L704, IF(L704&lt;&gt;"", TODAY()-L704, ""))</f>
        <v/>
      </c>
      <c r="Z704" s="7">
        <f>IF(Y704="", "", IF(Y704&lt;=3, "NO PRAZO", "ATRASADO"))</f>
        <v/>
      </c>
      <c r="AA704" s="8" t="inlineStr">
        <is>
          <t>100% - OK</t>
        </is>
      </c>
    </row>
    <row r="705" ht="20" customHeight="1">
      <c r="A705" s="7" t="inlineStr">
        <is>
          <t>RSCLER0703</t>
        </is>
      </c>
      <c r="B705" s="8" t="inlineStr">
        <is>
          <t>ESTRELA</t>
        </is>
      </c>
      <c r="C705" s="7" t="inlineStr">
        <is>
          <t>STD</t>
        </is>
      </c>
      <c r="D705" s="7" t="inlineStr"/>
      <c r="E705" s="7" t="inlineStr"/>
      <c r="F705" s="8" t="inlineStr"/>
      <c r="G705" s="8" t="inlineStr">
        <is>
          <t>Rua Dr Tostes, 33</t>
        </is>
      </c>
      <c r="H705" s="7" t="inlineStr">
        <is>
          <t>STD.022.M080</t>
        </is>
      </c>
      <c r="I705" s="8" t="inlineStr">
        <is>
          <t>3 ABERTURAS E FECHAMENTO, 10 FUSÕES, 1 TESTES DE OTDR.</t>
        </is>
      </c>
      <c r="J705" s="8" t="inlineStr"/>
      <c r="K705" s="8" t="inlineStr">
        <is>
          <t>MARCIEL</t>
        </is>
      </c>
      <c r="L705" s="9" t="n">
        <v>45880</v>
      </c>
      <c r="M705" s="7" t="inlineStr"/>
      <c r="N705" s="7" t="inlineStr"/>
      <c r="O705" s="9" t="n">
        <v>45909</v>
      </c>
      <c r="P705" s="7" t="inlineStr">
        <is>
          <t>Não Precisa</t>
        </is>
      </c>
      <c r="Q705" s="7" t="inlineStr"/>
      <c r="R705" s="7" t="inlineStr">
        <is>
          <t>Concluído Campo</t>
        </is>
      </c>
      <c r="S705" s="7" t="inlineStr"/>
      <c r="T705" s="10" t="inlineStr"/>
      <c r="U705" s="7" t="inlineStr"/>
      <c r="V705" s="7" t="inlineStr"/>
      <c r="W705" s="7" t="inlineStr"/>
      <c r="X705" s="7" t="inlineStr">
        <is>
          <t>AG. RELATÓRIO</t>
        </is>
      </c>
      <c r="Y705" s="11">
        <f>IF(AND(L705&lt;&gt;"", S705&lt;&gt;""), S705-L705, IF(L705&lt;&gt;"", TODAY()-L705, ""))</f>
        <v/>
      </c>
      <c r="Z705" s="7">
        <f>IF(Y705="", "", IF(Y705&lt;=3, "NO PRAZO", "ATRASADO"))</f>
        <v/>
      </c>
      <c r="AA705" s="8" t="inlineStr"/>
    </row>
    <row r="706" ht="20" customHeight="1">
      <c r="A706" s="7" t="inlineStr">
        <is>
          <t>RSCLER0704</t>
        </is>
      </c>
      <c r="B706" s="8" t="inlineStr">
        <is>
          <t>ARROIO DO MEIO</t>
        </is>
      </c>
      <c r="C706" s="7" t="inlineStr">
        <is>
          <t>CNT</t>
        </is>
      </c>
      <c r="D706" s="7" t="inlineStr"/>
      <c r="E706" s="7" t="inlineStr"/>
      <c r="F706" s="8" t="inlineStr"/>
      <c r="G706" s="8" t="inlineStr">
        <is>
          <t>RUA JOSÉ ARNOLD, 342</t>
        </is>
      </c>
      <c r="H706" s="7" t="inlineStr">
        <is>
          <t>CNT.020.M020</t>
        </is>
      </c>
      <c r="I706" s="8" t="inlineStr">
        <is>
          <t>3 ABERTURAS E FECHAMENTO, 2 FUSÕES E 1 TESTE</t>
        </is>
      </c>
      <c r="J706" s="8" t="inlineStr"/>
      <c r="K706" s="8" t="inlineStr">
        <is>
          <t>MARCIEL</t>
        </is>
      </c>
      <c r="L706" s="9" t="n">
        <v>45880</v>
      </c>
      <c r="M706" s="7" t="inlineStr"/>
      <c r="N706" s="7" t="inlineStr"/>
      <c r="O706" s="9" t="n">
        <v>45908</v>
      </c>
      <c r="P706" s="9" t="n">
        <v>46011</v>
      </c>
      <c r="Q706" s="9" t="n">
        <v>46011</v>
      </c>
      <c r="R706" s="7" t="inlineStr">
        <is>
          <t>Concluído Campo</t>
        </is>
      </c>
      <c r="S706" s="7" t="inlineStr"/>
      <c r="T706" s="10" t="inlineStr"/>
      <c r="U706" s="7" t="inlineStr"/>
      <c r="V706" s="7" t="inlineStr"/>
      <c r="W706" s="7" t="inlineStr"/>
      <c r="X706" s="7" t="inlineStr">
        <is>
          <t>AG. MEDIÇÃO</t>
        </is>
      </c>
      <c r="Y706" s="11">
        <f>IF(AND(L706&lt;&gt;"", S706&lt;&gt;""), S706-L706, IF(L706&lt;&gt;"", TODAY()-L706, ""))</f>
        <v/>
      </c>
      <c r="Z706" s="7">
        <f>IF(Y706="", "", IF(Y706&lt;=3, "NO PRAZO", "ATRASADO"))</f>
        <v/>
      </c>
      <c r="AA706" s="8" t="inlineStr"/>
    </row>
    <row r="707" ht="20" customHeight="1">
      <c r="A707" s="7" t="inlineStr">
        <is>
          <t>RSCLER0705</t>
        </is>
      </c>
      <c r="B707" s="8" t="inlineStr">
        <is>
          <t>PORTO ALEGRE</t>
        </is>
      </c>
      <c r="C707" s="7" t="inlineStr">
        <is>
          <t>BVSAA</t>
        </is>
      </c>
      <c r="D707" s="7" t="inlineStr">
        <is>
          <t>PDRAD</t>
        </is>
      </c>
      <c r="E707" s="7" t="inlineStr">
        <is>
          <t>RSPLE07</t>
        </is>
      </c>
      <c r="F707" s="8" t="inlineStr">
        <is>
          <t>Plinio Mall</t>
        </is>
      </c>
      <c r="G707" s="8" t="inlineStr">
        <is>
          <t>Av. Plínio Brasil Milano, 1689</t>
        </is>
      </c>
      <c r="H707" s="7" t="inlineStr">
        <is>
          <t>BVSAA.015.M060</t>
        </is>
      </c>
      <c r="I707" s="8" t="inlineStr">
        <is>
          <t>2 ABERTURA E FECHAMENTO, 2 FUSÕES, 2 TESTES</t>
        </is>
      </c>
      <c r="J707" s="8" t="inlineStr"/>
      <c r="K707" s="8" t="inlineStr">
        <is>
          <t>UBIRAJARA</t>
        </is>
      </c>
      <c r="L707" s="9" t="n">
        <v>45889</v>
      </c>
      <c r="M707" s="7" t="inlineStr"/>
      <c r="N707" s="7" t="inlineStr"/>
      <c r="O707" s="9" t="n">
        <v>45904</v>
      </c>
      <c r="P707" s="9" t="n">
        <v>45905</v>
      </c>
      <c r="Q707" s="9" t="n">
        <v>45905</v>
      </c>
      <c r="R707" s="7" t="inlineStr">
        <is>
          <t>Concluído Campo</t>
        </is>
      </c>
      <c r="S707" s="7" t="inlineStr"/>
      <c r="T707" s="10" t="inlineStr"/>
      <c r="U707" s="7" t="inlineStr"/>
      <c r="V707" s="7" t="inlineStr"/>
      <c r="W707" s="7" t="inlineStr"/>
      <c r="X707" s="7" t="inlineStr">
        <is>
          <t>AG. MEDIÇÃO</t>
        </is>
      </c>
      <c r="Y707" s="11">
        <f>IF(AND(L707&lt;&gt;"", S707&lt;&gt;""), S707-L707, IF(L707&lt;&gt;"", TODAY()-L707, ""))</f>
        <v/>
      </c>
      <c r="Z707" s="7">
        <f>IF(Y707="", "", IF(Y707&lt;=3, "NO PRAZO", "ATRASADO"))</f>
        <v/>
      </c>
      <c r="AA707" s="8" t="inlineStr"/>
    </row>
    <row r="708" ht="20" customHeight="1">
      <c r="A708" s="7" t="inlineStr">
        <is>
          <t>RSCLER0706</t>
        </is>
      </c>
      <c r="B708" s="8" t="inlineStr">
        <is>
          <t>PORTO ALEGRE</t>
        </is>
      </c>
      <c r="C708" s="7" t="inlineStr">
        <is>
          <t>SSOAA</t>
        </is>
      </c>
      <c r="D708" s="7" t="inlineStr">
        <is>
          <t>SSOAC</t>
        </is>
      </c>
      <c r="E708" s="7" t="inlineStr">
        <is>
          <t>RSPNO07</t>
        </is>
      </c>
      <c r="F708" s="8" t="inlineStr"/>
      <c r="G708" s="8" t="inlineStr">
        <is>
          <t>Rua Rodolfo Sinch, 320/360</t>
        </is>
      </c>
      <c r="H708" s="7" t="inlineStr">
        <is>
          <t>SSOAA.115.M010</t>
        </is>
      </c>
      <c r="I708" s="8" t="inlineStr">
        <is>
          <t>3 ABERTURA E FECHAMENTO, 9 FUSÕES, 6 TESTES.</t>
        </is>
      </c>
      <c r="J708" s="8" t="inlineStr"/>
      <c r="K708" s="8" t="inlineStr">
        <is>
          <t>DIOGO/ CLEVERSON</t>
        </is>
      </c>
      <c r="L708" s="9" t="n">
        <v>45889</v>
      </c>
      <c r="M708" s="7" t="inlineStr"/>
      <c r="N708" s="7" t="inlineStr"/>
      <c r="O708" s="9" t="n">
        <v>45895</v>
      </c>
      <c r="P708" s="9" t="n">
        <v>46062</v>
      </c>
      <c r="Q708" s="9" t="n">
        <v>46062</v>
      </c>
      <c r="R708" s="7" t="inlineStr">
        <is>
          <t>Concluído Campo</t>
        </is>
      </c>
      <c r="S708" s="9" t="n">
        <v>45895</v>
      </c>
      <c r="T708" s="10" t="inlineStr"/>
      <c r="U708" s="7" t="inlineStr">
        <is>
          <t>5420716</t>
        </is>
      </c>
      <c r="V708" s="7" t="inlineStr">
        <is>
          <t>FINALIZADO</t>
        </is>
      </c>
      <c r="W708" s="7" t="inlineStr"/>
      <c r="X708" s="7" t="inlineStr">
        <is>
          <t>MEDIÇÃO CONCLUÍDA</t>
        </is>
      </c>
      <c r="Y708" s="11">
        <f>IF(AND(L708&lt;&gt;"", S708&lt;&gt;""), S708-L708, IF(L708&lt;&gt;"", TODAY()-L708, ""))</f>
        <v/>
      </c>
      <c r="Z708" s="7">
        <f>IF(Y708="", "", IF(Y708&lt;=3, "NO PRAZO", "ATRASADO"))</f>
        <v/>
      </c>
      <c r="AA708" s="8" t="inlineStr">
        <is>
          <t>100% - OK</t>
        </is>
      </c>
    </row>
    <row r="709" ht="20" customHeight="1">
      <c r="A709" s="7" t="inlineStr">
        <is>
          <t>RSCLER0707</t>
        </is>
      </c>
      <c r="B709" s="8" t="inlineStr">
        <is>
          <t>PORTO ALEGRE</t>
        </is>
      </c>
      <c r="C709" s="7" t="inlineStr">
        <is>
          <t>VIPAA</t>
        </is>
      </c>
      <c r="D709" s="7" t="inlineStr">
        <is>
          <t>SPEADB</t>
        </is>
      </c>
      <c r="E709" s="7" t="inlineStr">
        <is>
          <t>RSPNO19</t>
        </is>
      </c>
      <c r="F709" s="8" t="inlineStr"/>
      <c r="G709" s="8" t="inlineStr">
        <is>
          <t>Rua Alberto Silva, 500</t>
        </is>
      </c>
      <c r="H709" s="7" t="inlineStr">
        <is>
          <t>VIPAA.007.M040</t>
        </is>
      </c>
      <c r="I709" s="8" t="inlineStr">
        <is>
          <t>FOI LANÇADO 307 METROS DE CABO DE 12FO, 10 ABERTURA E FECHAMENTO, 21 FUSÕES, 2 DERIVAÇÕES, 1 CX NOVA, 5 TESTES</t>
        </is>
      </c>
      <c r="J709" s="8" t="inlineStr">
        <is>
          <t>UBIRAJARA</t>
        </is>
      </c>
      <c r="K709" s="8" t="inlineStr">
        <is>
          <t>ANDERSON</t>
        </is>
      </c>
      <c r="L709" s="9" t="n">
        <v>45889</v>
      </c>
      <c r="M709" s="7" t="inlineStr"/>
      <c r="N709" s="7" t="inlineStr"/>
      <c r="O709" s="9" t="n">
        <v>45896</v>
      </c>
      <c r="P709" s="7" t="inlineStr">
        <is>
          <t>NÃO PRECISA</t>
        </is>
      </c>
      <c r="Q709" s="9" t="n">
        <v>45904</v>
      </c>
      <c r="R709" s="7" t="inlineStr">
        <is>
          <t>Concluído Campo</t>
        </is>
      </c>
      <c r="S709" s="7" t="inlineStr"/>
      <c r="T709" s="10" t="inlineStr"/>
      <c r="U709" s="7" t="inlineStr"/>
      <c r="V709" s="7" t="inlineStr"/>
      <c r="W709" s="7" t="inlineStr"/>
      <c r="X709" s="7" t="inlineStr">
        <is>
          <t>AG. MEDIÇÃO</t>
        </is>
      </c>
      <c r="Y709" s="11">
        <f>IF(AND(L709&lt;&gt;"", S709&lt;&gt;""), S709-L709, IF(L709&lt;&gt;"", TODAY()-L709, ""))</f>
        <v/>
      </c>
      <c r="Z709" s="7">
        <f>IF(Y709="", "", IF(Y709&lt;=3, "NO PRAZO", "ATRASADO"))</f>
        <v/>
      </c>
      <c r="AA709" s="8" t="inlineStr"/>
    </row>
    <row r="710" ht="20" customHeight="1">
      <c r="A710" s="7" t="inlineStr">
        <is>
          <t>RSCLER0708</t>
        </is>
      </c>
      <c r="B710" s="8" t="inlineStr">
        <is>
          <t>PORTO ALEGRE</t>
        </is>
      </c>
      <c r="C710" s="7" t="inlineStr">
        <is>
          <t>SANAA</t>
        </is>
      </c>
      <c r="D710" s="7" t="inlineStr">
        <is>
          <t>SANALA</t>
        </is>
      </c>
      <c r="E710" s="7" t="inlineStr">
        <is>
          <t>RSPCE22</t>
        </is>
      </c>
      <c r="F710" s="8" t="inlineStr">
        <is>
          <t>Cond Edifício Residencial Freitas</t>
        </is>
      </c>
      <c r="G710" s="8" t="inlineStr">
        <is>
          <t>Rua Freitas e Castro, 300</t>
        </is>
      </c>
      <c r="H710" s="7" t="inlineStr">
        <is>
          <t>SANAA.083.M020</t>
        </is>
      </c>
      <c r="I710" s="8" t="inlineStr">
        <is>
          <t>2 ABERTURA E FECHAMENTO, 1 FUSÃO, 1 TESTE</t>
        </is>
      </c>
      <c r="J710" s="8" t="inlineStr"/>
      <c r="K710" s="8" t="inlineStr">
        <is>
          <t>DIOGO</t>
        </is>
      </c>
      <c r="L710" s="9" t="n">
        <v>45889</v>
      </c>
      <c r="M710" s="7" t="inlineStr"/>
      <c r="N710" s="7" t="inlineStr"/>
      <c r="O710" s="9" t="n">
        <v>45901</v>
      </c>
      <c r="P710" s="9" t="n">
        <v>45905</v>
      </c>
      <c r="Q710" s="9" t="n">
        <v>45905</v>
      </c>
      <c r="R710" s="7" t="inlineStr">
        <is>
          <t>Concluído Campo</t>
        </is>
      </c>
      <c r="S710" s="7" t="inlineStr"/>
      <c r="T710" s="10" t="inlineStr"/>
      <c r="U710" s="7" t="inlineStr"/>
      <c r="V710" s="7" t="inlineStr"/>
      <c r="W710" s="7" t="inlineStr"/>
      <c r="X710" s="7" t="inlineStr">
        <is>
          <t>AG. MEDIÇÃO</t>
        </is>
      </c>
      <c r="Y710" s="11">
        <f>IF(AND(L710&lt;&gt;"", S710&lt;&gt;""), S710-L710, IF(L710&lt;&gt;"", TODAY()-L710, ""))</f>
        <v/>
      </c>
      <c r="Z710" s="7">
        <f>IF(Y710="", "", IF(Y710&lt;=3, "NO PRAZO", "ATRASADO"))</f>
        <v/>
      </c>
      <c r="AA710" s="8" t="inlineStr">
        <is>
          <t>100% - OK</t>
        </is>
      </c>
    </row>
    <row r="711" ht="20" customHeight="1">
      <c r="A711" s="7" t="inlineStr">
        <is>
          <t>RSCLER0709</t>
        </is>
      </c>
      <c r="B711" s="8" t="inlineStr">
        <is>
          <t>PORTO ALEGRE</t>
        </is>
      </c>
      <c r="C711" s="7" t="inlineStr">
        <is>
          <t>JBOAA</t>
        </is>
      </c>
      <c r="D711" s="7" t="inlineStr">
        <is>
          <t>JBOAG</t>
        </is>
      </c>
      <c r="E711" s="7" t="inlineStr">
        <is>
          <t>RSPLE18</t>
        </is>
      </c>
      <c r="F711" s="8" t="inlineStr"/>
      <c r="G711" s="8" t="inlineStr">
        <is>
          <t>R BUENOS AIRES 402</t>
        </is>
      </c>
      <c r="H711" s="7" t="inlineStr">
        <is>
          <t>JBOAA.021.M020</t>
        </is>
      </c>
      <c r="I711" s="8" t="inlineStr">
        <is>
          <t>2 ABERTURA E FECHAMENTO, 2 FUSÃO, 2 TESTE</t>
        </is>
      </c>
      <c r="J711" s="8" t="inlineStr"/>
      <c r="K711" s="8" t="inlineStr">
        <is>
          <t>DIOGO</t>
        </is>
      </c>
      <c r="L711" s="9" t="n">
        <v>45889</v>
      </c>
      <c r="M711" s="7" t="inlineStr"/>
      <c r="N711" s="7" t="inlineStr"/>
      <c r="O711" s="9" t="n">
        <v>45901</v>
      </c>
      <c r="P711" s="9" t="n">
        <v>45908</v>
      </c>
      <c r="Q711" s="9" t="n">
        <v>45908</v>
      </c>
      <c r="R711" s="7" t="inlineStr">
        <is>
          <t>Concluído Campo</t>
        </is>
      </c>
      <c r="S711" s="7" t="inlineStr"/>
      <c r="T711" s="10" t="inlineStr"/>
      <c r="U711" s="7" t="inlineStr"/>
      <c r="V711" s="7" t="inlineStr"/>
      <c r="W711" s="7" t="inlineStr"/>
      <c r="X711" s="7" t="inlineStr">
        <is>
          <t>AG. MEDIÇÃO</t>
        </is>
      </c>
      <c r="Y711" s="11">
        <f>IF(AND(L711&lt;&gt;"", S711&lt;&gt;""), S711-L711, IF(L711&lt;&gt;"", TODAY()-L711, ""))</f>
        <v/>
      </c>
      <c r="Z711" s="7">
        <f>IF(Y711="", "", IF(Y711&lt;=3, "NO PRAZO", "ATRASADO"))</f>
        <v/>
      </c>
      <c r="AA711" s="8" t="inlineStr">
        <is>
          <t>100% - OK</t>
        </is>
      </c>
    </row>
    <row r="712" ht="20" customHeight="1">
      <c r="A712" s="7" t="inlineStr">
        <is>
          <t>RSCLER0710</t>
        </is>
      </c>
      <c r="B712" s="8" t="inlineStr">
        <is>
          <t>PORTO ALEGRE</t>
        </is>
      </c>
      <c r="C712" s="7" t="inlineStr">
        <is>
          <t>VNVAA</t>
        </is>
      </c>
      <c r="D712" s="7" t="inlineStr">
        <is>
          <t>CMQAQ</t>
        </is>
      </c>
      <c r="E712" s="7" t="inlineStr">
        <is>
          <t>RSPSU13</t>
        </is>
      </c>
      <c r="F712" s="8" t="inlineStr"/>
      <c r="G712" s="8" t="inlineStr">
        <is>
          <t>AV DA CAVALHADA 3156</t>
        </is>
      </c>
      <c r="H712" s="7" t="inlineStr">
        <is>
          <t>VNVAA.026.M050</t>
        </is>
      </c>
      <c r="I712" s="8" t="inlineStr">
        <is>
          <t>FOI LANÇADO 588 METROS DE CABO DE 12FO, FOI LANÇADO 311 DE CABO DE 12FO,  7 ABERTURA E FECHAMENTO, 12 FUSÕES, 2 TESTES, 1 DERIVAÇÃO.</t>
        </is>
      </c>
      <c r="J712" s="8" t="inlineStr">
        <is>
          <t>UBIRAJARA</t>
        </is>
      </c>
      <c r="K712" s="8" t="inlineStr">
        <is>
          <t>DIOGO</t>
        </is>
      </c>
      <c r="L712" s="9" t="n">
        <v>45891</v>
      </c>
      <c r="M712" s="7" t="inlineStr"/>
      <c r="N712" s="7" t="inlineStr"/>
      <c r="O712" s="9" t="n">
        <v>45897</v>
      </c>
      <c r="P712" s="9" t="n">
        <v>46064</v>
      </c>
      <c r="Q712" s="9" t="n">
        <v>46064</v>
      </c>
      <c r="R712" s="7" t="inlineStr">
        <is>
          <t>Concluído Campo</t>
        </is>
      </c>
      <c r="S712" s="9" t="n">
        <v>46262</v>
      </c>
      <c r="T712" s="10" t="inlineStr"/>
      <c r="U712" s="7" t="inlineStr">
        <is>
          <t>5420690</t>
        </is>
      </c>
      <c r="V712" s="7" t="inlineStr">
        <is>
          <t>FINALIZADO</t>
        </is>
      </c>
      <c r="W712" s="7" t="inlineStr"/>
      <c r="X712" s="7" t="inlineStr">
        <is>
          <t>MEDIÇÃO CONCLUÍDA</t>
        </is>
      </c>
      <c r="Y712" s="11">
        <f>IF(AND(L712&lt;&gt;"", S712&lt;&gt;""), S712-L712, IF(L712&lt;&gt;"", TODAY()-L712, ""))</f>
        <v/>
      </c>
      <c r="Z712" s="7">
        <f>IF(Y712="", "", IF(Y712&lt;=3, "NO PRAZO", "ATRASADO"))</f>
        <v/>
      </c>
      <c r="AA712" s="8" t="inlineStr">
        <is>
          <t>100% - OK</t>
        </is>
      </c>
    </row>
    <row r="713" ht="20" customHeight="1">
      <c r="A713" s="7" t="inlineStr">
        <is>
          <t>RSCLER0711</t>
        </is>
      </c>
      <c r="B713" s="8" t="inlineStr">
        <is>
          <t>PORTO ALEGRE</t>
        </is>
      </c>
      <c r="C713" s="7" t="inlineStr">
        <is>
          <t>BVSAB</t>
        </is>
      </c>
      <c r="D713" s="7" t="inlineStr">
        <is>
          <t>BVSAF</t>
        </is>
      </c>
      <c r="E713" s="7" t="inlineStr">
        <is>
          <t>PAE NR</t>
        </is>
      </c>
      <c r="F713" s="8" t="inlineStr"/>
      <c r="G713" s="8" t="inlineStr">
        <is>
          <t>AL RAIMUNDO CORREA, 20</t>
        </is>
      </c>
      <c r="H713" s="7" t="inlineStr">
        <is>
          <t>BVSAB.355.M030</t>
        </is>
      </c>
      <c r="I713" s="8" t="inlineStr">
        <is>
          <t>FOI LANÇADO 357 METROS DE CABO DE 12 FO, 3 ABERTURA E FECHAMENTO, 2 CX NOVA, 101 FUSÕES, 1 DERIVAÇÃO</t>
        </is>
      </c>
      <c r="J713" s="8" t="inlineStr">
        <is>
          <t>UBIRAJARA</t>
        </is>
      </c>
      <c r="K713" s="8" t="inlineStr">
        <is>
          <t>ANDERSON/GILSON/DIOGO</t>
        </is>
      </c>
      <c r="L713" s="9" t="n">
        <v>45890</v>
      </c>
      <c r="M713" s="7" t="inlineStr"/>
      <c r="N713" s="7" t="inlineStr"/>
      <c r="O713" s="9" t="n">
        <v>45891</v>
      </c>
      <c r="P713" s="7" t="inlineStr">
        <is>
          <t>Não Precisa</t>
        </is>
      </c>
      <c r="Q713" s="7" t="inlineStr"/>
      <c r="R713" s="7" t="inlineStr">
        <is>
          <t>Concluído Campo</t>
        </is>
      </c>
      <c r="S713" s="7" t="inlineStr"/>
      <c r="T713" s="10" t="inlineStr"/>
      <c r="U713" s="7" t="inlineStr"/>
      <c r="V713" s="7" t="inlineStr"/>
      <c r="W713" s="7" t="inlineStr"/>
      <c r="X713" s="7" t="inlineStr">
        <is>
          <t>AG. RELATÓRIO</t>
        </is>
      </c>
      <c r="Y713" s="11">
        <f>IF(AND(L713&lt;&gt;"", S713&lt;&gt;""), S713-L713, IF(L713&lt;&gt;"", TODAY()-L713, ""))</f>
        <v/>
      </c>
      <c r="Z713" s="7">
        <f>IF(Y713="", "", IF(Y713&lt;=3, "NO PRAZO", "ATRASADO"))</f>
        <v/>
      </c>
      <c r="AA713" s="8" t="inlineStr"/>
    </row>
    <row r="714" ht="20" customHeight="1">
      <c r="A714" s="7" t="inlineStr">
        <is>
          <t>RSCLER0712</t>
        </is>
      </c>
      <c r="B714" s="8" t="inlineStr">
        <is>
          <t>PORTO ALEGRE</t>
        </is>
      </c>
      <c r="C714" s="7" t="inlineStr">
        <is>
          <t>LPRAA</t>
        </is>
      </c>
      <c r="D714" s="7" t="inlineStr">
        <is>
          <t>AGRAD</t>
        </is>
      </c>
      <c r="E714" s="7" t="inlineStr">
        <is>
          <t>RSPSU98</t>
        </is>
      </c>
      <c r="F714" s="8" t="inlineStr">
        <is>
          <t>Cond. Alto do Bosque</t>
        </is>
      </c>
      <c r="G714" s="8" t="inlineStr">
        <is>
          <t>Estrada João de Oliveira Remião, 1770</t>
        </is>
      </c>
      <c r="H714" s="7" t="inlineStr">
        <is>
          <t>LPRAA.013</t>
        </is>
      </c>
      <c r="I714" s="8" t="inlineStr">
        <is>
          <t>SEM AUTORIZAÇÃO PARA ENTRAR</t>
        </is>
      </c>
      <c r="J714" s="8" t="inlineStr">
        <is>
          <t>AUGUSTO</t>
        </is>
      </c>
      <c r="K714" s="8" t="inlineStr">
        <is>
          <t>AUGUSTO</t>
        </is>
      </c>
      <c r="L714" s="9" t="n">
        <v>45891</v>
      </c>
      <c r="M714" s="7" t="inlineStr"/>
      <c r="N714" s="7" t="inlineStr"/>
      <c r="O714" s="7" t="inlineStr">
        <is>
          <t>CANCELADO</t>
        </is>
      </c>
      <c r="P714" s="7" t="inlineStr">
        <is>
          <t>Não Precisa</t>
        </is>
      </c>
      <c r="Q714" s="7" t="inlineStr"/>
      <c r="R714" s="7" t="inlineStr">
        <is>
          <t>Cancelado</t>
        </is>
      </c>
      <c r="S714" s="7" t="inlineStr"/>
      <c r="T714" s="10" t="inlineStr"/>
      <c r="U714" s="7" t="inlineStr"/>
      <c r="V714" s="7" t="inlineStr"/>
      <c r="W714" s="7" t="inlineStr"/>
      <c r="X714" s="7" t="inlineStr">
        <is>
          <t>CANCELADO</t>
        </is>
      </c>
      <c r="Y714" s="11">
        <f>IF(AND(L714&lt;&gt;"", S714&lt;&gt;""), S714-L714, IF(L714&lt;&gt;"", TODAY()-L714, ""))</f>
        <v/>
      </c>
      <c r="Z714" s="7">
        <f>IF(Y714="", "", IF(Y714&lt;=3, "NO PRAZO", "ATRASADO"))</f>
        <v/>
      </c>
      <c r="AA714" s="8" t="inlineStr"/>
    </row>
    <row r="715" ht="20" customHeight="1">
      <c r="A715" s="7" t="inlineStr">
        <is>
          <t>RSCLER0713</t>
        </is>
      </c>
      <c r="B715" s="8" t="inlineStr">
        <is>
          <t>PORTO ALEGRE</t>
        </is>
      </c>
      <c r="C715" s="7" t="inlineStr">
        <is>
          <t>LPRAA</t>
        </is>
      </c>
      <c r="D715" s="7" t="inlineStr">
        <is>
          <t>AGRAD</t>
        </is>
      </c>
      <c r="E715" s="7" t="inlineStr">
        <is>
          <t>RSPSU98</t>
        </is>
      </c>
      <c r="F715" s="8" t="inlineStr">
        <is>
          <t>Clube Resid Singular</t>
        </is>
      </c>
      <c r="G715" s="8" t="inlineStr">
        <is>
          <t>Estr. João de Oliveira Remião, 1738</t>
        </is>
      </c>
      <c r="H715" s="7" t="inlineStr">
        <is>
          <t>LPRAA.013.</t>
        </is>
      </c>
      <c r="I715" s="8" t="inlineStr">
        <is>
          <t>FOI LANÇADO 361 METROS DE CABO DE 12FO E 609 METROS DE CABO DE 24FO, 1 ABERTURA E FECHAMENTO, 2 CX NOVA, 1 DERIVAÇÃO,18 FUSÕES</t>
        </is>
      </c>
      <c r="J715" s="8" t="inlineStr">
        <is>
          <t>AUGUSTO</t>
        </is>
      </c>
      <c r="K715" s="8" t="inlineStr">
        <is>
          <t>AUGUSTO</t>
        </is>
      </c>
      <c r="L715" s="9" t="n">
        <v>45891</v>
      </c>
      <c r="M715" s="7" t="inlineStr"/>
      <c r="N715" s="7" t="inlineStr"/>
      <c r="O715" s="9" t="n">
        <v>45898</v>
      </c>
      <c r="P715" s="7" t="inlineStr">
        <is>
          <t>NÃO PRECISA</t>
        </is>
      </c>
      <c r="Q715" s="9" t="n">
        <v>45993</v>
      </c>
      <c r="R715" s="7" t="inlineStr">
        <is>
          <t>Concluído Campo</t>
        </is>
      </c>
      <c r="S715" s="9" t="n">
        <v>45898</v>
      </c>
      <c r="T715" s="10" t="inlineStr"/>
      <c r="U715" s="7" t="inlineStr">
        <is>
          <t>5233905</t>
        </is>
      </c>
      <c r="V715" s="7" t="inlineStr">
        <is>
          <t>FINALIZADO</t>
        </is>
      </c>
      <c r="W715" s="7" t="inlineStr"/>
      <c r="X715" s="7" t="inlineStr">
        <is>
          <t>MEDIÇÃO CONCLUÍDA</t>
        </is>
      </c>
      <c r="Y715" s="11">
        <f>IF(AND(L715&lt;&gt;"", S715&lt;&gt;""), S715-L715, IF(L715&lt;&gt;"", TODAY()-L715, ""))</f>
        <v/>
      </c>
      <c r="Z715" s="7">
        <f>IF(Y715="", "", IF(Y715&lt;=3, "NO PRAZO", "ATRASADO"))</f>
        <v/>
      </c>
      <c r="AA715" s="8" t="inlineStr"/>
    </row>
    <row r="716" ht="20" customHeight="1">
      <c r="A716" s="7" t="inlineStr">
        <is>
          <t>RSCLER0714</t>
        </is>
      </c>
      <c r="B716" s="8" t="inlineStr">
        <is>
          <t>PORTO ALEGRE</t>
        </is>
      </c>
      <c r="C716" s="7" t="inlineStr">
        <is>
          <t>LPRAB</t>
        </is>
      </c>
      <c r="D716" s="7" t="inlineStr">
        <is>
          <t>LPRAB</t>
        </is>
      </c>
      <c r="E716" s="7" t="inlineStr">
        <is>
          <t>RSPSU98</t>
        </is>
      </c>
      <c r="F716" s="8" t="inlineStr">
        <is>
          <t>Condomínio Reserva da Figueira</t>
        </is>
      </c>
      <c r="G716" s="8" t="inlineStr">
        <is>
          <t>R.João de Oliveira Remião 5400</t>
        </is>
      </c>
      <c r="H716" s="7" t="inlineStr">
        <is>
          <t>LPRAB.021</t>
        </is>
      </c>
      <c r="I716" s="8" t="inlineStr">
        <is>
          <t>COBRAR DENTRO DO NODE LPRAB</t>
        </is>
      </c>
      <c r="J716" s="8" t="inlineStr">
        <is>
          <t>AUGUSTO</t>
        </is>
      </c>
      <c r="K716" s="8" t="inlineStr">
        <is>
          <t>AUGUSTO</t>
        </is>
      </c>
      <c r="L716" s="9" t="n">
        <v>45891</v>
      </c>
      <c r="M716" s="7" t="inlineStr"/>
      <c r="N716" s="7" t="inlineStr"/>
      <c r="O716" s="7" t="inlineStr"/>
      <c r="P716" s="7" t="inlineStr">
        <is>
          <t>NÃO PRECISA</t>
        </is>
      </c>
      <c r="Q716" s="7" t="inlineStr">
        <is>
          <t>LPRAB</t>
        </is>
      </c>
      <c r="R716" s="7" t="inlineStr">
        <is>
          <t>Concluído Campo</t>
        </is>
      </c>
      <c r="S716" s="7" t="inlineStr"/>
      <c r="T716" s="10" t="inlineStr"/>
      <c r="U716" s="7" t="inlineStr"/>
      <c r="V716" s="7" t="inlineStr"/>
      <c r="W716" s="7" t="inlineStr"/>
      <c r="X716" s="7" t="inlineStr">
        <is>
          <t>AG. MEDIÇÃO</t>
        </is>
      </c>
      <c r="Y716" s="11">
        <f>IF(AND(L716&lt;&gt;"", S716&lt;&gt;""), S716-L716, IF(L716&lt;&gt;"", TODAY()-L716, ""))</f>
        <v/>
      </c>
      <c r="Z716" s="7">
        <f>IF(Y716="", "", IF(Y716&lt;=3, "NO PRAZO", "ATRASADO"))</f>
        <v/>
      </c>
      <c r="AA716" s="8" t="inlineStr"/>
    </row>
    <row r="717" ht="20" customHeight="1">
      <c r="A717" s="7" t="inlineStr">
        <is>
          <t>RSCLER0715</t>
        </is>
      </c>
      <c r="B717" s="8" t="inlineStr">
        <is>
          <t>ESTRELA</t>
        </is>
      </c>
      <c r="C717" s="7" t="inlineStr">
        <is>
          <t>STD</t>
        </is>
      </c>
      <c r="D717" s="7" t="inlineStr"/>
      <c r="E717" s="7" t="inlineStr">
        <is>
          <t>RSETA03</t>
        </is>
      </c>
      <c r="F717" s="8" t="inlineStr"/>
      <c r="G717" s="8" t="inlineStr">
        <is>
          <t>RUA TIRADENTES 451</t>
        </is>
      </c>
      <c r="H717" s="7" t="inlineStr">
        <is>
          <t>STD.022.M020</t>
        </is>
      </c>
      <c r="I717" s="8" t="inlineStr"/>
      <c r="J717" s="8" t="inlineStr"/>
      <c r="K717" s="8" t="inlineStr"/>
      <c r="L717" s="7" t="inlineStr"/>
      <c r="M717" s="7" t="inlineStr"/>
      <c r="N717" s="7" t="inlineStr"/>
      <c r="O717" s="7" t="inlineStr"/>
      <c r="P717" s="7" t="inlineStr">
        <is>
          <t>Não Precisa</t>
        </is>
      </c>
      <c r="Q717" s="7" t="inlineStr"/>
      <c r="R717" s="7" t="inlineStr">
        <is>
          <t>Concluído Campo</t>
        </is>
      </c>
      <c r="S717" s="7" t="inlineStr"/>
      <c r="T717" s="10" t="inlineStr"/>
      <c r="U717" s="7" t="inlineStr"/>
      <c r="V717" s="7" t="inlineStr"/>
      <c r="W717" s="7" t="inlineStr"/>
      <c r="X717" s="7" t="inlineStr">
        <is>
          <t>AG. RELATÓRIO</t>
        </is>
      </c>
      <c r="Y717" s="11">
        <f>IF(AND(L717&lt;&gt;"", S717&lt;&gt;""), S717-L717, IF(L717&lt;&gt;"", TODAY()-L717, ""))</f>
        <v/>
      </c>
      <c r="Z717" s="7">
        <f>IF(Y717="", "", IF(Y717&lt;=3, "NO PRAZO", "ATRASADO"))</f>
        <v/>
      </c>
      <c r="AA717" s="8" t="inlineStr"/>
    </row>
    <row r="718" ht="20" customHeight="1">
      <c r="A718" s="7" t="inlineStr">
        <is>
          <t>RSCLER0716</t>
        </is>
      </c>
      <c r="B718" s="8" t="inlineStr">
        <is>
          <t>TORRES</t>
        </is>
      </c>
      <c r="C718" s="7" t="inlineStr">
        <is>
          <t>CLC</t>
        </is>
      </c>
      <c r="D718" s="7" t="inlineStr"/>
      <c r="E718" s="7" t="inlineStr">
        <is>
          <t>RSTES02</t>
        </is>
      </c>
      <c r="F718" s="8" t="inlineStr"/>
      <c r="G718" s="8" t="inlineStr">
        <is>
          <t>AV BR DO RIO BRANCO, 41</t>
        </is>
      </c>
      <c r="H718" s="7" t="inlineStr">
        <is>
          <t>CLC016.M2</t>
        </is>
      </c>
      <c r="I718" s="8" t="inlineStr">
        <is>
          <t>7 ABERTURA E FECHAMENTO, 10 FUSÕES, 2 TESTES OTDR</t>
        </is>
      </c>
      <c r="J718" s="8" t="inlineStr"/>
      <c r="K718" s="8" t="inlineStr">
        <is>
          <t>ALAN GALVÃO</t>
        </is>
      </c>
      <c r="L718" s="9" t="n">
        <v>45902</v>
      </c>
      <c r="M718" s="7" t="inlineStr"/>
      <c r="N718" s="7" t="inlineStr"/>
      <c r="O718" s="9" t="n">
        <v>45913</v>
      </c>
      <c r="P718" s="7" t="inlineStr">
        <is>
          <t>NÃO PRECISA</t>
        </is>
      </c>
      <c r="Q718" s="9" t="n">
        <v>46045</v>
      </c>
      <c r="R718" s="7" t="inlineStr">
        <is>
          <t>Concluído Campo</t>
        </is>
      </c>
      <c r="S718" s="9" t="n">
        <v>45915</v>
      </c>
      <c r="T718" s="10" t="inlineStr"/>
      <c r="U718" s="7" t="inlineStr">
        <is>
          <t>4979781</t>
        </is>
      </c>
      <c r="V718" s="7" t="inlineStr">
        <is>
          <t>FINALIZADO</t>
        </is>
      </c>
      <c r="W718" s="7" t="inlineStr"/>
      <c r="X718" s="7" t="inlineStr">
        <is>
          <t>MEDIÇÃO CONCLUÍDA</t>
        </is>
      </c>
      <c r="Y718" s="11">
        <f>IF(AND(L718&lt;&gt;"", S718&lt;&gt;""), S718-L718, IF(L718&lt;&gt;"", TODAY()-L718, ""))</f>
        <v/>
      </c>
      <c r="Z718" s="7">
        <f>IF(Y718="", "", IF(Y718&lt;=3, "NO PRAZO", "ATRASADO"))</f>
        <v/>
      </c>
      <c r="AA718" s="8" t="inlineStr"/>
    </row>
    <row r="719" ht="20" customHeight="1">
      <c r="A719" s="7" t="inlineStr">
        <is>
          <t>RSCLER0717</t>
        </is>
      </c>
      <c r="B719" s="8" t="inlineStr">
        <is>
          <t>PORTO ALEGRE</t>
        </is>
      </c>
      <c r="C719" s="7" t="inlineStr">
        <is>
          <t>RBTAC</t>
        </is>
      </c>
      <c r="D719" s="7" t="inlineStr">
        <is>
          <t>SRDAF</t>
        </is>
      </c>
      <c r="E719" s="7" t="inlineStr">
        <is>
          <t>RSPNO16</t>
        </is>
      </c>
      <c r="F719" s="8" t="inlineStr"/>
      <c r="G719" s="8" t="inlineStr">
        <is>
          <t>Rua Jacy kroeff milanez 230</t>
        </is>
      </c>
      <c r="H719" s="7" t="inlineStr">
        <is>
          <t>RBTAC.021.M010</t>
        </is>
      </c>
      <c r="I719" s="8" t="inlineStr">
        <is>
          <t>COBRAR DENTRO DO NODE SDRAF FASE 2</t>
        </is>
      </c>
      <c r="J719" s="8" t="inlineStr">
        <is>
          <t>VICTOR</t>
        </is>
      </c>
      <c r="K719" s="8" t="inlineStr">
        <is>
          <t>MARCOS EMILIANO</t>
        </is>
      </c>
      <c r="L719" s="9" t="n">
        <v>45903</v>
      </c>
      <c r="M719" s="7" t="inlineStr"/>
      <c r="N719" s="7" t="inlineStr"/>
      <c r="O719" s="7" t="inlineStr"/>
      <c r="P719" s="7" t="inlineStr">
        <is>
          <t>NÃO PRECISA</t>
        </is>
      </c>
      <c r="Q719" s="7" t="inlineStr">
        <is>
          <t>SRDAF</t>
        </is>
      </c>
      <c r="R719" s="7" t="inlineStr">
        <is>
          <t>Concluído Campo</t>
        </is>
      </c>
      <c r="S719" s="7" t="inlineStr"/>
      <c r="T719" s="10" t="inlineStr"/>
      <c r="U719" s="7" t="inlineStr"/>
      <c r="V719" s="7" t="inlineStr"/>
      <c r="W719" s="7" t="inlineStr"/>
      <c r="X719" s="7" t="inlineStr">
        <is>
          <t>AG. MEDIÇÃO</t>
        </is>
      </c>
      <c r="Y719" s="11">
        <f>IF(AND(L719&lt;&gt;"", S719&lt;&gt;""), S719-L719, IF(L719&lt;&gt;"", TODAY()-L719, ""))</f>
        <v/>
      </c>
      <c r="Z719" s="7">
        <f>IF(Y719="", "", IF(Y719&lt;=3, "NO PRAZO", "ATRASADO"))</f>
        <v/>
      </c>
      <c r="AA719" s="8" t="inlineStr"/>
    </row>
    <row r="720" ht="20" customHeight="1">
      <c r="A720" s="7" t="inlineStr">
        <is>
          <t>RSCLER0718</t>
        </is>
      </c>
      <c r="B720" s="8" t="inlineStr">
        <is>
          <t>PORTO ALEGRE</t>
        </is>
      </c>
      <c r="C720" s="7" t="inlineStr">
        <is>
          <t>RBTAC</t>
        </is>
      </c>
      <c r="D720" s="7" t="inlineStr">
        <is>
          <t>SRDAF</t>
        </is>
      </c>
      <c r="E720" s="7" t="inlineStr">
        <is>
          <t>RSPNO16</t>
        </is>
      </c>
      <c r="F720" s="8" t="inlineStr"/>
      <c r="G720" s="8" t="inlineStr">
        <is>
          <t>CURT JOHANNPETER 110</t>
        </is>
      </c>
      <c r="H720" s="7" t="inlineStr">
        <is>
          <t>RBTAC.021.M020</t>
        </is>
      </c>
      <c r="I720" s="8" t="inlineStr">
        <is>
          <t>COBRAR DENTRO DO NODE SDRAF FASE 2</t>
        </is>
      </c>
      <c r="J720" s="8" t="inlineStr">
        <is>
          <t>VICTOR</t>
        </is>
      </c>
      <c r="K720" s="8" t="inlineStr">
        <is>
          <t>MARCOS EMILIANO</t>
        </is>
      </c>
      <c r="L720" s="9" t="n">
        <v>45903</v>
      </c>
      <c r="M720" s="7" t="inlineStr"/>
      <c r="N720" s="7" t="inlineStr"/>
      <c r="O720" s="7" t="inlineStr"/>
      <c r="P720" s="7" t="inlineStr">
        <is>
          <t>NÃO PRECISA</t>
        </is>
      </c>
      <c r="Q720" s="7" t="inlineStr">
        <is>
          <t>SRDAF</t>
        </is>
      </c>
      <c r="R720" s="7" t="inlineStr">
        <is>
          <t>Concluído Campo</t>
        </is>
      </c>
      <c r="S720" s="7" t="inlineStr"/>
      <c r="T720" s="10" t="inlineStr"/>
      <c r="U720" s="7" t="inlineStr"/>
      <c r="V720" s="7" t="inlineStr"/>
      <c r="W720" s="7" t="inlineStr"/>
      <c r="X720" s="7" t="inlineStr">
        <is>
          <t>AG. MEDIÇÃO</t>
        </is>
      </c>
      <c r="Y720" s="11">
        <f>IF(AND(L720&lt;&gt;"", S720&lt;&gt;""), S720-L720, IF(L720&lt;&gt;"", TODAY()-L720, ""))</f>
        <v/>
      </c>
      <c r="Z720" s="7">
        <f>IF(Y720="", "", IF(Y720&lt;=3, "NO PRAZO", "ATRASADO"))</f>
        <v/>
      </c>
      <c r="AA720" s="8" t="inlineStr"/>
    </row>
    <row r="721" ht="20" customHeight="1">
      <c r="A721" s="7" t="inlineStr">
        <is>
          <t>RSCLER0719</t>
        </is>
      </c>
      <c r="B721" s="8" t="inlineStr">
        <is>
          <t>PORTO ALEGRE</t>
        </is>
      </c>
      <c r="C721" s="7" t="inlineStr">
        <is>
          <t>PETAA</t>
        </is>
      </c>
      <c r="D721" s="7" t="inlineStr">
        <is>
          <t>PETAO</t>
        </is>
      </c>
      <c r="E721" s="7" t="inlineStr">
        <is>
          <t>RSPLE11</t>
        </is>
      </c>
      <c r="F721" s="8" t="inlineStr"/>
      <c r="G721" s="8" t="inlineStr">
        <is>
          <t>RUA ITAQUI, 89</t>
        </is>
      </c>
      <c r="H721" s="7" t="inlineStr">
        <is>
          <t>PETAA.137.M010</t>
        </is>
      </c>
      <c r="I721" s="8" t="inlineStr">
        <is>
          <t>COBRAR DENTRO DO NODE PETAO FASE 2</t>
        </is>
      </c>
      <c r="J721" s="8" t="inlineStr">
        <is>
          <t>JUNIOR</t>
        </is>
      </c>
      <c r="K721" s="8" t="inlineStr">
        <is>
          <t>ANDERSON</t>
        </is>
      </c>
      <c r="L721" s="9" t="n">
        <v>45891</v>
      </c>
      <c r="M721" s="7" t="inlineStr"/>
      <c r="N721" s="7" t="inlineStr"/>
      <c r="O721" s="9" t="n">
        <v>45917</v>
      </c>
      <c r="P721" s="7" t="inlineStr">
        <is>
          <t>NÃO PRECISA</t>
        </is>
      </c>
      <c r="Q721" s="7" t="inlineStr">
        <is>
          <t>PETAO</t>
        </is>
      </c>
      <c r="R721" s="7" t="inlineStr">
        <is>
          <t>Concluído Campo</t>
        </is>
      </c>
      <c r="S721" s="7" t="inlineStr"/>
      <c r="T721" s="10" t="inlineStr"/>
      <c r="U721" s="7" t="inlineStr"/>
      <c r="V721" s="7" t="inlineStr"/>
      <c r="W721" s="7" t="inlineStr"/>
      <c r="X721" s="7" t="inlineStr">
        <is>
          <t>AG. MEDIÇÃO</t>
        </is>
      </c>
      <c r="Y721" s="11">
        <f>IF(AND(L721&lt;&gt;"", S721&lt;&gt;""), S721-L721, IF(L721&lt;&gt;"", TODAY()-L721, ""))</f>
        <v/>
      </c>
      <c r="Z721" s="7">
        <f>IF(Y721="", "", IF(Y721&lt;=3, "NO PRAZO", "ATRASADO"))</f>
        <v/>
      </c>
      <c r="AA721" s="8" t="inlineStr"/>
    </row>
    <row r="722" ht="20" customHeight="1">
      <c r="A722" s="7" t="inlineStr">
        <is>
          <t>RSCLER0720</t>
        </is>
      </c>
      <c r="B722" s="8" t="inlineStr">
        <is>
          <t>PORTO ALEGRE</t>
        </is>
      </c>
      <c r="C722" s="7" t="inlineStr">
        <is>
          <t>BVSAB</t>
        </is>
      </c>
      <c r="D722" s="7" t="inlineStr">
        <is>
          <t>BVSAF</t>
        </is>
      </c>
      <c r="E722" s="7" t="inlineStr">
        <is>
          <t>PAE NR</t>
        </is>
      </c>
      <c r="F722" s="8" t="inlineStr"/>
      <c r="G722" s="8" t="inlineStr">
        <is>
          <t>AL RAIMUNDO CORREA, 66</t>
        </is>
      </c>
      <c r="H722" s="7" t="inlineStr">
        <is>
          <t>BVSAB.355.M030.</t>
        </is>
      </c>
      <c r="I722" s="8" t="inlineStr">
        <is>
          <t>COBRAR DENTRO DO NODE BVSAF FASE 2</t>
        </is>
      </c>
      <c r="J722" s="8" t="inlineStr">
        <is>
          <t>UBIRAJARA</t>
        </is>
      </c>
      <c r="K722" s="8" t="inlineStr">
        <is>
          <t>DIOGO</t>
        </is>
      </c>
      <c r="L722" s="7" t="inlineStr"/>
      <c r="M722" s="7" t="inlineStr"/>
      <c r="N722" s="7" t="inlineStr"/>
      <c r="O722" s="9" t="n">
        <v>45917</v>
      </c>
      <c r="P722" s="7" t="inlineStr">
        <is>
          <t>NÃO PRECISA</t>
        </is>
      </c>
      <c r="Q722" s="7" t="inlineStr">
        <is>
          <t>BVSAF</t>
        </is>
      </c>
      <c r="R722" s="7" t="inlineStr">
        <is>
          <t>Concluído Campo</t>
        </is>
      </c>
      <c r="S722" s="7" t="inlineStr"/>
      <c r="T722" s="10" t="inlineStr"/>
      <c r="U722" s="7" t="inlineStr"/>
      <c r="V722" s="7" t="inlineStr"/>
      <c r="W722" s="7" t="inlineStr"/>
      <c r="X722" s="7" t="inlineStr">
        <is>
          <t>AG. MEDIÇÃO</t>
        </is>
      </c>
      <c r="Y722" s="11">
        <f>IF(AND(L722&lt;&gt;"", S722&lt;&gt;""), S722-L722, IF(L722&lt;&gt;"", TODAY()-L722, ""))</f>
        <v/>
      </c>
      <c r="Z722" s="7">
        <f>IF(Y722="", "", IF(Y722&lt;=3, "NO PRAZO", "ATRASADO"))</f>
        <v/>
      </c>
      <c r="AA722" s="8" t="inlineStr"/>
    </row>
    <row r="723" ht="20" customHeight="1">
      <c r="A723" s="7" t="inlineStr">
        <is>
          <t>RSCLER0721</t>
        </is>
      </c>
      <c r="B723" s="8" t="inlineStr">
        <is>
          <t>PORTO ALEGRE</t>
        </is>
      </c>
      <c r="C723" s="7" t="inlineStr">
        <is>
          <t>BVSAA</t>
        </is>
      </c>
      <c r="D723" s="7" t="inlineStr">
        <is>
          <t>PDRAD</t>
        </is>
      </c>
      <c r="E723" s="7" t="inlineStr">
        <is>
          <t>RSPLE07</t>
        </is>
      </c>
      <c r="F723" s="8" t="inlineStr"/>
      <c r="G723" s="8" t="inlineStr">
        <is>
          <t>VERANOPOLIS 483</t>
        </is>
      </c>
      <c r="H723" s="7" t="inlineStr">
        <is>
          <t>BVSAA.015.M020</t>
        </is>
      </c>
      <c r="I723" s="8" t="inlineStr">
        <is>
          <t>COBRAR DENTRO DO NODE PDRAD FASE 3</t>
        </is>
      </c>
      <c r="J723" s="8" t="inlineStr">
        <is>
          <t>CLEVERSON</t>
        </is>
      </c>
      <c r="K723" s="8" t="inlineStr">
        <is>
          <t>DIOGO</t>
        </is>
      </c>
      <c r="L723" s="7" t="inlineStr"/>
      <c r="M723" s="7" t="inlineStr"/>
      <c r="N723" s="7" t="inlineStr"/>
      <c r="O723" s="9" t="n">
        <v>45925</v>
      </c>
      <c r="P723" s="7" t="inlineStr">
        <is>
          <t>NÃO PRECISA</t>
        </is>
      </c>
      <c r="Q723" s="7" t="inlineStr">
        <is>
          <t>PDRAD</t>
        </is>
      </c>
      <c r="R723" s="7" t="inlineStr">
        <is>
          <t>Concluído Campo</t>
        </is>
      </c>
      <c r="S723" s="7" t="inlineStr"/>
      <c r="T723" s="10" t="inlineStr"/>
      <c r="U723" s="7" t="inlineStr"/>
      <c r="V723" s="7" t="inlineStr"/>
      <c r="W723" s="7" t="inlineStr"/>
      <c r="X723" s="7" t="inlineStr">
        <is>
          <t>AG. MEDIÇÃO</t>
        </is>
      </c>
      <c r="Y723" s="11">
        <f>IF(AND(L723&lt;&gt;"", S723&lt;&gt;""), S723-L723, IF(L723&lt;&gt;"", TODAY()-L723, ""))</f>
        <v/>
      </c>
      <c r="Z723" s="7">
        <f>IF(Y723="", "", IF(Y723&lt;=3, "NO PRAZO", "ATRASADO"))</f>
        <v/>
      </c>
      <c r="AA723" s="8" t="inlineStr"/>
    </row>
    <row r="724" ht="20" customHeight="1">
      <c r="A724" s="7" t="inlineStr">
        <is>
          <t>RSCLER0722</t>
        </is>
      </c>
      <c r="B724" s="8" t="inlineStr">
        <is>
          <t>PORTO ALEGRE</t>
        </is>
      </c>
      <c r="C724" s="7" t="inlineStr">
        <is>
          <t>JBOAA</t>
        </is>
      </c>
      <c r="D724" s="7" t="inlineStr">
        <is>
          <t>PETAA</t>
        </is>
      </c>
      <c r="E724" s="7" t="inlineStr">
        <is>
          <t>RSPLE18</t>
        </is>
      </c>
      <c r="F724" s="8" t="inlineStr">
        <is>
          <t>Res. Torino</t>
        </is>
      </c>
      <c r="G724" s="8" t="inlineStr">
        <is>
          <t>RUA DONA OTI, 208</t>
        </is>
      </c>
      <c r="H724" s="7" t="inlineStr">
        <is>
          <t>JBOAA.063.M020</t>
        </is>
      </c>
      <c r="I724" s="8" t="inlineStr">
        <is>
          <t>FOI LANÇADO 457 METROS DE CABO DE 12FO, 1 ABERTURA E FECHAMENTO, 9 FUSÕES, 1 CX NOVA, 1 DERIVAÇÃO, 7 TESTES, 1 TESTE OTDR</t>
        </is>
      </c>
      <c r="J724" s="8" t="inlineStr">
        <is>
          <t>CLEVERSON</t>
        </is>
      </c>
      <c r="K724" s="8" t="inlineStr">
        <is>
          <t>DIOGO</t>
        </is>
      </c>
      <c r="L724" s="7" t="inlineStr"/>
      <c r="M724" s="7" t="inlineStr"/>
      <c r="N724" s="7" t="inlineStr"/>
      <c r="O724" s="9" t="n">
        <v>45912</v>
      </c>
      <c r="P724" s="9" t="n">
        <v>45999</v>
      </c>
      <c r="Q724" s="7" t="inlineStr">
        <is>
          <t>ok</t>
        </is>
      </c>
      <c r="R724" s="7" t="inlineStr">
        <is>
          <t>Concluído Campo</t>
        </is>
      </c>
      <c r="S724" s="7" t="inlineStr">
        <is>
          <t>09/12/202</t>
        </is>
      </c>
      <c r="T724" s="10" t="inlineStr"/>
      <c r="U724" s="7" t="inlineStr"/>
      <c r="V724" s="7" t="inlineStr"/>
      <c r="W724" s="7" t="inlineStr"/>
      <c r="X724" s="7" t="inlineStr">
        <is>
          <t>MEDIÇÃO CONCLUÍDA</t>
        </is>
      </c>
      <c r="Y724" s="11">
        <f>IF(AND(L724&lt;&gt;"", S724&lt;&gt;""), S724-L724, IF(L724&lt;&gt;"", TODAY()-L724, ""))</f>
        <v/>
      </c>
      <c r="Z724" s="7">
        <f>IF(Y724="", "", IF(Y724&lt;=3, "NO PRAZO", "ATRASADO"))</f>
        <v/>
      </c>
      <c r="AA724" s="8" t="inlineStr"/>
    </row>
    <row r="725" ht="20" customHeight="1">
      <c r="A725" s="7" t="inlineStr">
        <is>
          <t>RSCLER0723</t>
        </is>
      </c>
      <c r="B725" s="8" t="inlineStr">
        <is>
          <t>PORTO ALEGRE</t>
        </is>
      </c>
      <c r="C725" s="7" t="inlineStr">
        <is>
          <t>SPEAA</t>
        </is>
      </c>
      <c r="D725" s="7" t="inlineStr">
        <is>
          <t>SPEAAA</t>
        </is>
      </c>
      <c r="E725" s="7" t="inlineStr">
        <is>
          <t>PAE DAM</t>
        </is>
      </c>
      <c r="F725" s="8" t="inlineStr"/>
      <c r="G725" s="8" t="inlineStr">
        <is>
          <t>RUA Domingos Martins 560</t>
        </is>
      </c>
      <c r="H725" s="7" t="inlineStr">
        <is>
          <t>SPEAA.012.M040</t>
        </is>
      </c>
      <c r="I725" s="8" t="inlineStr">
        <is>
          <t>DENTRO DO NODE SPEAAA</t>
        </is>
      </c>
      <c r="J725" s="8" t="inlineStr">
        <is>
          <t>CLEVERSON</t>
        </is>
      </c>
      <c r="K725" s="8" t="inlineStr">
        <is>
          <t>DIOGO</t>
        </is>
      </c>
      <c r="L725" s="9" t="n">
        <v>45910</v>
      </c>
      <c r="M725" s="7" t="inlineStr"/>
      <c r="N725" s="7" t="inlineStr"/>
      <c r="O725" s="9" t="n">
        <v>45910</v>
      </c>
      <c r="P725" s="7" t="inlineStr">
        <is>
          <t>NÃO PRECISA</t>
        </is>
      </c>
      <c r="Q725" s="7" t="inlineStr">
        <is>
          <t>SPEAAA</t>
        </is>
      </c>
      <c r="R725" s="7" t="inlineStr">
        <is>
          <t>Concluído Campo</t>
        </is>
      </c>
      <c r="S725" s="7" t="inlineStr"/>
      <c r="T725" s="10" t="inlineStr"/>
      <c r="U725" s="7" t="inlineStr"/>
      <c r="V725" s="7" t="inlineStr"/>
      <c r="W725" s="7" t="inlineStr"/>
      <c r="X725" s="7" t="inlineStr">
        <is>
          <t>AG. MEDIÇÃO</t>
        </is>
      </c>
      <c r="Y725" s="11">
        <f>IF(AND(L725&lt;&gt;"", S725&lt;&gt;""), S725-L725, IF(L725&lt;&gt;"", TODAY()-L725, ""))</f>
        <v/>
      </c>
      <c r="Z725" s="7">
        <f>IF(Y725="", "", IF(Y725&lt;=3, "NO PRAZO", "ATRASADO"))</f>
        <v/>
      </c>
      <c r="AA725" s="8" t="inlineStr"/>
    </row>
    <row r="726" ht="20" customHeight="1">
      <c r="A726" s="7" t="inlineStr">
        <is>
          <t>RSCLER0724</t>
        </is>
      </c>
      <c r="B726" s="8" t="inlineStr">
        <is>
          <t>PORTO ALEGRE</t>
        </is>
      </c>
      <c r="C726" s="7" t="inlineStr">
        <is>
          <t>SPEAA</t>
        </is>
      </c>
      <c r="D726" s="7" t="inlineStr">
        <is>
          <t>SJOAAA</t>
        </is>
      </c>
      <c r="E726" s="7" t="inlineStr">
        <is>
          <t>PAE DAM</t>
        </is>
      </c>
      <c r="F726" s="8" t="inlineStr"/>
      <c r="G726" s="8" t="inlineStr">
        <is>
          <t>RUA AÇORES 106</t>
        </is>
      </c>
      <c r="H726" s="7" t="inlineStr">
        <is>
          <t>SPEAA.021.M010</t>
        </is>
      </c>
      <c r="I726" s="8" t="inlineStr">
        <is>
          <t>COBRAR DENTRO DO NODE SJOAA FASE 3</t>
        </is>
      </c>
      <c r="J726" s="8" t="inlineStr">
        <is>
          <t>VICTOR</t>
        </is>
      </c>
      <c r="K726" s="8" t="inlineStr">
        <is>
          <t>DIOGO</t>
        </is>
      </c>
      <c r="L726" s="9" t="n">
        <v>45909</v>
      </c>
      <c r="M726" s="7" t="inlineStr"/>
      <c r="N726" s="7" t="inlineStr"/>
      <c r="O726" s="9" t="n">
        <v>45911</v>
      </c>
      <c r="P726" s="7" t="inlineStr">
        <is>
          <t>NÃO PRECISA</t>
        </is>
      </c>
      <c r="Q726" s="7" t="inlineStr">
        <is>
          <t>SJOAA F3</t>
        </is>
      </c>
      <c r="R726" s="7" t="inlineStr">
        <is>
          <t>Concluído Campo</t>
        </is>
      </c>
      <c r="S726" s="7" t="inlineStr"/>
      <c r="T726" s="10" t="inlineStr"/>
      <c r="U726" s="7" t="inlineStr"/>
      <c r="V726" s="7" t="inlineStr"/>
      <c r="W726" s="7" t="inlineStr"/>
      <c r="X726" s="7" t="inlineStr">
        <is>
          <t>AG. MEDIÇÃO</t>
        </is>
      </c>
      <c r="Y726" s="11">
        <f>IF(AND(L726&lt;&gt;"", S726&lt;&gt;""), S726-L726, IF(L726&lt;&gt;"", TODAY()-L726, ""))</f>
        <v/>
      </c>
      <c r="Z726" s="7">
        <f>IF(Y726="", "", IF(Y726&lt;=3, "NO PRAZO", "ATRASADO"))</f>
        <v/>
      </c>
      <c r="AA726" s="8" t="inlineStr"/>
    </row>
    <row r="727" ht="20" customHeight="1">
      <c r="A727" s="7" t="inlineStr">
        <is>
          <t>RSCLER0725</t>
        </is>
      </c>
      <c r="B727" s="8" t="inlineStr">
        <is>
          <t>NOVO HAMBURGO</t>
        </is>
      </c>
      <c r="C727" s="7" t="inlineStr">
        <is>
          <t>CNTAA</t>
        </is>
      </c>
      <c r="D727" s="7" t="inlineStr">
        <is>
          <t>CNTABA</t>
        </is>
      </c>
      <c r="E727" s="7" t="inlineStr">
        <is>
          <t>NHO LO</t>
        </is>
      </c>
      <c r="F727" s="8" t="inlineStr"/>
      <c r="G727" s="8" t="inlineStr">
        <is>
          <t>JOAQUIM NABUCO 803</t>
        </is>
      </c>
      <c r="H727" s="7" t="inlineStr">
        <is>
          <t>CNTAA.061.M060</t>
        </is>
      </c>
      <c r="I727" s="8" t="inlineStr">
        <is>
          <t>FOI LANÇADO 176 METROS DE CABO DE 12 FO, 3 ABERTURA E FECHAMENTO, 1 CX NOVA , 8 FUSÕES, 3 TESTES, 1 TESTE OTDR</t>
        </is>
      </c>
      <c r="J727" s="8" t="inlineStr">
        <is>
          <t>CLEVERSON</t>
        </is>
      </c>
      <c r="K727" s="8" t="inlineStr">
        <is>
          <t>CLEVERSON</t>
        </is>
      </c>
      <c r="L727" s="9" t="n">
        <v>45902</v>
      </c>
      <c r="M727" s="7" t="inlineStr"/>
      <c r="N727" s="7" t="inlineStr"/>
      <c r="O727" s="9" t="n">
        <v>45917</v>
      </c>
      <c r="P727" s="9" t="n">
        <v>45999</v>
      </c>
      <c r="Q727" s="9" t="n">
        <v>45999</v>
      </c>
      <c r="R727" s="7" t="inlineStr">
        <is>
          <t>Concluído Campo</t>
        </is>
      </c>
      <c r="S727" s="9" t="n">
        <v>45917</v>
      </c>
      <c r="T727" s="10" t="inlineStr"/>
      <c r="U727" s="7" t="inlineStr">
        <is>
          <t>5247710</t>
        </is>
      </c>
      <c r="V727" s="7" t="inlineStr">
        <is>
          <t>FINALIZADO</t>
        </is>
      </c>
      <c r="W727" s="7" t="inlineStr"/>
      <c r="X727" s="7" t="inlineStr">
        <is>
          <t>MEDIÇÃO CONCLUÍDA</t>
        </is>
      </c>
      <c r="Y727" s="11">
        <f>IF(AND(L727&lt;&gt;"", S727&lt;&gt;""), S727-L727, IF(L727&lt;&gt;"", TODAY()-L727, ""))</f>
        <v/>
      </c>
      <c r="Z727" s="7">
        <f>IF(Y727="", "", IF(Y727&lt;=3, "NO PRAZO", "ATRASADO"))</f>
        <v/>
      </c>
      <c r="AA727" s="8" t="inlineStr"/>
    </row>
    <row r="728" ht="20" customHeight="1">
      <c r="A728" s="7" t="inlineStr">
        <is>
          <t>RSCLER0726</t>
        </is>
      </c>
      <c r="B728" s="8" t="inlineStr">
        <is>
          <t>PORTO ALEGRE</t>
        </is>
      </c>
      <c r="C728" s="7" t="inlineStr">
        <is>
          <t>RBTAA</t>
        </is>
      </c>
      <c r="D728" s="7" t="inlineStr">
        <is>
          <t>SRDAL</t>
        </is>
      </c>
      <c r="E728" s="7" t="inlineStr">
        <is>
          <t>PAE ARY</t>
        </is>
      </c>
      <c r="F728" s="8" t="inlineStr"/>
      <c r="G728" s="8" t="inlineStr">
        <is>
          <t>R Comissário BERGMANN 29</t>
        </is>
      </c>
      <c r="H728" s="7" t="inlineStr">
        <is>
          <t>RBTAA.103.M020</t>
        </is>
      </c>
      <c r="I728" s="8" t="inlineStr">
        <is>
          <t>COBRAR DENTRO DO NODE SRDAL FASE 2</t>
        </is>
      </c>
      <c r="J728" s="8" t="inlineStr">
        <is>
          <t>VICTOR</t>
        </is>
      </c>
      <c r="K728" s="8" t="inlineStr">
        <is>
          <t>DIOGO</t>
        </is>
      </c>
      <c r="L728" s="7" t="inlineStr"/>
      <c r="M728" s="7" t="inlineStr"/>
      <c r="N728" s="7" t="inlineStr"/>
      <c r="O728" s="9" t="n">
        <v>45916</v>
      </c>
      <c r="P728" s="7" t="inlineStr">
        <is>
          <t>NÃO PRECISA</t>
        </is>
      </c>
      <c r="Q728" s="7" t="inlineStr">
        <is>
          <t>SRDAL F2</t>
        </is>
      </c>
      <c r="R728" s="7" t="inlineStr">
        <is>
          <t>Concluído Campo</t>
        </is>
      </c>
      <c r="S728" s="7" t="inlineStr"/>
      <c r="T728" s="10" t="inlineStr"/>
      <c r="U728" s="7" t="inlineStr"/>
      <c r="V728" s="7" t="inlineStr"/>
      <c r="W728" s="7" t="inlineStr"/>
      <c r="X728" s="7" t="inlineStr">
        <is>
          <t>AG. MEDIÇÃO</t>
        </is>
      </c>
      <c r="Y728" s="11">
        <f>IF(AND(L728&lt;&gt;"", S728&lt;&gt;""), S728-L728, IF(L728&lt;&gt;"", TODAY()-L728, ""))</f>
        <v/>
      </c>
      <c r="Z728" s="7">
        <f>IF(Y728="", "", IF(Y728&lt;=3, "NO PRAZO", "ATRASADO"))</f>
        <v/>
      </c>
      <c r="AA728" s="8" t="inlineStr"/>
    </row>
    <row r="729" ht="20" customHeight="1">
      <c r="A729" s="7" t="inlineStr">
        <is>
          <t>RSCLER0727</t>
        </is>
      </c>
      <c r="B729" s="8" t="inlineStr">
        <is>
          <t>TRAMANDAI</t>
        </is>
      </c>
      <c r="C729" s="7" t="inlineStr">
        <is>
          <t>TRA</t>
        </is>
      </c>
      <c r="D729" s="7" t="inlineStr"/>
      <c r="E729" s="7" t="inlineStr"/>
      <c r="F729" s="8" t="inlineStr"/>
      <c r="G729" s="8" t="inlineStr">
        <is>
          <t>R ALM TAMANDARE, 1047</t>
        </is>
      </c>
      <c r="H729" s="7" t="inlineStr"/>
      <c r="I729" s="8" t="inlineStr">
        <is>
          <t>3 ABERTURA E FECHAMENTO, 4 FUSOES E 2 TESTES</t>
        </is>
      </c>
      <c r="J729" s="8" t="inlineStr"/>
      <c r="K729" s="8" t="inlineStr">
        <is>
          <t>FABIO AMARILHO</t>
        </is>
      </c>
      <c r="L729" s="9" t="n">
        <v>45909</v>
      </c>
      <c r="M729" s="9" t="n">
        <v>45915</v>
      </c>
      <c r="N729" s="7" t="inlineStr"/>
      <c r="O729" s="9" t="n">
        <v>45915</v>
      </c>
      <c r="P729" s="9" t="n">
        <v>45915</v>
      </c>
      <c r="Q729" s="9" t="n">
        <v>45915</v>
      </c>
      <c r="R729" s="7" t="inlineStr">
        <is>
          <t>Concluído Campo</t>
        </is>
      </c>
      <c r="S729" s="7" t="inlineStr"/>
      <c r="T729" s="10" t="inlineStr"/>
      <c r="U729" s="7" t="inlineStr"/>
      <c r="V729" s="7" t="inlineStr"/>
      <c r="W729" s="7" t="inlineStr"/>
      <c r="X729" s="7" t="inlineStr">
        <is>
          <t>AG. MEDIÇÃO</t>
        </is>
      </c>
      <c r="Y729" s="11">
        <f>IF(AND(L729&lt;&gt;"", S729&lt;&gt;""), S729-L729, IF(L729&lt;&gt;"", TODAY()-L729, ""))</f>
        <v/>
      </c>
      <c r="Z729" s="7">
        <f>IF(Y729="", "", IF(Y729&lt;=3, "NO PRAZO", "ATRASADO"))</f>
        <v/>
      </c>
      <c r="AA729" s="8" t="inlineStr">
        <is>
          <t>CONCLUIDO</t>
        </is>
      </c>
    </row>
    <row r="730" ht="20" customHeight="1">
      <c r="A730" s="7" t="inlineStr">
        <is>
          <t>RSCLER0728</t>
        </is>
      </c>
      <c r="B730" s="8" t="inlineStr">
        <is>
          <t>PORTO ALEGRE</t>
        </is>
      </c>
      <c r="C730" s="7" t="inlineStr">
        <is>
          <t>SPEAA</t>
        </is>
      </c>
      <c r="D730" s="7" t="inlineStr">
        <is>
          <t>SJOAAA</t>
        </is>
      </c>
      <c r="E730" s="7" t="inlineStr">
        <is>
          <t>PAE DAM</t>
        </is>
      </c>
      <c r="F730" s="8" t="inlineStr"/>
      <c r="G730" s="8" t="inlineStr">
        <is>
          <t>R CRISTOVAO PEREIRA 392</t>
        </is>
      </c>
      <c r="H730" s="7" t="inlineStr">
        <is>
          <t>SPEAA.023.M030</t>
        </is>
      </c>
      <c r="I730" s="8" t="inlineStr">
        <is>
          <t>COBRAR DENTRO DO NODE SJOAA FASE 3</t>
        </is>
      </c>
      <c r="J730" s="8" t="inlineStr">
        <is>
          <t>CLEVERSON</t>
        </is>
      </c>
      <c r="K730" s="8" t="inlineStr">
        <is>
          <t>CLEVERSON</t>
        </is>
      </c>
      <c r="L730" s="9" t="n">
        <v>45916</v>
      </c>
      <c r="M730" s="7" t="inlineStr"/>
      <c r="N730" s="7" t="inlineStr"/>
      <c r="O730" s="9" t="n">
        <v>45919</v>
      </c>
      <c r="P730" s="7" t="inlineStr">
        <is>
          <t>NÃO PRECISA</t>
        </is>
      </c>
      <c r="Q730" s="7" t="inlineStr">
        <is>
          <t>SJOAAA</t>
        </is>
      </c>
      <c r="R730" s="7" t="inlineStr">
        <is>
          <t>Concluído Campo</t>
        </is>
      </c>
      <c r="S730" s="7" t="inlineStr"/>
      <c r="T730" s="10" t="inlineStr"/>
      <c r="U730" s="7" t="inlineStr"/>
      <c r="V730" s="7" t="inlineStr"/>
      <c r="W730" s="7" t="inlineStr"/>
      <c r="X730" s="7" t="inlineStr">
        <is>
          <t>AG. MEDIÇÃO</t>
        </is>
      </c>
      <c r="Y730" s="11">
        <f>IF(AND(L730&lt;&gt;"", S730&lt;&gt;""), S730-L730, IF(L730&lt;&gt;"", TODAY()-L730, ""))</f>
        <v/>
      </c>
      <c r="Z730" s="7">
        <f>IF(Y730="", "", IF(Y730&lt;=3, "NO PRAZO", "ATRASADO"))</f>
        <v/>
      </c>
      <c r="AA730" s="8" t="inlineStr"/>
    </row>
    <row r="731" ht="20" customHeight="1">
      <c r="A731" s="7" t="inlineStr">
        <is>
          <t>RSCLER0729</t>
        </is>
      </c>
      <c r="B731" s="8" t="inlineStr">
        <is>
          <t>NOVO HAMBURGO</t>
        </is>
      </c>
      <c r="C731" s="7" t="inlineStr">
        <is>
          <t>CNTAA</t>
        </is>
      </c>
      <c r="D731" s="7" t="inlineStr">
        <is>
          <t>CNTADB</t>
        </is>
      </c>
      <c r="E731" s="7" t="inlineStr">
        <is>
          <t>NHO LO</t>
        </is>
      </c>
      <c r="F731" s="8" t="inlineStr"/>
      <c r="G731" s="8" t="inlineStr">
        <is>
          <t>Cel genuíno Sampaio 23</t>
        </is>
      </c>
      <c r="H731" s="7" t="inlineStr">
        <is>
          <t>CNTAA.013.M010</t>
        </is>
      </c>
      <c r="I731" s="8" t="inlineStr">
        <is>
          <t>2 ABERTURA E FECHAMENTO, 3 FUSÕES, 3 TESTES</t>
        </is>
      </c>
      <c r="J731" s="8" t="inlineStr"/>
      <c r="K731" s="8" t="inlineStr">
        <is>
          <t>DIOGO</t>
        </is>
      </c>
      <c r="L731" s="9" t="n">
        <v>45918</v>
      </c>
      <c r="M731" s="7" t="inlineStr"/>
      <c r="N731" s="7" t="inlineStr"/>
      <c r="O731" s="9" t="n">
        <v>45919</v>
      </c>
      <c r="P731" s="9" t="n">
        <v>46011</v>
      </c>
      <c r="Q731" s="9" t="n">
        <v>46011</v>
      </c>
      <c r="R731" s="7" t="inlineStr">
        <is>
          <t>Concluído Campo</t>
        </is>
      </c>
      <c r="S731" s="9" t="n">
        <v>45929</v>
      </c>
      <c r="T731" s="10" t="inlineStr"/>
      <c r="U731" s="7" t="inlineStr">
        <is>
          <t>5224071</t>
        </is>
      </c>
      <c r="V731" s="7" t="inlineStr">
        <is>
          <t>FINALIZADO</t>
        </is>
      </c>
      <c r="W731" s="7" t="inlineStr"/>
      <c r="X731" s="7" t="inlineStr">
        <is>
          <t>MEDIÇÃO CONCLUÍDA</t>
        </is>
      </c>
      <c r="Y731" s="11">
        <f>IF(AND(L731&lt;&gt;"", S731&lt;&gt;""), S731-L731, IF(L731&lt;&gt;"", TODAY()-L731, ""))</f>
        <v/>
      </c>
      <c r="Z731" s="7">
        <f>IF(Y731="", "", IF(Y731&lt;=3, "NO PRAZO", "ATRASADO"))</f>
        <v/>
      </c>
      <c r="AA731" s="8" t="inlineStr"/>
    </row>
    <row r="732" ht="20" customHeight="1">
      <c r="A732" s="7" t="inlineStr">
        <is>
          <t>RSCLER0730</t>
        </is>
      </c>
      <c r="B732" s="8" t="inlineStr">
        <is>
          <t>PORTO ALEGRE</t>
        </is>
      </c>
      <c r="C732" s="7" t="inlineStr">
        <is>
          <t>IPMAA</t>
        </is>
      </c>
      <c r="D732" s="7" t="inlineStr">
        <is>
          <t>IPMAFB</t>
        </is>
      </c>
      <c r="E732" s="7" t="inlineStr"/>
      <c r="F732" s="8" t="inlineStr"/>
      <c r="G732" s="8" t="inlineStr">
        <is>
          <t>Estrada Campo Novo, 131</t>
        </is>
      </c>
      <c r="H732" s="7" t="inlineStr">
        <is>
          <t>IPMAA.011.M020</t>
        </is>
      </c>
      <c r="I732" s="8" t="inlineStr">
        <is>
          <t>COBRAR DENTRO DO NODE IPMAFB FASE 2</t>
        </is>
      </c>
      <c r="J732" s="8" t="inlineStr"/>
      <c r="K732" s="8" t="inlineStr">
        <is>
          <t>DIOGO</t>
        </is>
      </c>
      <c r="L732" s="7" t="inlineStr"/>
      <c r="M732" s="7" t="inlineStr"/>
      <c r="N732" s="7" t="inlineStr"/>
      <c r="O732" s="9" t="n">
        <v>45924</v>
      </c>
      <c r="P732" s="7" t="inlineStr">
        <is>
          <t>NÃO PRECISA</t>
        </is>
      </c>
      <c r="Q732" s="7" t="inlineStr">
        <is>
          <t>IPMAFB</t>
        </is>
      </c>
      <c r="R732" s="7" t="inlineStr">
        <is>
          <t>Concluído Campo</t>
        </is>
      </c>
      <c r="S732" s="7" t="inlineStr"/>
      <c r="T732" s="10" t="inlineStr"/>
      <c r="U732" s="7" t="inlineStr"/>
      <c r="V732" s="7" t="inlineStr"/>
      <c r="W732" s="7" t="inlineStr"/>
      <c r="X732" s="7" t="inlineStr">
        <is>
          <t>AG. MEDIÇÃO</t>
        </is>
      </c>
      <c r="Y732" s="11">
        <f>IF(AND(L732&lt;&gt;"", S732&lt;&gt;""), S732-L732, IF(L732&lt;&gt;"", TODAY()-L732, ""))</f>
        <v/>
      </c>
      <c r="Z732" s="7">
        <f>IF(Y732="", "", IF(Y732&lt;=3, "NO PRAZO", "ATRASADO"))</f>
        <v/>
      </c>
      <c r="AA732" s="8" t="inlineStr"/>
    </row>
    <row r="733" ht="20" customHeight="1">
      <c r="A733" s="7" t="inlineStr">
        <is>
          <t>RSCLER0731</t>
        </is>
      </c>
      <c r="B733" s="8" t="inlineStr">
        <is>
          <t>PORTO ALEGRE</t>
        </is>
      </c>
      <c r="C733" s="7" t="inlineStr">
        <is>
          <t>BVSAA</t>
        </is>
      </c>
      <c r="D733" s="7" t="inlineStr">
        <is>
          <t>PDRAD</t>
        </is>
      </c>
      <c r="E733" s="7" t="inlineStr">
        <is>
          <t>RSPLE07</t>
        </is>
      </c>
      <c r="F733" s="8" t="inlineStr"/>
      <c r="G733" s="8" t="inlineStr">
        <is>
          <t>Av Dos Industriarios, 664</t>
        </is>
      </c>
      <c r="H733" s="7" t="inlineStr">
        <is>
          <t>BVSAA.015.M030</t>
        </is>
      </c>
      <c r="I733" s="8" t="inlineStr">
        <is>
          <t>COBRAR DENTRO DO NODE PDRAD FASE 3</t>
        </is>
      </c>
      <c r="J733" s="8" t="inlineStr"/>
      <c r="K733" s="8" t="inlineStr">
        <is>
          <t>YURI</t>
        </is>
      </c>
      <c r="L733" s="9" t="n">
        <v>45925</v>
      </c>
      <c r="M733" s="7" t="inlineStr"/>
      <c r="N733" s="7" t="inlineStr"/>
      <c r="O733" s="9" t="n">
        <v>45926</v>
      </c>
      <c r="P733" s="7" t="inlineStr">
        <is>
          <t>NÃO PRECISA</t>
        </is>
      </c>
      <c r="Q733" s="7" t="inlineStr">
        <is>
          <t>PDRAD</t>
        </is>
      </c>
      <c r="R733" s="7" t="inlineStr">
        <is>
          <t>Concluído Campo</t>
        </is>
      </c>
      <c r="S733" s="7" t="inlineStr"/>
      <c r="T733" s="10" t="inlineStr"/>
      <c r="U733" s="7" t="inlineStr"/>
      <c r="V733" s="7" t="inlineStr"/>
      <c r="W733" s="7" t="inlineStr"/>
      <c r="X733" s="7" t="inlineStr">
        <is>
          <t>AG. MEDIÇÃO</t>
        </is>
      </c>
      <c r="Y733" s="11">
        <f>IF(AND(L733&lt;&gt;"", S733&lt;&gt;""), S733-L733, IF(L733&lt;&gt;"", TODAY()-L733, ""))</f>
        <v/>
      </c>
      <c r="Z733" s="7">
        <f>IF(Y733="", "", IF(Y733&lt;=3, "NO PRAZO", "ATRASADO"))</f>
        <v/>
      </c>
      <c r="AA733" s="8" t="inlineStr"/>
    </row>
    <row r="734" ht="20" customHeight="1">
      <c r="A734" s="7" t="inlineStr">
        <is>
          <t>RSCLER0732</t>
        </is>
      </c>
      <c r="B734" s="8" t="inlineStr">
        <is>
          <t>PORTO ALEGRE</t>
        </is>
      </c>
      <c r="C734" s="7" t="inlineStr">
        <is>
          <t>BVSAA</t>
        </is>
      </c>
      <c r="D734" s="7" t="inlineStr">
        <is>
          <t>PDRAD</t>
        </is>
      </c>
      <c r="E734" s="7" t="inlineStr">
        <is>
          <t>RSPLE08</t>
        </is>
      </c>
      <c r="F734" s="8" t="inlineStr"/>
      <c r="G734" s="8" t="inlineStr">
        <is>
          <t>RUA SÃO JERÔNIMO, 68</t>
        </is>
      </c>
      <c r="H734" s="7" t="inlineStr">
        <is>
          <t>BVSAA.015.M040</t>
        </is>
      </c>
      <c r="I734" s="8" t="inlineStr">
        <is>
          <t>COBRAR DENTRO DO NODE PDRAD FASE 3</t>
        </is>
      </c>
      <c r="J734" s="8" t="inlineStr"/>
      <c r="K734" s="8" t="inlineStr">
        <is>
          <t>CLEVERSON</t>
        </is>
      </c>
      <c r="L734" s="9" t="n">
        <v>45919</v>
      </c>
      <c r="M734" s="7" t="inlineStr"/>
      <c r="N734" s="7" t="inlineStr"/>
      <c r="O734" s="9" t="n">
        <v>45920</v>
      </c>
      <c r="P734" s="7" t="inlineStr">
        <is>
          <t>NÃO PRECISA</t>
        </is>
      </c>
      <c r="Q734" s="7" t="inlineStr">
        <is>
          <t>PDRAD</t>
        </is>
      </c>
      <c r="R734" s="7" t="inlineStr">
        <is>
          <t>Concluído Campo</t>
        </is>
      </c>
      <c r="S734" s="7" t="inlineStr"/>
      <c r="T734" s="10" t="inlineStr"/>
      <c r="U734" s="7" t="inlineStr"/>
      <c r="V734" s="7" t="inlineStr"/>
      <c r="W734" s="7" t="inlineStr"/>
      <c r="X734" s="7" t="inlineStr">
        <is>
          <t>AG. MEDIÇÃO</t>
        </is>
      </c>
      <c r="Y734" s="11">
        <f>IF(AND(L734&lt;&gt;"", S734&lt;&gt;""), S734-L734, IF(L734&lt;&gt;"", TODAY()-L734, ""))</f>
        <v/>
      </c>
      <c r="Z734" s="7">
        <f>IF(Y734="", "", IF(Y734&lt;=3, "NO PRAZO", "ATRASADO"))</f>
        <v/>
      </c>
      <c r="AA734" s="8" t="inlineStr"/>
    </row>
    <row r="735" ht="20" customHeight="1">
      <c r="A735" s="7" t="inlineStr">
        <is>
          <t>RSCLER0733</t>
        </is>
      </c>
      <c r="B735" s="8" t="inlineStr">
        <is>
          <t>PORTO ALEGRE</t>
        </is>
      </c>
      <c r="C735" s="7" t="inlineStr">
        <is>
          <t>BJMAA</t>
        </is>
      </c>
      <c r="D735" s="7" t="inlineStr">
        <is>
          <t>JSOAAA</t>
        </is>
      </c>
      <c r="E735" s="7" t="inlineStr">
        <is>
          <t>RSPLE20</t>
        </is>
      </c>
      <c r="F735" s="8" t="inlineStr"/>
      <c r="G735" s="8" t="inlineStr">
        <is>
          <t>RUA ANGELO CRIVELARO, 645,665,650</t>
        </is>
      </c>
      <c r="H735" s="7" t="inlineStr">
        <is>
          <t>BJMAA.073.M020</t>
        </is>
      </c>
      <c r="I735" s="8" t="inlineStr">
        <is>
          <t>COBRAR DENTRO DO NODE JSOAAA</t>
        </is>
      </c>
      <c r="J735" s="8" t="inlineStr">
        <is>
          <t>ADRIANO</t>
        </is>
      </c>
      <c r="K735" s="8" t="inlineStr">
        <is>
          <t>AUGUSTO</t>
        </is>
      </c>
      <c r="L735" s="7" t="inlineStr"/>
      <c r="M735" s="7" t="inlineStr"/>
      <c r="N735" s="7" t="inlineStr"/>
      <c r="O735" s="9" t="n">
        <v>45940</v>
      </c>
      <c r="P735" s="7" t="inlineStr">
        <is>
          <t>NÃO PRECISA</t>
        </is>
      </c>
      <c r="Q735" s="7" t="inlineStr">
        <is>
          <t>JSOAAA</t>
        </is>
      </c>
      <c r="R735" s="7" t="inlineStr">
        <is>
          <t>Concluído Campo</t>
        </is>
      </c>
      <c r="S735" s="7" t="inlineStr"/>
      <c r="T735" s="10" t="inlineStr"/>
      <c r="U735" s="7" t="inlineStr"/>
      <c r="V735" s="7" t="inlineStr"/>
      <c r="W735" s="7" t="inlineStr"/>
      <c r="X735" s="7" t="inlineStr">
        <is>
          <t>AG. MEDIÇÃO</t>
        </is>
      </c>
      <c r="Y735" s="11">
        <f>IF(AND(L735&lt;&gt;"", S735&lt;&gt;""), S735-L735, IF(L735&lt;&gt;"", TODAY()-L735, ""))</f>
        <v/>
      </c>
      <c r="Z735" s="7">
        <f>IF(Y735="", "", IF(Y735&lt;=3, "NO PRAZO", "ATRASADO"))</f>
        <v/>
      </c>
      <c r="AA735" s="8" t="inlineStr"/>
    </row>
    <row r="736" ht="20" customHeight="1">
      <c r="A736" s="7" t="inlineStr">
        <is>
          <t>RSCLER0734</t>
        </is>
      </c>
      <c r="B736" s="8" t="inlineStr">
        <is>
          <t>PORTO ALEGRE</t>
        </is>
      </c>
      <c r="C736" s="7" t="inlineStr">
        <is>
          <t>BJMAA</t>
        </is>
      </c>
      <c r="D736" s="7" t="inlineStr">
        <is>
          <t>JSOAAA</t>
        </is>
      </c>
      <c r="E736" s="7" t="inlineStr">
        <is>
          <t>RSPLE20</t>
        </is>
      </c>
      <c r="F736" s="8" t="inlineStr"/>
      <c r="G736" s="8" t="inlineStr">
        <is>
          <t>RUA ANGELO CRIVELARO,700,720,725</t>
        </is>
      </c>
      <c r="H736" s="7" t="inlineStr">
        <is>
          <t>BJMAA.073.M030</t>
        </is>
      </c>
      <c r="I736" s="8" t="inlineStr">
        <is>
          <t>COBRAR DENTRO DO NODE JSOAAA</t>
        </is>
      </c>
      <c r="J736" s="8" t="inlineStr">
        <is>
          <t>ADRIANO</t>
        </is>
      </c>
      <c r="K736" s="8" t="inlineStr">
        <is>
          <t>AUGUSTO</t>
        </is>
      </c>
      <c r="L736" s="7" t="inlineStr"/>
      <c r="M736" s="7" t="inlineStr"/>
      <c r="N736" s="7" t="inlineStr"/>
      <c r="O736" s="9" t="n">
        <v>45940</v>
      </c>
      <c r="P736" s="7" t="inlineStr">
        <is>
          <t>NÃO PRECISA</t>
        </is>
      </c>
      <c r="Q736" s="7" t="inlineStr">
        <is>
          <t>JSOAAA</t>
        </is>
      </c>
      <c r="R736" s="7" t="inlineStr">
        <is>
          <t>Concluído Campo</t>
        </is>
      </c>
      <c r="S736" s="7" t="inlineStr"/>
      <c r="T736" s="10" t="inlineStr"/>
      <c r="U736" s="7" t="inlineStr"/>
      <c r="V736" s="7" t="inlineStr"/>
      <c r="W736" s="7" t="inlineStr"/>
      <c r="X736" s="7" t="inlineStr">
        <is>
          <t>AG. MEDIÇÃO</t>
        </is>
      </c>
      <c r="Y736" s="11">
        <f>IF(AND(L736&lt;&gt;"", S736&lt;&gt;""), S736-L736, IF(L736&lt;&gt;"", TODAY()-L736, ""))</f>
        <v/>
      </c>
      <c r="Z736" s="7">
        <f>IF(Y736="", "", IF(Y736&lt;=3, "NO PRAZO", "ATRASADO"))</f>
        <v/>
      </c>
      <c r="AA736" s="8" t="inlineStr"/>
    </row>
    <row r="737" ht="20" customHeight="1">
      <c r="A737" s="7" t="inlineStr">
        <is>
          <t>RSCLER0735</t>
        </is>
      </c>
      <c r="B737" s="8" t="inlineStr">
        <is>
          <t>PORTO ALEGRE</t>
        </is>
      </c>
      <c r="C737" s="7" t="inlineStr">
        <is>
          <t>BJMAA</t>
        </is>
      </c>
      <c r="D737" s="7" t="inlineStr">
        <is>
          <t>JSOAAA</t>
        </is>
      </c>
      <c r="E737" s="7" t="inlineStr">
        <is>
          <t>RSPLE20</t>
        </is>
      </c>
      <c r="F737" s="8" t="inlineStr"/>
      <c r="G737" s="8" t="inlineStr">
        <is>
          <t>RUA ANGELO CRIVELARO,680</t>
        </is>
      </c>
      <c r="H737" s="7" t="inlineStr">
        <is>
          <t>BJMAA.073.M040</t>
        </is>
      </c>
      <c r="I737" s="8" t="inlineStr">
        <is>
          <t>COBRAR DENTRO DO NODE JSOAAA</t>
        </is>
      </c>
      <c r="J737" s="8" t="inlineStr">
        <is>
          <t>ADRIANO</t>
        </is>
      </c>
      <c r="K737" s="8" t="inlineStr">
        <is>
          <t>AUGUSTO</t>
        </is>
      </c>
      <c r="L737" s="7" t="inlineStr"/>
      <c r="M737" s="7" t="inlineStr"/>
      <c r="N737" s="7" t="inlineStr"/>
      <c r="O737" s="9" t="n">
        <v>45940</v>
      </c>
      <c r="P737" s="7" t="inlineStr">
        <is>
          <t>NÃO PRECISA</t>
        </is>
      </c>
      <c r="Q737" s="7" t="inlineStr">
        <is>
          <t>JSOAAA</t>
        </is>
      </c>
      <c r="R737" s="7" t="inlineStr">
        <is>
          <t>Concluído Campo</t>
        </is>
      </c>
      <c r="S737" s="7" t="inlineStr"/>
      <c r="T737" s="10" t="inlineStr"/>
      <c r="U737" s="7" t="inlineStr"/>
      <c r="V737" s="7" t="inlineStr"/>
      <c r="W737" s="7" t="inlineStr"/>
      <c r="X737" s="7" t="inlineStr">
        <is>
          <t>AG. MEDIÇÃO</t>
        </is>
      </c>
      <c r="Y737" s="11">
        <f>IF(AND(L737&lt;&gt;"", S737&lt;&gt;""), S737-L737, IF(L737&lt;&gt;"", TODAY()-L737, ""))</f>
        <v/>
      </c>
      <c r="Z737" s="7">
        <f>IF(Y737="", "", IF(Y737&lt;=3, "NO PRAZO", "ATRASADO"))</f>
        <v/>
      </c>
      <c r="AA737" s="8" t="inlineStr"/>
    </row>
    <row r="738" ht="20" customHeight="1">
      <c r="A738" s="7" t="inlineStr">
        <is>
          <t>RSCLER0736</t>
        </is>
      </c>
      <c r="B738" s="8" t="inlineStr">
        <is>
          <t>TRAMANDAI</t>
        </is>
      </c>
      <c r="C738" s="7" t="inlineStr">
        <is>
          <t>TRA</t>
        </is>
      </c>
      <c r="D738" s="7" t="inlineStr"/>
      <c r="E738" s="7" t="inlineStr"/>
      <c r="F738" s="8" t="inlineStr"/>
      <c r="G738" s="8" t="inlineStr">
        <is>
          <t>R VINTE E QUATRO DE SETEMBRO, 1030</t>
        </is>
      </c>
      <c r="H738" s="7" t="inlineStr">
        <is>
          <t>TRA.031.M030</t>
        </is>
      </c>
      <c r="I738" s="8" t="inlineStr">
        <is>
          <t>3 ABERTURA E FECHAMENTO, 6 FUSÕES, 4 TESTES, 3 TESTES OTDR</t>
        </is>
      </c>
      <c r="J738" s="8" t="inlineStr"/>
      <c r="K738" s="8" t="inlineStr">
        <is>
          <t>FABIO AMARILHO</t>
        </is>
      </c>
      <c r="L738" s="9" t="n">
        <v>45931</v>
      </c>
      <c r="M738" s="7" t="inlineStr"/>
      <c r="N738" s="7" t="inlineStr"/>
      <c r="O738" s="9" t="n">
        <v>45957</v>
      </c>
      <c r="P738" s="9" t="n">
        <v>46011</v>
      </c>
      <c r="Q738" s="9" t="n">
        <v>46011</v>
      </c>
      <c r="R738" s="7" t="inlineStr">
        <is>
          <t>Concluído Campo</t>
        </is>
      </c>
      <c r="S738" s="9" t="n">
        <v>45957</v>
      </c>
      <c r="T738" s="10" t="inlineStr"/>
      <c r="U738" s="7" t="inlineStr"/>
      <c r="V738" s="7" t="inlineStr"/>
      <c r="W738" s="7" t="inlineStr"/>
      <c r="X738" s="7" t="inlineStr">
        <is>
          <t>MEDIÇÃO CONCLUÍDA</t>
        </is>
      </c>
      <c r="Y738" s="11">
        <f>IF(AND(L738&lt;&gt;"", S738&lt;&gt;""), S738-L738, IF(L738&lt;&gt;"", TODAY()-L738, ""))</f>
        <v/>
      </c>
      <c r="Z738" s="7">
        <f>IF(Y738="", "", IF(Y738&lt;=3, "NO PRAZO", "ATRASADO"))</f>
        <v/>
      </c>
      <c r="AA738" s="8" t="inlineStr"/>
    </row>
    <row r="739" ht="20" customHeight="1">
      <c r="A739" s="7" t="inlineStr">
        <is>
          <t>RSCLER0737</t>
        </is>
      </c>
      <c r="B739" s="8" t="inlineStr">
        <is>
          <t>PORTO ALEGRE</t>
        </is>
      </c>
      <c r="C739" s="7" t="inlineStr">
        <is>
          <t>FLOAA</t>
        </is>
      </c>
      <c r="D739" s="7" t="inlineStr">
        <is>
          <t>FLOAQ</t>
        </is>
      </c>
      <c r="E739" s="7" t="inlineStr">
        <is>
          <t>RSPNO11</t>
        </is>
      </c>
      <c r="F739" s="8" t="inlineStr"/>
      <c r="G739" s="8" t="inlineStr">
        <is>
          <t>AV CRISTOVAO COLOMBO 1854 / 1848</t>
        </is>
      </c>
      <c r="H739" s="7" t="inlineStr">
        <is>
          <t>FLOAA.011.M080</t>
        </is>
      </c>
      <c r="I739" s="8" t="inlineStr">
        <is>
          <t>FOI LANÇADO 138 METROS DE CABO DE 12FO, 3 ABERTURA E FECHAMENTO, 6 FUSÕES, 3 TESTES</t>
        </is>
      </c>
      <c r="J739" s="8" t="inlineStr">
        <is>
          <t>CLEVERSON</t>
        </is>
      </c>
      <c r="K739" s="8" t="inlineStr">
        <is>
          <t>DIOGO</t>
        </is>
      </c>
      <c r="L739" s="9" t="n">
        <v>45937</v>
      </c>
      <c r="M739" s="7" t="inlineStr"/>
      <c r="N739" s="7" t="inlineStr"/>
      <c r="O739" s="9" t="n">
        <v>45938</v>
      </c>
      <c r="P739" s="9" t="n">
        <v>45951</v>
      </c>
      <c r="Q739" s="9" t="n">
        <v>45951</v>
      </c>
      <c r="R739" s="7" t="inlineStr">
        <is>
          <t>Concluído Campo</t>
        </is>
      </c>
      <c r="S739" s="9" t="n">
        <v>45938</v>
      </c>
      <c r="T739" s="10" t="inlineStr"/>
      <c r="U739" s="7" t="inlineStr">
        <is>
          <t>5059193</t>
        </is>
      </c>
      <c r="V739" s="7" t="inlineStr">
        <is>
          <t>FINALIZADO</t>
        </is>
      </c>
      <c r="W739" s="7" t="inlineStr"/>
      <c r="X739" s="7" t="inlineStr">
        <is>
          <t>MEDIÇÃO CONCLUÍDA</t>
        </is>
      </c>
      <c r="Y739" s="11">
        <f>IF(AND(L739&lt;&gt;"", S739&lt;&gt;""), S739-L739, IF(L739&lt;&gt;"", TODAY()-L739, ""))</f>
        <v/>
      </c>
      <c r="Z739" s="7">
        <f>IF(Y739="", "", IF(Y739&lt;=3, "NO PRAZO", "ATRASADO"))</f>
        <v/>
      </c>
      <c r="AA739" s="8" t="inlineStr"/>
    </row>
    <row r="740" ht="20" customHeight="1">
      <c r="A740" s="7" t="inlineStr">
        <is>
          <t>RSCLER0738</t>
        </is>
      </c>
      <c r="B740" s="8" t="inlineStr">
        <is>
          <t>TORRES</t>
        </is>
      </c>
      <c r="C740" s="7" t="inlineStr">
        <is>
          <t>CLC</t>
        </is>
      </c>
      <c r="D740" s="7" t="inlineStr"/>
      <c r="E740" s="7" t="inlineStr">
        <is>
          <t>RSTES02</t>
        </is>
      </c>
      <c r="F740" s="8" t="inlineStr"/>
      <c r="G740" s="8" t="inlineStr">
        <is>
          <t>RUA BORGES DE MEDEIRO, 212</t>
        </is>
      </c>
      <c r="H740" s="7" t="inlineStr">
        <is>
          <t>CLC022-M6</t>
        </is>
      </c>
      <c r="I740" s="8" t="inlineStr"/>
      <c r="J740" s="8" t="inlineStr">
        <is>
          <t>MAQUENZE</t>
        </is>
      </c>
      <c r="K740" s="8" t="inlineStr">
        <is>
          <t>MAQUENZE</t>
        </is>
      </c>
      <c r="L740" s="9" t="n">
        <v>45938</v>
      </c>
      <c r="M740" s="7" t="inlineStr"/>
      <c r="N740" s="7" t="inlineStr"/>
      <c r="O740" s="7" t="inlineStr"/>
      <c r="P740" s="7" t="inlineStr">
        <is>
          <t>Não Precisa</t>
        </is>
      </c>
      <c r="Q740" s="7" t="inlineStr"/>
      <c r="R740" s="7" t="inlineStr">
        <is>
          <t>Concluído Campo</t>
        </is>
      </c>
      <c r="S740" s="7" t="inlineStr"/>
      <c r="T740" s="10" t="inlineStr"/>
      <c r="U740" s="7" t="inlineStr"/>
      <c r="V740" s="7" t="inlineStr"/>
      <c r="W740" s="7" t="inlineStr"/>
      <c r="X740" s="7" t="inlineStr">
        <is>
          <t>AG. RELATÓRIO</t>
        </is>
      </c>
      <c r="Y740" s="11">
        <f>IF(AND(L740&lt;&gt;"", S740&lt;&gt;""), S740-L740, IF(L740&lt;&gt;"", TODAY()-L740, ""))</f>
        <v/>
      </c>
      <c r="Z740" s="7">
        <f>IF(Y740="", "", IF(Y740&lt;=3, "NO PRAZO", "ATRASADO"))</f>
        <v/>
      </c>
      <c r="AA740" s="8" t="inlineStr"/>
    </row>
    <row r="741" ht="20" customHeight="1">
      <c r="A741" s="7" t="inlineStr">
        <is>
          <t>RSCLER0739</t>
        </is>
      </c>
      <c r="B741" s="8" t="inlineStr">
        <is>
          <t>PORTO ALEGRE</t>
        </is>
      </c>
      <c r="C741" s="7" t="inlineStr">
        <is>
          <t>BVSAB</t>
        </is>
      </c>
      <c r="D741" s="7" t="inlineStr">
        <is>
          <t>VJDAEA</t>
        </is>
      </c>
      <c r="E741" s="7" t="inlineStr">
        <is>
          <t>PAE NR</t>
        </is>
      </c>
      <c r="F741" s="8" t="inlineStr"/>
      <c r="G741" s="8" t="inlineStr">
        <is>
          <t>RUA ARARUAMA, 805</t>
        </is>
      </c>
      <c r="H741" s="7" t="inlineStr">
        <is>
          <t>BVSAB.301.M010</t>
        </is>
      </c>
      <c r="I741" s="8" t="inlineStr">
        <is>
          <t>COBRAR DENTRO DO NODE VJDAEA</t>
        </is>
      </c>
      <c r="J741" s="8" t="inlineStr">
        <is>
          <t>CLEVERSON</t>
        </is>
      </c>
      <c r="K741" s="8" t="inlineStr">
        <is>
          <t>AUGUSTO</t>
        </is>
      </c>
      <c r="L741" s="9" t="n">
        <v>45944</v>
      </c>
      <c r="M741" s="7" t="inlineStr"/>
      <c r="N741" s="7" t="inlineStr"/>
      <c r="O741" s="9" t="n">
        <v>45986</v>
      </c>
      <c r="P741" s="7" t="inlineStr">
        <is>
          <t>NÃO PRECISA</t>
        </is>
      </c>
      <c r="Q741" s="7" t="inlineStr">
        <is>
          <t>VJDAEA</t>
        </is>
      </c>
      <c r="R741" s="7" t="inlineStr">
        <is>
          <t>Concluído Campo</t>
        </is>
      </c>
      <c r="S741" s="7" t="inlineStr"/>
      <c r="T741" s="10" t="inlineStr"/>
      <c r="U741" s="7" t="inlineStr"/>
      <c r="V741" s="7" t="inlineStr"/>
      <c r="W741" s="7" t="inlineStr"/>
      <c r="X741" s="7" t="inlineStr">
        <is>
          <t>AG. MEDIÇÃO</t>
        </is>
      </c>
      <c r="Y741" s="11">
        <f>IF(AND(L741&lt;&gt;"", S741&lt;&gt;""), S741-L741, IF(L741&lt;&gt;"", TODAY()-L741, ""))</f>
        <v/>
      </c>
      <c r="Z741" s="7">
        <f>IF(Y741="", "", IF(Y741&lt;=3, "NO PRAZO", "ATRASADO"))</f>
        <v/>
      </c>
      <c r="AA741" s="8" t="inlineStr"/>
    </row>
    <row r="742" ht="20" customHeight="1">
      <c r="A742" s="7" t="inlineStr">
        <is>
          <t>RSCLER0740</t>
        </is>
      </c>
      <c r="B742" s="8" t="inlineStr">
        <is>
          <t>NOVO HAMBURGO</t>
        </is>
      </c>
      <c r="C742" s="7" t="inlineStr">
        <is>
          <t>CNTAA</t>
        </is>
      </c>
      <c r="D742" s="7" t="inlineStr"/>
      <c r="E742" s="7" t="inlineStr">
        <is>
          <t>NHO LO</t>
        </is>
      </c>
      <c r="F742" s="8" t="inlineStr"/>
      <c r="G742" s="8" t="inlineStr">
        <is>
          <t>PINTO BANDEIRA 66</t>
        </is>
      </c>
      <c r="H742" s="7" t="inlineStr">
        <is>
          <t>CNTAA.113.M020</t>
        </is>
      </c>
      <c r="I742" s="8" t="inlineStr">
        <is>
          <t>3 ABERTURA E FECHAMENTO, 2 FUSÕES, 1 TESTE</t>
        </is>
      </c>
      <c r="J742" s="8" t="inlineStr"/>
      <c r="K742" s="8" t="inlineStr">
        <is>
          <t>DIOGO</t>
        </is>
      </c>
      <c r="L742" s="9" t="n">
        <v>45946</v>
      </c>
      <c r="M742" s="9" t="n">
        <v>45946</v>
      </c>
      <c r="N742" s="9" t="n">
        <v>45951</v>
      </c>
      <c r="O742" s="9" t="n">
        <v>45951</v>
      </c>
      <c r="P742" s="9" t="n">
        <v>45951</v>
      </c>
      <c r="Q742" s="9" t="n">
        <v>45951</v>
      </c>
      <c r="R742" s="7" t="inlineStr">
        <is>
          <t>Concluído Campo</t>
        </is>
      </c>
      <c r="S742" s="9" t="n">
        <v>45951</v>
      </c>
      <c r="T742" s="10" t="inlineStr"/>
      <c r="U742" s="7" t="inlineStr"/>
      <c r="V742" s="7" t="inlineStr"/>
      <c r="W742" s="7" t="inlineStr"/>
      <c r="X742" s="7" t="inlineStr">
        <is>
          <t>MEDIÇÃO CONCLUÍDA</t>
        </is>
      </c>
      <c r="Y742" s="11">
        <f>IF(AND(L742&lt;&gt;"", S742&lt;&gt;""), S742-L742, IF(L742&lt;&gt;"", TODAY()-L742, ""))</f>
        <v/>
      </c>
      <c r="Z742" s="7">
        <f>IF(Y742="", "", IF(Y742&lt;=3, "NO PRAZO", "ATRASADO"))</f>
        <v/>
      </c>
      <c r="AA742" s="8" t="inlineStr"/>
    </row>
    <row r="743" ht="20" customHeight="1">
      <c r="A743" s="7" t="inlineStr">
        <is>
          <t>RSCLER0741</t>
        </is>
      </c>
      <c r="B743" s="8" t="inlineStr">
        <is>
          <t>PORTO ALEGRE</t>
        </is>
      </c>
      <c r="C743" s="7" t="inlineStr">
        <is>
          <t>LPRAB</t>
        </is>
      </c>
      <c r="D743" s="7" t="inlineStr">
        <is>
          <t>LPRAA</t>
        </is>
      </c>
      <c r="E743" s="7" t="inlineStr">
        <is>
          <t>RSPSU98</t>
        </is>
      </c>
      <c r="F743" s="8" t="inlineStr">
        <is>
          <t>COND. PINHEIROS</t>
        </is>
      </c>
      <c r="G743" s="8" t="inlineStr">
        <is>
          <t>Estrada João de Oliveira Remião, 6700</t>
        </is>
      </c>
      <c r="H743" s="7" t="inlineStr">
        <is>
          <t>LPRAB.032.M030</t>
        </is>
      </c>
      <c r="I743" s="8" t="inlineStr">
        <is>
          <t>FOI LANÇADO 99 METROS DE CABO DE 12FO, 2 ABERTURA E FECHAMENTO, 1 CX NOVA, 1 DERIVAÇÃO, 4 FUSÕES, 2 TESTES</t>
        </is>
      </c>
      <c r="J743" s="8" t="inlineStr">
        <is>
          <t>AUGUSTO</t>
        </is>
      </c>
      <c r="K743" s="8" t="inlineStr">
        <is>
          <t>AUGUSTO</t>
        </is>
      </c>
      <c r="L743" s="9" t="n">
        <v>45947</v>
      </c>
      <c r="M743" s="7" t="inlineStr"/>
      <c r="N743" s="7" t="inlineStr"/>
      <c r="O743" s="9" t="n">
        <v>45947</v>
      </c>
      <c r="P743" s="9" t="n">
        <v>45950</v>
      </c>
      <c r="Q743" s="9" t="n">
        <v>45950</v>
      </c>
      <c r="R743" s="7" t="inlineStr">
        <is>
          <t>Concluído Campo</t>
        </is>
      </c>
      <c r="S743" s="9" t="n">
        <v>45947</v>
      </c>
      <c r="T743" s="10" t="inlineStr"/>
      <c r="U743" s="7" t="inlineStr">
        <is>
          <t>5058979</t>
        </is>
      </c>
      <c r="V743" s="7" t="inlineStr">
        <is>
          <t>FINALIZADO</t>
        </is>
      </c>
      <c r="W743" s="7" t="inlineStr"/>
      <c r="X743" s="7" t="inlineStr">
        <is>
          <t>MEDIÇÃO CONCLUÍDA</t>
        </is>
      </c>
      <c r="Y743" s="11">
        <f>IF(AND(L743&lt;&gt;"", S743&lt;&gt;""), S743-L743, IF(L743&lt;&gt;"", TODAY()-L743, ""))</f>
        <v/>
      </c>
      <c r="Z743" s="7">
        <f>IF(Y743="", "", IF(Y743&lt;=3, "NO PRAZO", "ATRASADO"))</f>
        <v/>
      </c>
      <c r="AA743" s="8" t="inlineStr"/>
    </row>
    <row r="744" ht="20" customHeight="1">
      <c r="A744" s="7" t="inlineStr">
        <is>
          <t>RSCLER0742</t>
        </is>
      </c>
      <c r="B744" s="8" t="inlineStr">
        <is>
          <t>PORTO ALEGRE</t>
        </is>
      </c>
      <c r="C744" s="7" t="inlineStr">
        <is>
          <t>BFMAA</t>
        </is>
      </c>
      <c r="D744" s="7" t="inlineStr">
        <is>
          <t>CNTAN</t>
        </is>
      </c>
      <c r="E744" s="7" t="inlineStr">
        <is>
          <t>PAE IND</t>
        </is>
      </c>
      <c r="F744" s="8" t="inlineStr">
        <is>
          <t>CPERS</t>
        </is>
      </c>
      <c r="G744" s="8" t="inlineStr">
        <is>
          <t>Av. Alberto Bins, 480</t>
        </is>
      </c>
      <c r="H744" s="7" t="inlineStr">
        <is>
          <t>BFMAA.151.M510</t>
        </is>
      </c>
      <c r="I744" s="8" t="inlineStr">
        <is>
          <t>2 ABERTURA E FECHAMENTO, 4 FUSÕES, 2 TESTES</t>
        </is>
      </c>
      <c r="J744" s="8" t="inlineStr"/>
      <c r="K744" s="8" t="inlineStr">
        <is>
          <t>AUGUSTO</t>
        </is>
      </c>
      <c r="L744" s="9" t="n">
        <v>45947</v>
      </c>
      <c r="M744" s="7" t="inlineStr"/>
      <c r="N744" s="7" t="inlineStr"/>
      <c r="O744" s="9" t="n">
        <v>45950</v>
      </c>
      <c r="P744" s="9" t="n">
        <v>45950</v>
      </c>
      <c r="Q744" s="9" t="n">
        <v>45950</v>
      </c>
      <c r="R744" s="7" t="inlineStr">
        <is>
          <t>Concluído Campo</t>
        </is>
      </c>
      <c r="S744" s="9" t="n">
        <v>45950</v>
      </c>
      <c r="T744" s="10" t="inlineStr"/>
      <c r="U744" s="7" t="inlineStr">
        <is>
          <t>5059072</t>
        </is>
      </c>
      <c r="V744" s="7" t="inlineStr">
        <is>
          <t>FINALIZADO</t>
        </is>
      </c>
      <c r="W744" s="7" t="inlineStr"/>
      <c r="X744" s="7" t="inlineStr">
        <is>
          <t>MEDIÇÃO CONCLUÍDA</t>
        </is>
      </c>
      <c r="Y744" s="11">
        <f>IF(AND(L744&lt;&gt;"", S744&lt;&gt;""), S744-L744, IF(L744&lt;&gt;"", TODAY()-L744, ""))</f>
        <v/>
      </c>
      <c r="Z744" s="7">
        <f>IF(Y744="", "", IF(Y744&lt;=3, "NO PRAZO", "ATRASADO"))</f>
        <v/>
      </c>
      <c r="AA744" s="8" t="inlineStr"/>
    </row>
    <row r="745" ht="20" customHeight="1">
      <c r="A745" s="7" t="inlineStr">
        <is>
          <t>RSCLER0743</t>
        </is>
      </c>
      <c r="B745" s="8" t="inlineStr">
        <is>
          <t>PORTO ALEGRE</t>
        </is>
      </c>
      <c r="C745" s="7" t="inlineStr">
        <is>
          <t>JCVAA</t>
        </is>
      </c>
      <c r="D745" s="7" t="inlineStr">
        <is>
          <t>JCVACB</t>
        </is>
      </c>
      <c r="E745" s="7" t="inlineStr">
        <is>
          <t>RSPNO24</t>
        </is>
      </c>
      <c r="F745" s="8" t="inlineStr"/>
      <c r="G745" s="8" t="inlineStr">
        <is>
          <t>Rua Thomaz Francisco de Jesus, 442.</t>
        </is>
      </c>
      <c r="H745" s="7" t="inlineStr">
        <is>
          <t>JCVAA.101.06.03</t>
        </is>
      </c>
      <c r="I745" s="8" t="inlineStr">
        <is>
          <t>COBRAR DENTRO DO NODE JCVACB FASE 2</t>
        </is>
      </c>
      <c r="J745" s="8" t="inlineStr">
        <is>
          <t>VICTOR</t>
        </is>
      </c>
      <c r="K745" s="8" t="inlineStr">
        <is>
          <t>CLEVERSON</t>
        </is>
      </c>
      <c r="L745" s="9" t="n">
        <v>45951</v>
      </c>
      <c r="M745" s="7" t="inlineStr"/>
      <c r="N745" s="7" t="inlineStr"/>
      <c r="O745" s="9" t="n">
        <v>45960</v>
      </c>
      <c r="P745" s="7" t="inlineStr">
        <is>
          <t>NÃO PRECISA</t>
        </is>
      </c>
      <c r="Q745" s="7" t="inlineStr">
        <is>
          <t>JCVACB FASE 2</t>
        </is>
      </c>
      <c r="R745" s="7" t="inlineStr">
        <is>
          <t>Concluído Campo</t>
        </is>
      </c>
      <c r="S745" s="7" t="inlineStr"/>
      <c r="T745" s="10" t="inlineStr"/>
      <c r="U745" s="7" t="inlineStr"/>
      <c r="V745" s="7" t="inlineStr"/>
      <c r="W745" s="7" t="inlineStr"/>
      <c r="X745" s="7" t="inlineStr">
        <is>
          <t>AG. MEDIÇÃO</t>
        </is>
      </c>
      <c r="Y745" s="11">
        <f>IF(AND(L745&lt;&gt;"", S745&lt;&gt;""), S745-L745, IF(L745&lt;&gt;"", TODAY()-L745, ""))</f>
        <v/>
      </c>
      <c r="Z745" s="7">
        <f>IF(Y745="", "", IF(Y745&lt;=3, "NO PRAZO", "ATRASADO"))</f>
        <v/>
      </c>
      <c r="AA745" s="8" t="inlineStr"/>
    </row>
    <row r="746" ht="20" customHeight="1">
      <c r="A746" s="7" t="inlineStr">
        <is>
          <t>RSCLER0744</t>
        </is>
      </c>
      <c r="B746" s="8" t="inlineStr">
        <is>
          <t>PORTO ALEGRE</t>
        </is>
      </c>
      <c r="C746" s="7" t="inlineStr">
        <is>
          <t>JITAB</t>
        </is>
      </c>
      <c r="D746" s="7" t="inlineStr">
        <is>
          <t>JITAIA</t>
        </is>
      </c>
      <c r="E746" s="7" t="inlineStr">
        <is>
          <t>RSPNO75</t>
        </is>
      </c>
      <c r="F746" s="8" t="inlineStr">
        <is>
          <t>Cond.(Nome do Codominio)</t>
        </is>
      </c>
      <c r="G746" s="8" t="inlineStr">
        <is>
          <t>Rua Elias Bothome, 160</t>
        </is>
      </c>
      <c r="H746" s="7" t="inlineStr">
        <is>
          <t>JITAB.152.05.06</t>
        </is>
      </c>
      <c r="I746" s="8" t="inlineStr">
        <is>
          <t>FOI LANÇADO 483 METROS DE CABO DE 12FO, 3 ABERTURA E FECHAMENTO, 1 DERIVAÇÃO, 1 NAP NOVA, 3 FUSÕES, 3 TESTES.</t>
        </is>
      </c>
      <c r="J746" s="8" t="inlineStr">
        <is>
          <t>UBIRAJARA</t>
        </is>
      </c>
      <c r="K746" s="8" t="inlineStr">
        <is>
          <t>AUGUSTO</t>
        </is>
      </c>
      <c r="L746" s="9" t="n">
        <v>45948</v>
      </c>
      <c r="M746" s="7" t="inlineStr"/>
      <c r="N746" s="7" t="inlineStr"/>
      <c r="O746" s="9" t="n">
        <v>45950</v>
      </c>
      <c r="P746" s="9" t="n">
        <v>45950</v>
      </c>
      <c r="Q746" s="9" t="n">
        <v>45950</v>
      </c>
      <c r="R746" s="7" t="inlineStr">
        <is>
          <t>Concluído Campo</t>
        </is>
      </c>
      <c r="S746" s="9" t="n">
        <v>45958</v>
      </c>
      <c r="T746" s="10" t="inlineStr"/>
      <c r="U746" s="7" t="inlineStr">
        <is>
          <t>5063728</t>
        </is>
      </c>
      <c r="V746" s="7" t="inlineStr">
        <is>
          <t>FINALIZADO</t>
        </is>
      </c>
      <c r="W746" s="7" t="inlineStr"/>
      <c r="X746" s="7" t="inlineStr">
        <is>
          <t>MEDIÇÃO CONCLUÍDA</t>
        </is>
      </c>
      <c r="Y746" s="11">
        <f>IF(AND(L746&lt;&gt;"", S746&lt;&gt;""), S746-L746, IF(L746&lt;&gt;"", TODAY()-L746, ""))</f>
        <v/>
      </c>
      <c r="Z746" s="7">
        <f>IF(Y746="", "", IF(Y746&lt;=3, "NO PRAZO", "ATRASADO"))</f>
        <v/>
      </c>
      <c r="AA746" s="8" t="inlineStr"/>
    </row>
    <row r="747" ht="20" customHeight="1">
      <c r="A747" s="7" t="inlineStr">
        <is>
          <t>RSCLER0745</t>
        </is>
      </c>
      <c r="B747" s="8" t="inlineStr">
        <is>
          <t>NOVO HAMBURGO</t>
        </is>
      </c>
      <c r="C747" s="7" t="inlineStr">
        <is>
          <t>CNTAA</t>
        </is>
      </c>
      <c r="D747" s="7" t="inlineStr">
        <is>
          <t>CNTAL</t>
        </is>
      </c>
      <c r="E747" s="7" t="inlineStr">
        <is>
          <t>NHO LO</t>
        </is>
      </c>
      <c r="F747" s="8" t="inlineStr"/>
      <c r="G747" s="8" t="inlineStr">
        <is>
          <t>TUPINAMBÁ, 38, 24, 6</t>
        </is>
      </c>
      <c r="H747" s="7" t="inlineStr">
        <is>
          <t>CNTAA.081.M030</t>
        </is>
      </c>
      <c r="I747" s="8" t="inlineStr">
        <is>
          <t>2 ABERTURA E FECHAMENTO, 2 FUSÕES, 2 TESTES</t>
        </is>
      </c>
      <c r="J747" s="8" t="inlineStr"/>
      <c r="K747" s="8" t="inlineStr">
        <is>
          <t>DIOGO</t>
        </is>
      </c>
      <c r="L747" s="9" t="n">
        <v>45951</v>
      </c>
      <c r="M747" s="9" t="n">
        <v>45951</v>
      </c>
      <c r="N747" s="9" t="n">
        <v>45951</v>
      </c>
      <c r="O747" s="9" t="n">
        <v>45951</v>
      </c>
      <c r="P747" s="9" t="n">
        <v>45951</v>
      </c>
      <c r="Q747" s="9" t="n">
        <v>45951</v>
      </c>
      <c r="R747" s="7" t="inlineStr">
        <is>
          <t>Concluído Campo</t>
        </is>
      </c>
      <c r="S747" s="9" t="n">
        <v>45951</v>
      </c>
      <c r="T747" s="10" t="inlineStr"/>
      <c r="U747" s="7" t="inlineStr"/>
      <c r="V747" s="7" t="inlineStr"/>
      <c r="W747" s="7" t="inlineStr"/>
      <c r="X747" s="7" t="inlineStr">
        <is>
          <t>MEDIÇÃO CONCLUÍDA</t>
        </is>
      </c>
      <c r="Y747" s="11">
        <f>IF(AND(L747&lt;&gt;"", S747&lt;&gt;""), S747-L747, IF(L747&lt;&gt;"", TODAY()-L747, ""))</f>
        <v/>
      </c>
      <c r="Z747" s="7">
        <f>IF(Y747="", "", IF(Y747&lt;=3, "NO PRAZO", "ATRASADO"))</f>
        <v/>
      </c>
      <c r="AA747" s="8" t="inlineStr"/>
    </row>
    <row r="748" ht="20" customHeight="1">
      <c r="A748" s="7" t="inlineStr">
        <is>
          <t>RSCLER0746</t>
        </is>
      </c>
      <c r="B748" s="8" t="inlineStr">
        <is>
          <t>PORTO ALEGRE</t>
        </is>
      </c>
      <c r="C748" s="7" t="inlineStr">
        <is>
          <t>TRLAA</t>
        </is>
      </c>
      <c r="D748" s="7" t="inlineStr"/>
      <c r="E748" s="7" t="inlineStr">
        <is>
          <t>HUB ZONA SUL</t>
        </is>
      </c>
      <c r="F748" s="8" t="inlineStr">
        <is>
          <t>MIGRAÇÃO 144FO</t>
        </is>
      </c>
      <c r="G748" s="8" t="inlineStr">
        <is>
          <t>HUB ZONA SUL</t>
        </is>
      </c>
      <c r="H748" s="7" t="inlineStr">
        <is>
          <t>TRLAA.EST03</t>
        </is>
      </c>
      <c r="I748" s="8" t="inlineStr">
        <is>
          <t>FOI LANÇADO 1700 METROS DE CABO DE 144 AUTO SUSTENTAVEL E 220 METROS DE CABO PRECON, 36 METROS DE CORDOALHA, 2 DIO, 1 CX NOVA E 144 FUSÕES E 1 DERIVAÇÃO</t>
        </is>
      </c>
      <c r="J748" s="8" t="inlineStr">
        <is>
          <t>BRUNO</t>
        </is>
      </c>
      <c r="K748" s="8" t="inlineStr">
        <is>
          <t>AUGUSTO</t>
        </is>
      </c>
      <c r="L748" s="7" t="inlineStr"/>
      <c r="M748" s="7" t="inlineStr"/>
      <c r="N748" s="7" t="inlineStr"/>
      <c r="O748" s="7" t="inlineStr"/>
      <c r="P748" s="7" t="inlineStr">
        <is>
          <t>Não Precisa</t>
        </is>
      </c>
      <c r="Q748" s="7" t="inlineStr"/>
      <c r="R748" s="7" t="inlineStr">
        <is>
          <t>Concluído Campo</t>
        </is>
      </c>
      <c r="S748" s="7" t="inlineStr"/>
      <c r="T748" s="10" t="inlineStr"/>
      <c r="U748" s="7" t="inlineStr"/>
      <c r="V748" s="7" t="inlineStr"/>
      <c r="W748" s="7" t="inlineStr"/>
      <c r="X748" s="7" t="inlineStr">
        <is>
          <t>AG. RELATÓRIO</t>
        </is>
      </c>
      <c r="Y748" s="11">
        <f>IF(AND(L748&lt;&gt;"", S748&lt;&gt;""), S748-L748, IF(L748&lt;&gt;"", TODAY()-L748, ""))</f>
        <v/>
      </c>
      <c r="Z748" s="7">
        <f>IF(Y748="", "", IF(Y748&lt;=3, "NO PRAZO", "ATRASADO"))</f>
        <v/>
      </c>
      <c r="AA748" s="8" t="inlineStr"/>
    </row>
    <row r="749" ht="20" customHeight="1">
      <c r="A749" s="7" t="inlineStr">
        <is>
          <t>RSCLER0747</t>
        </is>
      </c>
      <c r="B749" s="8" t="inlineStr">
        <is>
          <t>PORTO ALEGRE</t>
        </is>
      </c>
      <c r="C749" s="7" t="inlineStr">
        <is>
          <t>JBOAA</t>
        </is>
      </c>
      <c r="D749" s="7" t="inlineStr">
        <is>
          <t>PETAE</t>
        </is>
      </c>
      <c r="E749" s="7" t="inlineStr">
        <is>
          <t>RSPLE18</t>
        </is>
      </c>
      <c r="F749" s="8" t="inlineStr"/>
      <c r="G749" s="8" t="inlineStr">
        <is>
          <t>R Itaboraí 101</t>
        </is>
      </c>
      <c r="H749" s="7" t="inlineStr">
        <is>
          <t>JBOAA.102.M010</t>
        </is>
      </c>
      <c r="I749" s="8" t="inlineStr">
        <is>
          <t>COBRAR DENTRO DO NODE PETAE</t>
        </is>
      </c>
      <c r="J749" s="8" t="inlineStr"/>
      <c r="K749" s="8" t="inlineStr"/>
      <c r="L749" s="7" t="inlineStr"/>
      <c r="M749" s="7" t="inlineStr"/>
      <c r="N749" s="7" t="inlineStr"/>
      <c r="O749" s="7" t="inlineStr"/>
      <c r="P749" s="7" t="inlineStr">
        <is>
          <t>NÃO PRECISA</t>
        </is>
      </c>
      <c r="Q749" s="7" t="inlineStr">
        <is>
          <t>PETAE</t>
        </is>
      </c>
      <c r="R749" s="7" t="inlineStr">
        <is>
          <t>Concluído Campo</t>
        </is>
      </c>
      <c r="S749" s="7" t="inlineStr"/>
      <c r="T749" s="10" t="inlineStr"/>
      <c r="U749" s="7" t="inlineStr"/>
      <c r="V749" s="7" t="inlineStr"/>
      <c r="W749" s="7" t="inlineStr"/>
      <c r="X749" s="7" t="inlineStr">
        <is>
          <t>AG. MEDIÇÃO</t>
        </is>
      </c>
      <c r="Y749" s="11">
        <f>IF(AND(L749&lt;&gt;"", S749&lt;&gt;""), S749-L749, IF(L749&lt;&gt;"", TODAY()-L749, ""))</f>
        <v/>
      </c>
      <c r="Z749" s="7">
        <f>IF(Y749="", "", IF(Y749&lt;=3, "NO PRAZO", "ATRASADO"))</f>
        <v/>
      </c>
      <c r="AA749" s="8" t="inlineStr"/>
    </row>
    <row r="750" ht="20" customHeight="1">
      <c r="A750" s="7" t="inlineStr">
        <is>
          <t>RSCLER0748</t>
        </is>
      </c>
      <c r="B750" s="8" t="inlineStr">
        <is>
          <t>PORTO ALEGRE</t>
        </is>
      </c>
      <c r="C750" s="7" t="inlineStr">
        <is>
          <t>NNIAA</t>
        </is>
      </c>
      <c r="D750" s="7" t="inlineStr">
        <is>
          <t>NNIAH</t>
        </is>
      </c>
      <c r="E750" s="7" t="inlineStr">
        <is>
          <t>RSPSU08</t>
        </is>
      </c>
      <c r="F750" s="8" t="inlineStr">
        <is>
          <t>COND. CIDADE JARDIM</t>
        </is>
      </c>
      <c r="G750" s="8" t="inlineStr">
        <is>
          <t>AV NONOAI 1458</t>
        </is>
      </c>
      <c r="H750" s="7" t="inlineStr">
        <is>
          <t>NNIAA.041.M010</t>
        </is>
      </c>
      <c r="I750" s="8" t="inlineStr">
        <is>
          <t>FOI LANÇADO 462 METROS DE CABO DE 12FO, 1 ABERTURA E FECHAMENTO, 6 FUSÕES, 1 DERIVAÇÃO, 1 CX NOVA E 2 TESTES</t>
        </is>
      </c>
      <c r="J750" s="8" t="inlineStr">
        <is>
          <t>UBIRAJARA</t>
        </is>
      </c>
      <c r="K750" s="8" t="inlineStr">
        <is>
          <t>DIOGO</t>
        </is>
      </c>
      <c r="L750" s="9" t="n">
        <v>45960</v>
      </c>
      <c r="M750" s="7" t="inlineStr"/>
      <c r="N750" s="7" t="inlineStr"/>
      <c r="O750" s="9" t="n">
        <v>45964</v>
      </c>
      <c r="P750" s="9" t="n">
        <v>46011</v>
      </c>
      <c r="Q750" s="9" t="n">
        <v>46011</v>
      </c>
      <c r="R750" s="7" t="inlineStr">
        <is>
          <t>Concluído Campo</t>
        </is>
      </c>
      <c r="S750" s="9" t="n">
        <v>45964</v>
      </c>
      <c r="T750" s="10" t="inlineStr"/>
      <c r="U750" s="7" t="inlineStr">
        <is>
          <t>5233892</t>
        </is>
      </c>
      <c r="V750" s="7" t="inlineStr">
        <is>
          <t>FINALIZADO</t>
        </is>
      </c>
      <c r="W750" s="7" t="inlineStr"/>
      <c r="X750" s="7" t="inlineStr">
        <is>
          <t>MEDIÇÃO CONCLUÍDA</t>
        </is>
      </c>
      <c r="Y750" s="11">
        <f>IF(AND(L750&lt;&gt;"", S750&lt;&gt;""), S750-L750, IF(L750&lt;&gt;"", TODAY()-L750, ""))</f>
        <v/>
      </c>
      <c r="Z750" s="7">
        <f>IF(Y750="", "", IF(Y750&lt;=3, "NO PRAZO", "ATRASADO"))</f>
        <v/>
      </c>
      <c r="AA750" s="8" t="inlineStr"/>
    </row>
    <row r="751" ht="20" customHeight="1">
      <c r="A751" s="7" t="inlineStr">
        <is>
          <t>RSCLER0749</t>
        </is>
      </c>
      <c r="B751" s="8" t="inlineStr">
        <is>
          <t>PAROBÉ</t>
        </is>
      </c>
      <c r="C751" s="7" t="inlineStr">
        <is>
          <t>PAR</t>
        </is>
      </c>
      <c r="D751" s="7" t="inlineStr"/>
      <c r="E751" s="7" t="inlineStr"/>
      <c r="F751" s="8" t="inlineStr"/>
      <c r="G751" s="8" t="inlineStr">
        <is>
          <t>RUA GRÉCIA 52</t>
        </is>
      </c>
      <c r="H751" s="7" t="inlineStr">
        <is>
          <t>PAR.019.M040</t>
        </is>
      </c>
      <c r="I751" s="8" t="inlineStr">
        <is>
          <t>FOI LANÇADO 20 METROS DE CABO DE 24FO, 4 ABERTURA E FECHAMENTO, 1 CX NOVA, 12 FUSÕES,</t>
        </is>
      </c>
      <c r="J751" s="8" t="inlineStr">
        <is>
          <t>RODRIGO (MIZA)</t>
        </is>
      </c>
      <c r="K751" s="8" t="inlineStr">
        <is>
          <t>RODRIGO (MIZA)</t>
        </is>
      </c>
      <c r="L751" s="9" t="n">
        <v>45959</v>
      </c>
      <c r="M751" s="7" t="inlineStr"/>
      <c r="N751" s="7" t="inlineStr"/>
      <c r="O751" s="9" t="n">
        <v>45963</v>
      </c>
      <c r="P751" s="9" t="n">
        <v>45994</v>
      </c>
      <c r="Q751" s="9" t="n">
        <v>45994</v>
      </c>
      <c r="R751" s="7" t="inlineStr">
        <is>
          <t>Concluído Campo</t>
        </is>
      </c>
      <c r="S751" s="9" t="n">
        <v>45963</v>
      </c>
      <c r="T751" s="10" t="inlineStr"/>
      <c r="U751" s="7" t="inlineStr"/>
      <c r="V751" s="7" t="inlineStr"/>
      <c r="W751" s="7" t="inlineStr"/>
      <c r="X751" s="7" t="inlineStr">
        <is>
          <t>MEDIÇÃO CONCLUÍDA</t>
        </is>
      </c>
      <c r="Y751" s="11">
        <f>IF(AND(L751&lt;&gt;"", S751&lt;&gt;""), S751-L751, IF(L751&lt;&gt;"", TODAY()-L751, ""))</f>
        <v/>
      </c>
      <c r="Z751" s="7">
        <f>IF(Y751="", "", IF(Y751&lt;=3, "NO PRAZO", "ATRASADO"))</f>
        <v/>
      </c>
      <c r="AA751" s="8" t="inlineStr"/>
    </row>
    <row r="752" ht="20" customHeight="1">
      <c r="A752" s="7" t="inlineStr">
        <is>
          <t>RSCLER0750</t>
        </is>
      </c>
      <c r="B752" s="8" t="inlineStr">
        <is>
          <t>TORRES</t>
        </is>
      </c>
      <c r="C752" s="7" t="inlineStr">
        <is>
          <t>CLC</t>
        </is>
      </c>
      <c r="D752" s="7" t="inlineStr"/>
      <c r="E752" s="7" t="inlineStr">
        <is>
          <t>RSTES02</t>
        </is>
      </c>
      <c r="F752" s="8" t="inlineStr"/>
      <c r="G752" s="8" t="inlineStr">
        <is>
          <t>AV ALFIEIRO ZANARDI -135</t>
        </is>
      </c>
      <c r="H752" s="7" t="inlineStr">
        <is>
          <t>CLC012-M7</t>
        </is>
      </c>
      <c r="I752" s="8" t="inlineStr">
        <is>
          <t>3 ABERTURA E FECHAMENTO, 6 FUSÕES, 2 TESTES, 2 TESTES OTDR</t>
        </is>
      </c>
      <c r="J752" s="8" t="inlineStr"/>
      <c r="K752" s="8" t="inlineStr">
        <is>
          <t>MAQUENZE</t>
        </is>
      </c>
      <c r="L752" s="7" t="inlineStr"/>
      <c r="M752" s="7" t="inlineStr"/>
      <c r="N752" s="7" t="inlineStr"/>
      <c r="O752" s="9" t="n">
        <v>45973</v>
      </c>
      <c r="P752" s="9" t="n">
        <v>45994</v>
      </c>
      <c r="Q752" s="7" t="inlineStr">
        <is>
          <t>ok</t>
        </is>
      </c>
      <c r="R752" s="7" t="inlineStr">
        <is>
          <t>Concluído Campo</t>
        </is>
      </c>
      <c r="S752" s="9" t="n">
        <v>45973</v>
      </c>
      <c r="T752" s="10" t="inlineStr"/>
      <c r="U752" s="7" t="inlineStr"/>
      <c r="V752" s="7" t="inlineStr"/>
      <c r="W752" s="7" t="inlineStr"/>
      <c r="X752" s="7" t="inlineStr">
        <is>
          <t>MEDIÇÃO CONCLUÍDA</t>
        </is>
      </c>
      <c r="Y752" s="11">
        <f>IF(AND(L752&lt;&gt;"", S752&lt;&gt;""), S752-L752, IF(L752&lt;&gt;"", TODAY()-L752, ""))</f>
        <v/>
      </c>
      <c r="Z752" s="7">
        <f>IF(Y752="", "", IF(Y752&lt;=3, "NO PRAZO", "ATRASADO"))</f>
        <v/>
      </c>
      <c r="AA752" s="8" t="inlineStr"/>
    </row>
    <row r="753" ht="20" customHeight="1">
      <c r="A753" s="7" t="inlineStr">
        <is>
          <t>RSCLER0751</t>
        </is>
      </c>
      <c r="B753" s="8" t="inlineStr">
        <is>
          <t>PORTO ALEGRE</t>
        </is>
      </c>
      <c r="C753" s="7" t="inlineStr">
        <is>
          <t>FLOAA</t>
        </is>
      </c>
      <c r="D753" s="7" t="inlineStr">
        <is>
          <t>FLOAO</t>
        </is>
      </c>
      <c r="E753" s="7" t="inlineStr">
        <is>
          <t>RSPNO11</t>
        </is>
      </c>
      <c r="F753" s="8" t="inlineStr"/>
      <c r="G753" s="8" t="inlineStr">
        <is>
          <t>Avenida Cristóvão Colombo, 1319/1311 - Floresta</t>
        </is>
      </c>
      <c r="H753" s="7" t="inlineStr">
        <is>
          <t>FLOAA.031.M030</t>
        </is>
      </c>
      <c r="I753" s="8" t="inlineStr">
        <is>
          <t>7 ABERTURA E FECHAMENTO, 13 FUSÃO, 4 TESTE,</t>
        </is>
      </c>
      <c r="J753" s="8" t="inlineStr"/>
      <c r="K753" s="8" t="inlineStr">
        <is>
          <t>AUGUSTO</t>
        </is>
      </c>
      <c r="L753" s="7" t="inlineStr"/>
      <c r="M753" s="7" t="inlineStr"/>
      <c r="N753" s="7" t="inlineStr"/>
      <c r="O753" s="9" t="n">
        <v>45980</v>
      </c>
      <c r="P753" s="9" t="n">
        <v>46058</v>
      </c>
      <c r="Q753" s="9" t="n">
        <v>46058</v>
      </c>
      <c r="R753" s="7" t="inlineStr">
        <is>
          <t>Concluído Campo</t>
        </is>
      </c>
      <c r="S753" s="9" t="n">
        <v>45980</v>
      </c>
      <c r="T753" s="10" t="inlineStr"/>
      <c r="U753" s="7" t="inlineStr">
        <is>
          <t>5367061</t>
        </is>
      </c>
      <c r="V753" s="7" t="inlineStr">
        <is>
          <t>FINALIZADO</t>
        </is>
      </c>
      <c r="W753" s="7" t="inlineStr"/>
      <c r="X753" s="7" t="inlineStr">
        <is>
          <t>MEDIÇÃO CONCLUÍDA</t>
        </is>
      </c>
      <c r="Y753" s="11">
        <f>IF(AND(L753&lt;&gt;"", S753&lt;&gt;""), S753-L753, IF(L753&lt;&gt;"", TODAY()-L753, ""))</f>
        <v/>
      </c>
      <c r="Z753" s="7">
        <f>IF(Y753="", "", IF(Y753&lt;=3, "NO PRAZO", "ATRASADO"))</f>
        <v/>
      </c>
      <c r="AA753" s="8" t="inlineStr"/>
    </row>
    <row r="754" ht="20" customHeight="1">
      <c r="A754" s="7" t="inlineStr">
        <is>
          <t>RSCLER0752</t>
        </is>
      </c>
      <c r="B754" s="8" t="inlineStr">
        <is>
          <t>PORTO ALEGRE</t>
        </is>
      </c>
      <c r="C754" s="7" t="inlineStr">
        <is>
          <t>VIPAA</t>
        </is>
      </c>
      <c r="D754" s="7" t="inlineStr">
        <is>
          <t>VIPAOA</t>
        </is>
      </c>
      <c r="E754" s="7" t="inlineStr">
        <is>
          <t>RSPNO19</t>
        </is>
      </c>
      <c r="F754" s="8" t="inlineStr">
        <is>
          <t>Tree Haus By Porsche</t>
        </is>
      </c>
      <c r="G754" s="8" t="inlineStr">
        <is>
          <t>Av. Veríssimo de Amaral, 536</t>
        </is>
      </c>
      <c r="H754" s="7" t="inlineStr">
        <is>
          <t>VIPAA.041.M010</t>
        </is>
      </c>
      <c r="I754" s="8" t="inlineStr"/>
      <c r="J754" s="8" t="inlineStr"/>
      <c r="K754" s="8" t="inlineStr">
        <is>
          <t>DIOGO</t>
        </is>
      </c>
      <c r="L754" s="9" t="n">
        <v>45973</v>
      </c>
      <c r="M754" s="7" t="inlineStr"/>
      <c r="N754" s="7" t="inlineStr"/>
      <c r="O754" s="9" t="n">
        <v>45974</v>
      </c>
      <c r="P754" s="7" t="inlineStr">
        <is>
          <t>Não Precisa</t>
        </is>
      </c>
      <c r="Q754" s="7" t="inlineStr"/>
      <c r="R754" s="7" t="inlineStr">
        <is>
          <t>Concluído Campo</t>
        </is>
      </c>
      <c r="S754" s="7" t="inlineStr"/>
      <c r="T754" s="10" t="inlineStr"/>
      <c r="U754" s="7" t="inlineStr"/>
      <c r="V754" s="7" t="inlineStr"/>
      <c r="W754" s="7" t="inlineStr"/>
      <c r="X754" s="7" t="inlineStr">
        <is>
          <t>AG. RELATÓRIO</t>
        </is>
      </c>
      <c r="Y754" s="11">
        <f>IF(AND(L754&lt;&gt;"", S754&lt;&gt;""), S754-L754, IF(L754&lt;&gt;"", TODAY()-L754, ""))</f>
        <v/>
      </c>
      <c r="Z754" s="7">
        <f>IF(Y754="", "", IF(Y754&lt;=3, "NO PRAZO", "ATRASADO"))</f>
        <v/>
      </c>
      <c r="AA754" s="8" t="inlineStr"/>
    </row>
    <row r="755" ht="20" customHeight="1">
      <c r="A755" s="7" t="inlineStr">
        <is>
          <t>RSCLER0753</t>
        </is>
      </c>
      <c r="B755" s="8" t="inlineStr">
        <is>
          <t>CACHOERINHA</t>
        </is>
      </c>
      <c r="C755" s="7" t="inlineStr">
        <is>
          <t>JBQAA</t>
        </is>
      </c>
      <c r="D755" s="7" t="inlineStr"/>
      <c r="E755" s="7" t="inlineStr">
        <is>
          <t>RSCHN05</t>
        </is>
      </c>
      <c r="F755" s="8" t="inlineStr"/>
      <c r="G755" s="8" t="inlineStr">
        <is>
          <t>Rua Eugenio Monteiro, 335</t>
        </is>
      </c>
      <c r="H755" s="7" t="inlineStr">
        <is>
          <t>JBQAA.021.02.07</t>
        </is>
      </c>
      <c r="I755" s="8" t="inlineStr">
        <is>
          <t>FOI LANÇADO 493 METROS DE CABO DE 12FO, 9 ABERTURA E FECHAMENTO, 11 FUSÕES, 1 DERIVAÇÃO, 2 CX NOVAS, 1 NAP NOVA, 3 TESTES</t>
        </is>
      </c>
      <c r="J755" s="8" t="inlineStr">
        <is>
          <t>DERIK</t>
        </is>
      </c>
      <c r="K755" s="8" t="inlineStr">
        <is>
          <t>DERIK</t>
        </is>
      </c>
      <c r="L755" s="9" t="n">
        <v>45986</v>
      </c>
      <c r="M755" s="7" t="inlineStr"/>
      <c r="N755" s="7" t="inlineStr"/>
      <c r="O755" s="9" t="n">
        <v>45997</v>
      </c>
      <c r="P755" s="9" t="n">
        <v>46045</v>
      </c>
      <c r="Q755" s="9" t="n">
        <v>46156</v>
      </c>
      <c r="R755" s="7" t="inlineStr">
        <is>
          <t>Concluído Campo</t>
        </is>
      </c>
      <c r="S755" s="9" t="n">
        <v>45997</v>
      </c>
      <c r="T755" s="10" t="inlineStr"/>
      <c r="U755" s="7" t="inlineStr"/>
      <c r="V755" s="7" t="inlineStr"/>
      <c r="W755" s="7" t="inlineStr"/>
      <c r="X755" s="7" t="inlineStr">
        <is>
          <t>MEDIÇÃO CONCLUÍDA</t>
        </is>
      </c>
      <c r="Y755" s="11">
        <f>IF(AND(L755&lt;&gt;"", S755&lt;&gt;""), S755-L755, IF(L755&lt;&gt;"", TODAY()-L755, ""))</f>
        <v/>
      </c>
      <c r="Z755" s="7">
        <f>IF(Y755="", "", IF(Y755&lt;=3, "NO PRAZO", "ATRASADO"))</f>
        <v/>
      </c>
      <c r="AA755" s="8" t="inlineStr"/>
    </row>
    <row r="756" ht="20" customHeight="1">
      <c r="A756" s="7" t="inlineStr">
        <is>
          <t>RSCLER0754</t>
        </is>
      </c>
      <c r="B756" s="8" t="inlineStr">
        <is>
          <t>PORTO ALEGRE</t>
        </is>
      </c>
      <c r="C756" s="7" t="inlineStr">
        <is>
          <t>BVSAB</t>
        </is>
      </c>
      <c r="D756" s="7" t="inlineStr">
        <is>
          <t>PETADB</t>
        </is>
      </c>
      <c r="E756" s="7" t="inlineStr">
        <is>
          <t>PAE NR</t>
        </is>
      </c>
      <c r="F756" s="8" t="inlineStr"/>
      <c r="G756" s="8" t="inlineStr">
        <is>
          <t>Rua Ivo Corseuil, 408</t>
        </is>
      </c>
      <c r="H756" s="7" t="inlineStr">
        <is>
          <t>BVSAB.413.M010</t>
        </is>
      </c>
      <c r="I756" s="8" t="inlineStr">
        <is>
          <t>COBRAR DENTRO DO NODE PETADB</t>
        </is>
      </c>
      <c r="J756" s="8" t="inlineStr">
        <is>
          <t>VICTOR</t>
        </is>
      </c>
      <c r="K756" s="8" t="inlineStr">
        <is>
          <t>CATIA</t>
        </is>
      </c>
      <c r="L756" s="9" t="n">
        <v>45987</v>
      </c>
      <c r="M756" s="7" t="inlineStr"/>
      <c r="N756" s="7" t="inlineStr"/>
      <c r="O756" s="9" t="n">
        <v>45993</v>
      </c>
      <c r="P756" s="7" t="inlineStr">
        <is>
          <t>NÃO PRECISA</t>
        </is>
      </c>
      <c r="Q756" s="7" t="inlineStr">
        <is>
          <t>PETADB</t>
        </is>
      </c>
      <c r="R756" s="7" t="inlineStr">
        <is>
          <t>Concluído Campo</t>
        </is>
      </c>
      <c r="S756" s="7" t="inlineStr"/>
      <c r="T756" s="10" t="inlineStr"/>
      <c r="U756" s="7" t="inlineStr"/>
      <c r="V756" s="7" t="inlineStr"/>
      <c r="W756" s="7" t="inlineStr"/>
      <c r="X756" s="7" t="inlineStr">
        <is>
          <t>AG. MEDIÇÃO</t>
        </is>
      </c>
      <c r="Y756" s="11">
        <f>IF(AND(L756&lt;&gt;"", S756&lt;&gt;""), S756-L756, IF(L756&lt;&gt;"", TODAY()-L756, ""))</f>
        <v/>
      </c>
      <c r="Z756" s="7">
        <f>IF(Y756="", "", IF(Y756&lt;=3, "NO PRAZO", "ATRASADO"))</f>
        <v/>
      </c>
      <c r="AA756" s="8" t="inlineStr"/>
    </row>
    <row r="757" ht="20" customHeight="1">
      <c r="A757" s="7" t="inlineStr">
        <is>
          <t>RSCLER0755</t>
        </is>
      </c>
      <c r="B757" s="8" t="inlineStr">
        <is>
          <t>GUAÍBA</t>
        </is>
      </c>
      <c r="C757" s="7" t="inlineStr">
        <is>
          <t>STR</t>
        </is>
      </c>
      <c r="D757" s="7" t="inlineStr"/>
      <c r="E757" s="7" t="inlineStr"/>
      <c r="F757" s="8" t="inlineStr"/>
      <c r="G757" s="8" t="inlineStr">
        <is>
          <t>AMPLIAÇÃO DE NAP</t>
        </is>
      </c>
      <c r="H757" s="7" t="inlineStr"/>
      <c r="I757" s="8" t="inlineStr">
        <is>
          <t>FOI LANÇADO 2303 METROS DE CABO, 94 ABERTURAS E FECHAMENTO, 345 FUSÕES, 31 DERIVAÇÃO.</t>
        </is>
      </c>
      <c r="J757" s="8" t="inlineStr">
        <is>
          <t>CLEVERSON</t>
        </is>
      </c>
      <c r="K757" s="8" t="inlineStr">
        <is>
          <t>AUGUSTO</t>
        </is>
      </c>
      <c r="L757" s="7" t="inlineStr"/>
      <c r="M757" s="7" t="inlineStr"/>
      <c r="N757" s="7" t="inlineStr"/>
      <c r="O757" s="7" t="inlineStr"/>
      <c r="P757" s="7" t="inlineStr">
        <is>
          <t>Não Precisa</t>
        </is>
      </c>
      <c r="Q757" s="7" t="inlineStr"/>
      <c r="R757" s="7" t="inlineStr">
        <is>
          <t>Concluído Campo</t>
        </is>
      </c>
      <c r="S757" s="7" t="inlineStr"/>
      <c r="T757" s="10" t="inlineStr"/>
      <c r="U757" s="7" t="inlineStr"/>
      <c r="V757" s="7" t="inlineStr"/>
      <c r="W757" s="7" t="inlineStr"/>
      <c r="X757" s="7" t="inlineStr">
        <is>
          <t>AG. RELATÓRIO</t>
        </is>
      </c>
      <c r="Y757" s="11">
        <f>IF(AND(L757&lt;&gt;"", S757&lt;&gt;""), S757-L757, IF(L757&lt;&gt;"", TODAY()-L757, ""))</f>
        <v/>
      </c>
      <c r="Z757" s="7">
        <f>IF(Y757="", "", IF(Y757&lt;=3, "NO PRAZO", "ATRASADO"))</f>
        <v/>
      </c>
      <c r="AA757" s="8" t="inlineStr"/>
    </row>
    <row r="758" ht="20" customHeight="1">
      <c r="A758" s="7" t="inlineStr">
        <is>
          <t>RSCLER0756</t>
        </is>
      </c>
      <c r="B758" s="8" t="inlineStr">
        <is>
          <t>GUAÍBA</t>
        </is>
      </c>
      <c r="C758" s="7" t="inlineStr">
        <is>
          <t>VLI</t>
        </is>
      </c>
      <c r="D758" s="7" t="inlineStr"/>
      <c r="E758" s="7" t="inlineStr"/>
      <c r="F758" s="8" t="inlineStr"/>
      <c r="G758" s="8" t="inlineStr">
        <is>
          <t>AMPLIAÇÃO DE NAP</t>
        </is>
      </c>
      <c r="H758" s="7" t="inlineStr"/>
      <c r="I758" s="8" t="inlineStr">
        <is>
          <t>COBRAR 80 METROS DE CABO DE 12FO, 36 ABERTURAS E FECHAMENTO, 89 FUSÕES, 1 DERIVAÇÃO E 1 CX NOVA. COBRAR MAIS 32 ABERTURA E FECHAMENTO, 110 FUSÕES, 6 DERIVAÇÕES, 1772 METROS DE CABO AS E 86 METROS DE CABO DDS</t>
        </is>
      </c>
      <c r="J758" s="8" t="inlineStr">
        <is>
          <t>AUGUSTO</t>
        </is>
      </c>
      <c r="K758" s="8" t="inlineStr">
        <is>
          <t>AUGUSTO</t>
        </is>
      </c>
      <c r="L758" s="7" t="inlineStr"/>
      <c r="M758" s="7" t="inlineStr"/>
      <c r="N758" s="7" t="inlineStr"/>
      <c r="O758" s="9" t="n">
        <v>46182</v>
      </c>
      <c r="P758" s="7" t="inlineStr">
        <is>
          <t>Não Precisa</t>
        </is>
      </c>
      <c r="Q758" s="7" t="inlineStr"/>
      <c r="R758" s="7" t="inlineStr">
        <is>
          <t>Concluído Campo</t>
        </is>
      </c>
      <c r="S758" s="7" t="inlineStr"/>
      <c r="T758" s="10" t="inlineStr"/>
      <c r="U758" s="7" t="inlineStr"/>
      <c r="V758" s="7" t="inlineStr"/>
      <c r="W758" s="7" t="inlineStr"/>
      <c r="X758" s="7" t="inlineStr">
        <is>
          <t>AG. RELATÓRIO</t>
        </is>
      </c>
      <c r="Y758" s="11">
        <f>IF(AND(L758&lt;&gt;"", S758&lt;&gt;""), S758-L758, IF(L758&lt;&gt;"", TODAY()-L758, ""))</f>
        <v/>
      </c>
      <c r="Z758" s="7">
        <f>IF(Y758="", "", IF(Y758&lt;=3, "NO PRAZO", "ATRASADO"))</f>
        <v/>
      </c>
      <c r="AA758" s="8" t="inlineStr"/>
    </row>
    <row r="759" ht="20" customHeight="1">
      <c r="A759" s="7" t="inlineStr">
        <is>
          <t>RSCLER0757</t>
        </is>
      </c>
      <c r="B759" s="8" t="inlineStr">
        <is>
          <t>NOVO HAMBURGO</t>
        </is>
      </c>
      <c r="C759" s="7" t="inlineStr">
        <is>
          <t>CNTAA</t>
        </is>
      </c>
      <c r="D759" s="7" t="inlineStr"/>
      <c r="E759" s="7" t="inlineStr">
        <is>
          <t>NHO LO</t>
        </is>
      </c>
      <c r="F759" s="8" t="inlineStr">
        <is>
          <t>ADEQUAÇÃO BRADESCO</t>
        </is>
      </c>
      <c r="G759" s="8" t="inlineStr">
        <is>
          <t>Rua Julio de Castilhos, 270</t>
        </is>
      </c>
      <c r="H759" s="7" t="inlineStr">
        <is>
          <t>CNTAA.061.M050</t>
        </is>
      </c>
      <c r="I759" s="8" t="inlineStr">
        <is>
          <t>3 ABERTURA E FECHAMENTO, 2 FUSÕES, 1 TESTES, 2 TESTE OTDR</t>
        </is>
      </c>
      <c r="J759" s="8" t="inlineStr"/>
      <c r="K759" s="8" t="inlineStr">
        <is>
          <t>DERIK</t>
        </is>
      </c>
      <c r="L759" s="9" t="n">
        <v>45986</v>
      </c>
      <c r="M759" s="7" t="inlineStr"/>
      <c r="N759" s="7" t="inlineStr"/>
      <c r="O759" s="9" t="n">
        <v>45987</v>
      </c>
      <c r="P759" s="9" t="n">
        <v>46048</v>
      </c>
      <c r="Q759" s="9" t="n">
        <v>46048</v>
      </c>
      <c r="R759" s="7" t="inlineStr">
        <is>
          <t>Concluído Campo</t>
        </is>
      </c>
      <c r="S759" s="9" t="n">
        <v>45987</v>
      </c>
      <c r="T759" s="10" t="inlineStr"/>
      <c r="U759" s="7" t="inlineStr">
        <is>
          <t>5506726</t>
        </is>
      </c>
      <c r="V759" s="7" t="inlineStr">
        <is>
          <t>FINALIZADO</t>
        </is>
      </c>
      <c r="W759" s="7" t="inlineStr"/>
      <c r="X759" s="7" t="inlineStr">
        <is>
          <t>MEDIÇÃO CONCLUÍDA</t>
        </is>
      </c>
      <c r="Y759" s="11">
        <f>IF(AND(L759&lt;&gt;"", S759&lt;&gt;""), S759-L759, IF(L759&lt;&gt;"", TODAY()-L759, ""))</f>
        <v/>
      </c>
      <c r="Z759" s="7">
        <f>IF(Y759="", "", IF(Y759&lt;=3, "NO PRAZO", "ATRASADO"))</f>
        <v/>
      </c>
      <c r="AA759" s="8" t="inlineStr"/>
    </row>
    <row r="760" ht="20" customHeight="1">
      <c r="A760" s="7" t="inlineStr">
        <is>
          <t>RSCLER0757</t>
        </is>
      </c>
      <c r="B760" s="8" t="inlineStr">
        <is>
          <t>TORRES</t>
        </is>
      </c>
      <c r="C760" s="7" t="inlineStr">
        <is>
          <t>CNT</t>
        </is>
      </c>
      <c r="D760" s="7" t="inlineStr"/>
      <c r="E760" s="7" t="inlineStr"/>
      <c r="F760" s="8" t="inlineStr"/>
      <c r="G760" s="8" t="inlineStr">
        <is>
          <t>R Leonardo Truda N;531</t>
        </is>
      </c>
      <c r="H760" s="7" t="inlineStr">
        <is>
          <t>CNT07-M1</t>
        </is>
      </c>
      <c r="I760" s="8" t="inlineStr">
        <is>
          <t>8 ABERTURA E FECHAMENTO, 11 FUSÕES, 2 TESTES.2 TESTES OTDR</t>
        </is>
      </c>
      <c r="J760" s="8" t="inlineStr"/>
      <c r="K760" s="8" t="inlineStr">
        <is>
          <t>MAQUENZE</t>
        </is>
      </c>
      <c r="L760" s="7" t="inlineStr"/>
      <c r="M760" s="7" t="inlineStr"/>
      <c r="N760" s="7" t="inlineStr"/>
      <c r="O760" s="9" t="n">
        <v>45965</v>
      </c>
      <c r="P760" s="9" t="n">
        <v>45995</v>
      </c>
      <c r="Q760" s="7" t="inlineStr">
        <is>
          <t>OK</t>
        </is>
      </c>
      <c r="R760" s="7" t="inlineStr">
        <is>
          <t>Concluído Campo</t>
        </is>
      </c>
      <c r="S760" s="9" t="n">
        <v>45987</v>
      </c>
      <c r="T760" s="10" t="inlineStr"/>
      <c r="U760" s="7" t="inlineStr">
        <is>
          <t>5506726</t>
        </is>
      </c>
      <c r="V760" s="7" t="inlineStr">
        <is>
          <t>FINALIZADO</t>
        </is>
      </c>
      <c r="W760" s="7" t="inlineStr"/>
      <c r="X760" s="7" t="inlineStr">
        <is>
          <t>MEDIÇÃO CONCLUÍDA</t>
        </is>
      </c>
      <c r="Y760" s="11">
        <f>IF(AND(L760&lt;&gt;"", S760&lt;&gt;""), S760-L760, IF(L760&lt;&gt;"", TODAY()-L760, ""))</f>
        <v/>
      </c>
      <c r="Z760" s="7">
        <f>IF(Y760="", "", IF(Y760&lt;=3, "NO PRAZO", "ATRASADO"))</f>
        <v/>
      </c>
      <c r="AA760" s="8" t="inlineStr"/>
    </row>
    <row r="761" ht="20" customHeight="1">
      <c r="A761" s="7" t="inlineStr">
        <is>
          <t>RSCLER0758</t>
        </is>
      </c>
      <c r="B761" s="8" t="inlineStr">
        <is>
          <t>TORRES</t>
        </is>
      </c>
      <c r="C761" s="7" t="inlineStr">
        <is>
          <t>CLC</t>
        </is>
      </c>
      <c r="D761" s="7" t="inlineStr"/>
      <c r="E761" s="7" t="inlineStr"/>
      <c r="F761" s="8" t="inlineStr"/>
      <c r="G761" s="8" t="inlineStr">
        <is>
          <t>R Porto Alegre N;235</t>
        </is>
      </c>
      <c r="H761" s="7" t="inlineStr">
        <is>
          <t>CLC011-M5</t>
        </is>
      </c>
      <c r="I761" s="8" t="inlineStr">
        <is>
          <t>FOI LANÇADO 146 METROS DE CABO 12FO AS, 7 ABERTURA E FECHAMENTO, 16 FUSÕES, 2 TESTES E 5 ADEQUAÇÕES DE POSTES.2 TESTES OTDR</t>
        </is>
      </c>
      <c r="J761" s="8" t="inlineStr">
        <is>
          <t>MAQUENZE</t>
        </is>
      </c>
      <c r="K761" s="8" t="inlineStr">
        <is>
          <t>MAQUENZE</t>
        </is>
      </c>
      <c r="L761" s="7" t="inlineStr"/>
      <c r="M761" s="7" t="inlineStr"/>
      <c r="N761" s="7" t="inlineStr"/>
      <c r="O761" s="9" t="n">
        <v>45974</v>
      </c>
      <c r="P761" s="9" t="n">
        <v>45993</v>
      </c>
      <c r="Q761" s="9" t="n">
        <v>45993</v>
      </c>
      <c r="R761" s="7" t="inlineStr">
        <is>
          <t>Concluído Campo</t>
        </is>
      </c>
      <c r="S761" s="9" t="n">
        <v>45974</v>
      </c>
      <c r="T761" s="10" t="inlineStr"/>
      <c r="U761" s="7" t="inlineStr"/>
      <c r="V761" s="7" t="inlineStr"/>
      <c r="W761" s="7" t="inlineStr"/>
      <c r="X761" s="7" t="inlineStr">
        <is>
          <t>MEDIÇÃO CONCLUÍDA</t>
        </is>
      </c>
      <c r="Y761" s="11">
        <f>IF(AND(L761&lt;&gt;"", S761&lt;&gt;""), S761-L761, IF(L761&lt;&gt;"", TODAY()-L761, ""))</f>
        <v/>
      </c>
      <c r="Z761" s="7">
        <f>IF(Y761="", "", IF(Y761&lt;=3, "NO PRAZO", "ATRASADO"))</f>
        <v/>
      </c>
      <c r="AA761" s="8" t="inlineStr"/>
    </row>
    <row r="762" ht="20" customHeight="1">
      <c r="A762" s="7" t="inlineStr">
        <is>
          <t>RSCLER0759</t>
        </is>
      </c>
      <c r="B762" s="8" t="inlineStr">
        <is>
          <t>GUAÍBA</t>
        </is>
      </c>
      <c r="C762" s="7" t="inlineStr">
        <is>
          <t>CNT</t>
        </is>
      </c>
      <c r="D762" s="7" t="inlineStr"/>
      <c r="E762" s="7" t="inlineStr"/>
      <c r="F762" s="8" t="inlineStr"/>
      <c r="G762" s="8" t="inlineStr">
        <is>
          <t>AMPLIAÇÃO DE NAP</t>
        </is>
      </c>
      <c r="H762" s="7" t="inlineStr"/>
      <c r="I762" s="8" t="inlineStr">
        <is>
          <t>FOI LANÇADO 2665 METROS DE CABO,96 ABERTURAS E FECHAMENTO, 312 FUSÕES, 12 DERIVAÇÃO, 57 TESTE OTDR, 5 CX NOVA COBRAR MAIS 10 ABERTURA E FECHAMENTO, 22 FUSÕES, 1 NAP NOVA, 3 DERIVAÇÕES, 4 TESTE OTDR.</t>
        </is>
      </c>
      <c r="J762" s="8" t="inlineStr">
        <is>
          <t>CLEVERSON/ UBIRAJARA</t>
        </is>
      </c>
      <c r="K762" s="8" t="inlineStr">
        <is>
          <t>CATIA</t>
        </is>
      </c>
      <c r="L762" s="7" t="inlineStr"/>
      <c r="M762" s="7" t="inlineStr"/>
      <c r="N762" s="7" t="inlineStr"/>
      <c r="O762" s="7" t="inlineStr"/>
      <c r="P762" s="7" t="inlineStr">
        <is>
          <t>Não Precisa</t>
        </is>
      </c>
      <c r="Q762" s="7" t="inlineStr"/>
      <c r="R762" s="7" t="inlineStr">
        <is>
          <t>Concluído Campo</t>
        </is>
      </c>
      <c r="S762" s="7" t="inlineStr"/>
      <c r="T762" s="10" t="inlineStr"/>
      <c r="U762" s="7" t="inlineStr"/>
      <c r="V762" s="7" t="inlineStr"/>
      <c r="W762" s="7" t="inlineStr"/>
      <c r="X762" s="7" t="inlineStr">
        <is>
          <t>AG. RELATÓRIO</t>
        </is>
      </c>
      <c r="Y762" s="11">
        <f>IF(AND(L762&lt;&gt;"", S762&lt;&gt;""), S762-L762, IF(L762&lt;&gt;"", TODAY()-L762, ""))</f>
        <v/>
      </c>
      <c r="Z762" s="7">
        <f>IF(Y762="", "", IF(Y762&lt;=3, "NO PRAZO", "ATRASADO"))</f>
        <v/>
      </c>
      <c r="AA762" s="8" t="inlineStr"/>
    </row>
    <row r="763" ht="20" customHeight="1">
      <c r="A763" s="7" t="inlineStr">
        <is>
          <t>RSCLER0760</t>
        </is>
      </c>
      <c r="B763" s="8" t="inlineStr">
        <is>
          <t>PORTO ALEGRE</t>
        </is>
      </c>
      <c r="C763" s="7" t="inlineStr">
        <is>
          <t>JBOAA</t>
        </is>
      </c>
      <c r="D763" s="7" t="inlineStr">
        <is>
          <t>PETAB</t>
        </is>
      </c>
      <c r="E763" s="7" t="inlineStr">
        <is>
          <t>RSPLE18</t>
        </is>
      </c>
      <c r="F763" s="8" t="inlineStr"/>
      <c r="G763" s="8" t="inlineStr">
        <is>
          <t>RUA CHILE, 827</t>
        </is>
      </c>
      <c r="H763" s="7" t="inlineStr">
        <is>
          <t>JBOAA.081.M040</t>
        </is>
      </c>
      <c r="I763" s="8" t="inlineStr">
        <is>
          <t>4 ABERTURA E FECHAMENTO, 6 FUSÕES, 2 TESTES</t>
        </is>
      </c>
      <c r="J763" s="8" t="inlineStr"/>
      <c r="K763" s="8" t="inlineStr">
        <is>
          <t>DERIK</t>
        </is>
      </c>
      <c r="L763" s="9" t="n">
        <v>45994</v>
      </c>
      <c r="M763" s="7" t="inlineStr"/>
      <c r="N763" s="7" t="inlineStr"/>
      <c r="O763" s="9" t="n">
        <v>45995</v>
      </c>
      <c r="P763" s="9" t="n">
        <v>45995</v>
      </c>
      <c r="Q763" s="9" t="n">
        <v>45995</v>
      </c>
      <c r="R763" s="7" t="inlineStr">
        <is>
          <t>Concluído Campo</t>
        </is>
      </c>
      <c r="S763" s="9" t="n">
        <v>45995</v>
      </c>
      <c r="T763" s="10" t="inlineStr"/>
      <c r="U763" s="7" t="inlineStr"/>
      <c r="V763" s="7" t="inlineStr"/>
      <c r="W763" s="7" t="inlineStr"/>
      <c r="X763" s="7" t="inlineStr">
        <is>
          <t>MEDIÇÃO CONCLUÍDA</t>
        </is>
      </c>
      <c r="Y763" s="11">
        <f>IF(AND(L763&lt;&gt;"", S763&lt;&gt;""), S763-L763, IF(L763&lt;&gt;"", TODAY()-L763, ""))</f>
        <v/>
      </c>
      <c r="Z763" s="7">
        <f>IF(Y763="", "", IF(Y763&lt;=3, "NO PRAZO", "ATRASADO"))</f>
        <v/>
      </c>
      <c r="AA763" s="8" t="inlineStr"/>
    </row>
    <row r="764" ht="20" customHeight="1">
      <c r="A764" s="7" t="inlineStr">
        <is>
          <t>RSCLER0761</t>
        </is>
      </c>
      <c r="B764" s="8" t="inlineStr">
        <is>
          <t>PORTO ALEGRE</t>
        </is>
      </c>
      <c r="C764" s="7" t="inlineStr">
        <is>
          <t>JBOAA</t>
        </is>
      </c>
      <c r="D764" s="7" t="inlineStr">
        <is>
          <t>PETAE</t>
        </is>
      </c>
      <c r="E764" s="7" t="inlineStr">
        <is>
          <t>RSPLE18</t>
        </is>
      </c>
      <c r="F764" s="8" t="inlineStr"/>
      <c r="G764" s="8" t="inlineStr">
        <is>
          <t>RUA ITABORAÍ, 123</t>
        </is>
      </c>
      <c r="H764" s="7" t="inlineStr">
        <is>
          <t>JBOAA.102.M010</t>
        </is>
      </c>
      <c r="I764" s="8" t="inlineStr">
        <is>
          <t>5 ABERTURA E FECHAMENTO, 9 FUSÕES, 4 TESTES.</t>
        </is>
      </c>
      <c r="J764" s="8" t="inlineStr"/>
      <c r="K764" s="8" t="inlineStr">
        <is>
          <t>DERIK</t>
        </is>
      </c>
      <c r="L764" s="9" t="n">
        <v>45994</v>
      </c>
      <c r="M764" s="7" t="inlineStr"/>
      <c r="N764" s="7" t="inlineStr"/>
      <c r="O764" s="9" t="n">
        <v>45994</v>
      </c>
      <c r="P764" s="9" t="n">
        <v>45994</v>
      </c>
      <c r="Q764" s="7" t="inlineStr">
        <is>
          <t>OK</t>
        </is>
      </c>
      <c r="R764" s="7" t="inlineStr">
        <is>
          <t>Concluído Campo</t>
        </is>
      </c>
      <c r="S764" s="9" t="n">
        <v>45994</v>
      </c>
      <c r="T764" s="10" t="inlineStr"/>
      <c r="U764" s="7" t="inlineStr"/>
      <c r="V764" s="7" t="inlineStr">
        <is>
          <t>cobrar tati</t>
        </is>
      </c>
      <c r="W764" s="7" t="inlineStr"/>
      <c r="X764" s="7" t="inlineStr">
        <is>
          <t>MEDIÇÃO CONCLUÍDA</t>
        </is>
      </c>
      <c r="Y764" s="11">
        <f>IF(AND(L764&lt;&gt;"", S764&lt;&gt;""), S764-L764, IF(L764&lt;&gt;"", TODAY()-L764, ""))</f>
        <v/>
      </c>
      <c r="Z764" s="7">
        <f>IF(Y764="", "", IF(Y764&lt;=3, "NO PRAZO", "ATRASADO"))</f>
        <v/>
      </c>
      <c r="AA764" s="8" t="inlineStr"/>
    </row>
    <row r="765" ht="20" customHeight="1">
      <c r="A765" s="7" t="inlineStr">
        <is>
          <t>RSCLER0762</t>
        </is>
      </c>
      <c r="B765" s="8" t="inlineStr">
        <is>
          <t>ELDORADO</t>
        </is>
      </c>
      <c r="C765" s="7" t="inlineStr">
        <is>
          <t>CNT</t>
        </is>
      </c>
      <c r="D765" s="7" t="inlineStr"/>
      <c r="E765" s="7" t="inlineStr">
        <is>
          <t>RSESU05</t>
        </is>
      </c>
      <c r="F765" s="8" t="inlineStr"/>
      <c r="G765" s="8" t="inlineStr">
        <is>
          <t>AMPLIAÇÃO DE NAP</t>
        </is>
      </c>
      <c r="H765" s="7" t="inlineStr"/>
      <c r="I765" s="8" t="inlineStr">
        <is>
          <t>FOI LANÇADO 5774 METROS DE 25 FO, 400 METROS DE CORDOALHA, 36 ABERTURA E FECHAMENTO, 116 FUSÕES, 1 CX NOVA, 2 CTO NOVA, 28 ABERTURA E FECHAMENTO, 39 FUSÕES, 2 DERIVAÇÃO, 1NAP NOVA.</t>
        </is>
      </c>
      <c r="J765" s="8" t="inlineStr">
        <is>
          <t>GIOVANE</t>
        </is>
      </c>
      <c r="K765" s="8" t="inlineStr">
        <is>
          <t>AFONSO</t>
        </is>
      </c>
      <c r="L765" s="7" t="inlineStr"/>
      <c r="M765" s="7" t="inlineStr"/>
      <c r="N765" s="7" t="inlineStr"/>
      <c r="O765" s="7" t="inlineStr"/>
      <c r="P765" s="7" t="inlineStr">
        <is>
          <t>Não Precisa</t>
        </is>
      </c>
      <c r="Q765" s="7" t="inlineStr"/>
      <c r="R765" s="7" t="inlineStr">
        <is>
          <t>Concluído Campo</t>
        </is>
      </c>
      <c r="S765" s="7" t="inlineStr"/>
      <c r="T765" s="10" t="inlineStr"/>
      <c r="U765" s="7" t="inlineStr"/>
      <c r="V765" s="7" t="inlineStr"/>
      <c r="W765" s="7" t="inlineStr"/>
      <c r="X765" s="7" t="inlineStr">
        <is>
          <t>AG. RELATÓRIO</t>
        </is>
      </c>
      <c r="Y765" s="11">
        <f>IF(AND(L765&lt;&gt;"", S765&lt;&gt;""), S765-L765, IF(L765&lt;&gt;"", TODAY()-L765, ""))</f>
        <v/>
      </c>
      <c r="Z765" s="7">
        <f>IF(Y765="", "", IF(Y765&lt;=3, "NO PRAZO", "ATRASADO"))</f>
        <v/>
      </c>
      <c r="AA765" s="8" t="inlineStr"/>
    </row>
    <row r="766" ht="20" customHeight="1">
      <c r="A766" s="7" t="inlineStr">
        <is>
          <t>RSCLER0763</t>
        </is>
      </c>
      <c r="B766" s="8" t="inlineStr">
        <is>
          <t>CANOAS</t>
        </is>
      </c>
      <c r="C766" s="7" t="inlineStr">
        <is>
          <t>NITAA</t>
        </is>
      </c>
      <c r="D766" s="7" t="inlineStr">
        <is>
          <t>NIT26A</t>
        </is>
      </c>
      <c r="E766" s="7" t="inlineStr">
        <is>
          <t>RSCAN40</t>
        </is>
      </c>
      <c r="F766" s="8" t="inlineStr"/>
      <c r="G766" s="8" t="inlineStr">
        <is>
          <t>LINK RSCAN40</t>
        </is>
      </c>
      <c r="H766" s="7" t="inlineStr">
        <is>
          <t>CX318AA</t>
        </is>
      </c>
      <c r="I766" s="8" t="inlineStr">
        <is>
          <t>FOI LANÇADO 487 METROS DE CABO DE 12FO,COBRAR 55 ABERTURA E FECHAMENTO, 90 FUSÕES, 2 CXS NOVAS, 4 DERIVAÇÕES.</t>
        </is>
      </c>
      <c r="J766" s="8" t="inlineStr">
        <is>
          <t>VICTOR</t>
        </is>
      </c>
      <c r="K766" s="8" t="inlineStr">
        <is>
          <t>AUGUSTO</t>
        </is>
      </c>
      <c r="L766" s="9" t="n">
        <v>45994</v>
      </c>
      <c r="M766" s="7" t="inlineStr"/>
      <c r="N766" s="7" t="inlineStr"/>
      <c r="O766" s="9" t="n">
        <v>46003</v>
      </c>
      <c r="P766" s="7" t="inlineStr">
        <is>
          <t>NÃO PRECISA</t>
        </is>
      </c>
      <c r="Q766" s="9" t="n">
        <v>46105</v>
      </c>
      <c r="R766" s="7" t="inlineStr">
        <is>
          <t>Concluído Campo</t>
        </is>
      </c>
      <c r="S766" s="9" t="n">
        <v>46003</v>
      </c>
      <c r="T766" s="10" t="inlineStr"/>
      <c r="U766" s="7" t="inlineStr"/>
      <c r="V766" s="7" t="inlineStr"/>
      <c r="W766" s="7" t="inlineStr"/>
      <c r="X766" s="7" t="inlineStr">
        <is>
          <t>MEDIÇÃO CONCLUÍDA</t>
        </is>
      </c>
      <c r="Y766" s="11">
        <f>IF(AND(L766&lt;&gt;"", S766&lt;&gt;""), S766-L766, IF(L766&lt;&gt;"", TODAY()-L766, ""))</f>
        <v/>
      </c>
      <c r="Z766" s="7">
        <f>IF(Y766="", "", IF(Y766&lt;=3, "NO PRAZO", "ATRASADO"))</f>
        <v/>
      </c>
      <c r="AA766" s="8" t="inlineStr"/>
    </row>
    <row r="767" ht="20" customHeight="1">
      <c r="A767" s="7" t="inlineStr">
        <is>
          <t>RSCLER0764</t>
        </is>
      </c>
      <c r="B767" s="8" t="inlineStr">
        <is>
          <t>PORTO ALEGRE</t>
        </is>
      </c>
      <c r="C767" s="7" t="inlineStr">
        <is>
          <t>VIPAA</t>
        </is>
      </c>
      <c r="D767" s="7" t="inlineStr">
        <is>
          <t>VIPAOA</t>
        </is>
      </c>
      <c r="E767" s="7" t="inlineStr">
        <is>
          <t>RSPNO19</t>
        </is>
      </c>
      <c r="F767" s="8" t="inlineStr">
        <is>
          <t>MANOBRA VISIUM (REPETTO)</t>
        </is>
      </c>
      <c r="G767" s="8" t="inlineStr">
        <is>
          <t>AV TULIO DE ROSE 330, 400</t>
        </is>
      </c>
      <c r="H767" s="7" t="inlineStr">
        <is>
          <t>VIPAA.041.M020</t>
        </is>
      </c>
      <c r="I767" s="8" t="inlineStr">
        <is>
          <t>5 ABERTURA E FECHAMENTO, 20 FUSÕES, 5 TESTES.</t>
        </is>
      </c>
      <c r="J767" s="8" t="inlineStr"/>
      <c r="K767" s="8" t="inlineStr">
        <is>
          <t>DERIK</t>
        </is>
      </c>
      <c r="L767" s="9" t="n">
        <v>45994</v>
      </c>
      <c r="M767" s="7" t="inlineStr"/>
      <c r="N767" s="7" t="inlineStr"/>
      <c r="O767" s="9" t="n">
        <v>46002</v>
      </c>
      <c r="P767" s="9" t="n">
        <v>46157</v>
      </c>
      <c r="Q767" s="9" t="n">
        <v>46157</v>
      </c>
      <c r="R767" s="7" t="inlineStr">
        <is>
          <t>Concluído Campo</t>
        </is>
      </c>
      <c r="S767" s="9" t="n">
        <v>46002</v>
      </c>
      <c r="T767" s="10" t="inlineStr"/>
      <c r="U767" s="7" t="inlineStr">
        <is>
          <t>5497752</t>
        </is>
      </c>
      <c r="V767" s="7" t="inlineStr">
        <is>
          <t>FINALIZADO</t>
        </is>
      </c>
      <c r="W767" s="7" t="inlineStr"/>
      <c r="X767" s="7" t="inlineStr">
        <is>
          <t>MEDIÇÃO CONCLUÍDA</t>
        </is>
      </c>
      <c r="Y767" s="11">
        <f>IF(AND(L767&lt;&gt;"", S767&lt;&gt;""), S767-L767, IF(L767&lt;&gt;"", TODAY()-L767, ""))</f>
        <v/>
      </c>
      <c r="Z767" s="7">
        <f>IF(Y767="", "", IF(Y767&lt;=3, "NO PRAZO", "ATRASADO"))</f>
        <v/>
      </c>
      <c r="AA767" s="8" t="inlineStr"/>
    </row>
    <row r="768" ht="20" customHeight="1">
      <c r="A768" s="7" t="inlineStr">
        <is>
          <t>RSCLER0765</t>
        </is>
      </c>
      <c r="B768" s="8" t="inlineStr">
        <is>
          <t>PORTO ALEGRE</t>
        </is>
      </c>
      <c r="C768" s="7" t="inlineStr">
        <is>
          <t>VIPAA</t>
        </is>
      </c>
      <c r="D768" s="7" t="inlineStr">
        <is>
          <t>VIPAPB</t>
        </is>
      </c>
      <c r="E768" s="7" t="inlineStr">
        <is>
          <t>RSPNO19</t>
        </is>
      </c>
      <c r="F768" s="8" t="inlineStr">
        <is>
          <t>MANOBRA VISIUM (REPETTO)</t>
        </is>
      </c>
      <c r="G768" s="8" t="inlineStr">
        <is>
          <t>AV TULIO DE ROSE 500</t>
        </is>
      </c>
      <c r="H768" s="7" t="inlineStr">
        <is>
          <t>VIPAA.051.M010</t>
        </is>
      </c>
      <c r="I768" s="8" t="inlineStr"/>
      <c r="J768" s="8" t="inlineStr">
        <is>
          <t>TIAGO FERREIRA</t>
        </is>
      </c>
      <c r="K768" s="8" t="inlineStr">
        <is>
          <t>MAURICIO</t>
        </is>
      </c>
      <c r="L768" s="9" t="n">
        <v>46255</v>
      </c>
      <c r="M768" s="7" t="inlineStr"/>
      <c r="N768" s="7" t="inlineStr"/>
      <c r="O768" s="9" t="n">
        <v>46255</v>
      </c>
      <c r="P768" s="7" t="inlineStr">
        <is>
          <t>Não Precisa</t>
        </is>
      </c>
      <c r="Q768" s="7" t="inlineStr"/>
      <c r="R768" s="7" t="inlineStr">
        <is>
          <t>Concluído Campo</t>
        </is>
      </c>
      <c r="S768" s="7" t="inlineStr"/>
      <c r="T768" s="10" t="inlineStr"/>
      <c r="U768" s="7" t="inlineStr"/>
      <c r="V768" s="7" t="inlineStr"/>
      <c r="W768" s="7" t="inlineStr"/>
      <c r="X768" s="7" t="inlineStr">
        <is>
          <t>AG. RELATÓRIO</t>
        </is>
      </c>
      <c r="Y768" s="11">
        <f>IF(AND(L768&lt;&gt;"", S768&lt;&gt;""), S768-L768, IF(L768&lt;&gt;"", TODAY()-L768, ""))</f>
        <v/>
      </c>
      <c r="Z768" s="7">
        <f>IF(Y768="", "", IF(Y768&lt;=3, "NO PRAZO", "ATRASADO"))</f>
        <v/>
      </c>
      <c r="AA768" s="8" t="inlineStr"/>
    </row>
    <row r="769" ht="20" customHeight="1">
      <c r="A769" s="7" t="inlineStr">
        <is>
          <t>RSCLER0766</t>
        </is>
      </c>
      <c r="B769" s="8" t="inlineStr">
        <is>
          <t>PORTO ALEGRE</t>
        </is>
      </c>
      <c r="C769" s="7" t="inlineStr">
        <is>
          <t>PDRAA</t>
        </is>
      </c>
      <c r="D769" s="7" t="inlineStr">
        <is>
          <t>PDRAHB</t>
        </is>
      </c>
      <c r="E769" s="7" t="inlineStr">
        <is>
          <t>RSPNO17</t>
        </is>
      </c>
      <c r="F769" s="8" t="inlineStr"/>
      <c r="G769" s="8" t="inlineStr">
        <is>
          <t>RUA JOÃO WALLING, 100 E 144</t>
        </is>
      </c>
      <c r="H769" s="7" t="inlineStr">
        <is>
          <t>PDRAA.052.M010</t>
        </is>
      </c>
      <c r="I769" s="8" t="inlineStr">
        <is>
          <t>COBRAR DENTRO DO NODE PDRAHB FASE 2</t>
        </is>
      </c>
      <c r="J769" s="8" t="inlineStr">
        <is>
          <t>CLEVERSON</t>
        </is>
      </c>
      <c r="K769" s="8" t="inlineStr">
        <is>
          <t>CLEVERSON</t>
        </is>
      </c>
      <c r="L769" s="7" t="inlineStr"/>
      <c r="M769" s="7" t="inlineStr"/>
      <c r="N769" s="7" t="inlineStr"/>
      <c r="O769" s="7" t="inlineStr"/>
      <c r="P769" s="7" t="inlineStr">
        <is>
          <t>NÃO PRECISA</t>
        </is>
      </c>
      <c r="Q769" s="7" t="inlineStr">
        <is>
          <t>PDRAHB 2</t>
        </is>
      </c>
      <c r="R769" s="7" t="inlineStr">
        <is>
          <t>Concluído Campo</t>
        </is>
      </c>
      <c r="S769" s="7" t="inlineStr"/>
      <c r="T769" s="10" t="inlineStr"/>
      <c r="U769" s="7" t="inlineStr"/>
      <c r="V769" s="7" t="inlineStr"/>
      <c r="W769" s="7" t="inlineStr"/>
      <c r="X769" s="7" t="inlineStr">
        <is>
          <t>AG. MEDIÇÃO</t>
        </is>
      </c>
      <c r="Y769" s="11">
        <f>IF(AND(L769&lt;&gt;"", S769&lt;&gt;""), S769-L769, IF(L769&lt;&gt;"", TODAY()-L769, ""))</f>
        <v/>
      </c>
      <c r="Z769" s="7">
        <f>IF(Y769="", "", IF(Y769&lt;=3, "NO PRAZO", "ATRASADO"))</f>
        <v/>
      </c>
      <c r="AA769" s="8" t="inlineStr"/>
    </row>
    <row r="770" ht="20" customHeight="1">
      <c r="A770" s="7" t="inlineStr">
        <is>
          <t>RSCLER0767</t>
        </is>
      </c>
      <c r="B770" s="8" t="inlineStr">
        <is>
          <t>PORTO ALEGRE</t>
        </is>
      </c>
      <c r="C770" s="7" t="inlineStr">
        <is>
          <t>JBOAA</t>
        </is>
      </c>
      <c r="D770" s="7" t="inlineStr">
        <is>
          <t>PETAE</t>
        </is>
      </c>
      <c r="E770" s="7" t="inlineStr">
        <is>
          <t>RSPLE18</t>
        </is>
      </c>
      <c r="F770" s="8" t="inlineStr"/>
      <c r="G770" s="8" t="inlineStr">
        <is>
          <t>RUA ITABORAI, 123</t>
        </is>
      </c>
      <c r="H770" s="7" t="inlineStr">
        <is>
          <t>JBOAA.102.M010</t>
        </is>
      </c>
      <c r="I770" s="8" t="inlineStr">
        <is>
          <t>3 ABERTURA E FECHAMENTO, 9 FUSÕES, 4 TESTES</t>
        </is>
      </c>
      <c r="J770" s="8" t="inlineStr"/>
      <c r="K770" s="8" t="inlineStr">
        <is>
          <t>DERIK</t>
        </is>
      </c>
      <c r="L770" s="9" t="n">
        <v>45994</v>
      </c>
      <c r="M770" s="7" t="inlineStr"/>
      <c r="N770" s="7" t="inlineStr"/>
      <c r="O770" s="9" t="n">
        <v>45994</v>
      </c>
      <c r="P770" s="9" t="n">
        <v>45995</v>
      </c>
      <c r="Q770" s="7" t="inlineStr">
        <is>
          <t>OK</t>
        </is>
      </c>
      <c r="R770" s="7" t="inlineStr">
        <is>
          <t>Concluído Campo</t>
        </is>
      </c>
      <c r="S770" s="9" t="n">
        <v>46008</v>
      </c>
      <c r="T770" s="10" t="inlineStr"/>
      <c r="U770" s="7" t="inlineStr"/>
      <c r="V770" s="7" t="inlineStr"/>
      <c r="W770" s="7" t="inlineStr"/>
      <c r="X770" s="7" t="inlineStr">
        <is>
          <t>MEDIÇÃO CONCLUÍDA</t>
        </is>
      </c>
      <c r="Y770" s="11">
        <f>IF(AND(L770&lt;&gt;"", S770&lt;&gt;""), S770-L770, IF(L770&lt;&gt;"", TODAY()-L770, ""))</f>
        <v/>
      </c>
      <c r="Z770" s="7">
        <f>IF(Y770="", "", IF(Y770&lt;=3, "NO PRAZO", "ATRASADO"))</f>
        <v/>
      </c>
      <c r="AA770" s="8" t="inlineStr"/>
    </row>
    <row r="771" ht="20" customHeight="1">
      <c r="A771" s="7" t="inlineStr">
        <is>
          <t>RSCLER0767</t>
        </is>
      </c>
      <c r="B771" s="8" t="inlineStr">
        <is>
          <t>TORRES</t>
        </is>
      </c>
      <c r="C771" s="7" t="inlineStr">
        <is>
          <t>CNT</t>
        </is>
      </c>
      <c r="D771" s="7" t="inlineStr"/>
      <c r="E771" s="7" t="inlineStr"/>
      <c r="F771" s="8" t="inlineStr"/>
      <c r="G771" s="8" t="inlineStr">
        <is>
          <t>R MANOEL FORTUNATO DE SOUZA, 40</t>
        </is>
      </c>
      <c r="H771" s="7" t="inlineStr">
        <is>
          <t>CNT01-M06</t>
        </is>
      </c>
      <c r="I771" s="8" t="inlineStr">
        <is>
          <t>4 ABERTURA E FECHAMENTO, 16 FUSÕES, 5 TESTE</t>
        </is>
      </c>
      <c r="J771" s="8" t="inlineStr"/>
      <c r="K771" s="8" t="inlineStr">
        <is>
          <t>DERIK</t>
        </is>
      </c>
      <c r="L771" s="9" t="n">
        <v>45995</v>
      </c>
      <c r="M771" s="7" t="inlineStr"/>
      <c r="N771" s="7" t="inlineStr"/>
      <c r="O771" s="9" t="n">
        <v>46008</v>
      </c>
      <c r="P771" s="9" t="n">
        <v>46064</v>
      </c>
      <c r="Q771" s="9" t="n">
        <v>46064</v>
      </c>
      <c r="R771" s="7" t="inlineStr">
        <is>
          <t>Concluído Campo</t>
        </is>
      </c>
      <c r="S771" s="9" t="n">
        <v>46008</v>
      </c>
      <c r="T771" s="10" t="inlineStr"/>
      <c r="U771" s="7" t="inlineStr"/>
      <c r="V771" s="7" t="inlineStr"/>
      <c r="W771" s="7" t="inlineStr"/>
      <c r="X771" s="7" t="inlineStr">
        <is>
          <t>MEDIÇÃO CONCLUÍDA</t>
        </is>
      </c>
      <c r="Y771" s="11">
        <f>IF(AND(L771&lt;&gt;"", S771&lt;&gt;""), S771-L771, IF(L771&lt;&gt;"", TODAY()-L771, ""))</f>
        <v/>
      </c>
      <c r="Z771" s="7">
        <f>IF(Y771="", "", IF(Y771&lt;=3, "NO PRAZO", "ATRASADO"))</f>
        <v/>
      </c>
      <c r="AA771" s="8" t="inlineStr"/>
    </row>
    <row r="772" ht="20" customHeight="1">
      <c r="A772" s="7" t="inlineStr">
        <is>
          <t>RSCLER0767</t>
        </is>
      </c>
      <c r="B772" s="8" t="inlineStr">
        <is>
          <t>PORTO ALEGRE</t>
        </is>
      </c>
      <c r="C772" s="7" t="inlineStr">
        <is>
          <t>MTSAA</t>
        </is>
      </c>
      <c r="D772" s="7" t="inlineStr">
        <is>
          <t>SJOADB</t>
        </is>
      </c>
      <c r="E772" s="7" t="inlineStr">
        <is>
          <t>PAE BV</t>
        </is>
      </c>
      <c r="F772" s="8" t="inlineStr"/>
      <c r="G772" s="8" t="inlineStr">
        <is>
          <t>RUA CEL MANOEL PY, 222</t>
        </is>
      </c>
      <c r="H772" s="7" t="inlineStr"/>
      <c r="I772" s="8" t="inlineStr">
        <is>
          <t>COBRAR DENTRO DO NODE SJOADB</t>
        </is>
      </c>
      <c r="J772" s="8" t="inlineStr"/>
      <c r="K772" s="8" t="inlineStr">
        <is>
          <t>MARCOS EMILIANO</t>
        </is>
      </c>
      <c r="L772" s="7" t="inlineStr"/>
      <c r="M772" s="7" t="inlineStr"/>
      <c r="N772" s="7" t="inlineStr"/>
      <c r="O772" s="9" t="n">
        <v>45997</v>
      </c>
      <c r="P772" s="7" t="inlineStr">
        <is>
          <t>NÃO PRECISA</t>
        </is>
      </c>
      <c r="Q772" s="7" t="inlineStr">
        <is>
          <t>SJOADB</t>
        </is>
      </c>
      <c r="R772" s="7" t="inlineStr">
        <is>
          <t>Concluído Campo</t>
        </is>
      </c>
      <c r="S772" s="9" t="n">
        <v>46008</v>
      </c>
      <c r="T772" s="10" t="inlineStr"/>
      <c r="U772" s="7" t="inlineStr"/>
      <c r="V772" s="7" t="inlineStr"/>
      <c r="W772" s="7" t="inlineStr"/>
      <c r="X772" s="7" t="inlineStr">
        <is>
          <t>MEDIÇÃO CONCLUÍDA</t>
        </is>
      </c>
      <c r="Y772" s="11">
        <f>IF(AND(L772&lt;&gt;"", S772&lt;&gt;""), S772-L772, IF(L772&lt;&gt;"", TODAY()-L772, ""))</f>
        <v/>
      </c>
      <c r="Z772" s="7">
        <f>IF(Y772="", "", IF(Y772&lt;=3, "NO PRAZO", "ATRASADO"))</f>
        <v/>
      </c>
      <c r="AA772" s="8" t="inlineStr"/>
    </row>
    <row r="773" ht="20" customHeight="1">
      <c r="A773" s="7" t="inlineStr">
        <is>
          <t>RSCLER0768</t>
        </is>
      </c>
      <c r="B773" s="8" t="inlineStr">
        <is>
          <t>TAQUARA</t>
        </is>
      </c>
      <c r="C773" s="7" t="inlineStr"/>
      <c r="D773" s="7" t="inlineStr"/>
      <c r="E773" s="7" t="inlineStr"/>
      <c r="F773" s="8" t="inlineStr"/>
      <c r="G773" s="8" t="inlineStr">
        <is>
          <t>MAL FLORIANO, 966</t>
        </is>
      </c>
      <c r="H773" s="7" t="inlineStr">
        <is>
          <t>006.M010</t>
        </is>
      </c>
      <c r="I773" s="8" t="inlineStr">
        <is>
          <t>4 ABERTURA E FECHAMENTO, 11 FUSÕES, 1 TESTE E 1 TESTE OTDR.</t>
        </is>
      </c>
      <c r="J773" s="8" t="inlineStr"/>
      <c r="K773" s="8" t="inlineStr">
        <is>
          <t>RODRIGO (BUIU)</t>
        </is>
      </c>
      <c r="L773" s="9" t="n">
        <v>45999</v>
      </c>
      <c r="M773" s="7" t="inlineStr"/>
      <c r="N773" s="7" t="inlineStr"/>
      <c r="O773" s="9" t="n">
        <v>46007</v>
      </c>
      <c r="P773" s="9" t="n">
        <v>46062</v>
      </c>
      <c r="Q773" s="9" t="n">
        <v>46062</v>
      </c>
      <c r="R773" s="7" t="inlineStr">
        <is>
          <t>Concluído Campo</t>
        </is>
      </c>
      <c r="S773" s="9" t="n">
        <v>46007</v>
      </c>
      <c r="T773" s="10" t="inlineStr"/>
      <c r="U773" s="7" t="inlineStr"/>
      <c r="V773" s="7" t="inlineStr"/>
      <c r="W773" s="7" t="inlineStr"/>
      <c r="X773" s="7" t="inlineStr">
        <is>
          <t>MEDIÇÃO CONCLUÍDA</t>
        </is>
      </c>
      <c r="Y773" s="11">
        <f>IF(AND(L773&lt;&gt;"", S773&lt;&gt;""), S773-L773, IF(L773&lt;&gt;"", TODAY()-L773, ""))</f>
        <v/>
      </c>
      <c r="Z773" s="7">
        <f>IF(Y773="", "", IF(Y773&lt;=3, "NO PRAZO", "ATRASADO"))</f>
        <v/>
      </c>
      <c r="AA773" s="8" t="inlineStr"/>
    </row>
    <row r="774" ht="20" customHeight="1">
      <c r="A774" s="7" t="inlineStr">
        <is>
          <t>RSCLER0769</t>
        </is>
      </c>
      <c r="B774" s="8" t="inlineStr">
        <is>
          <t>PORTO ALEGRE</t>
        </is>
      </c>
      <c r="C774" s="7" t="inlineStr">
        <is>
          <t>RBRAA</t>
        </is>
      </c>
      <c r="D774" s="7" t="inlineStr">
        <is>
          <t>RBRAM</t>
        </is>
      </c>
      <c r="E774" s="7" t="inlineStr">
        <is>
          <t>RSPLE08</t>
        </is>
      </c>
      <c r="F774" s="8" t="inlineStr"/>
      <c r="G774" s="8" t="inlineStr">
        <is>
          <t>AV PROTASIO ALVES, 440</t>
        </is>
      </c>
      <c r="H774" s="7" t="inlineStr">
        <is>
          <t>RBRAA.051.M040</t>
        </is>
      </c>
      <c r="I774" s="8" t="inlineStr">
        <is>
          <t>FOI LANÇADO 95 METROS DE CABO DE 12FO, 7 ABERTURA E FECHAMENTO, 15 FUSÕES, 2 DERIVAÇÕES, 5 TESTES, 3 TESTE OTDR</t>
        </is>
      </c>
      <c r="J774" s="8" t="inlineStr">
        <is>
          <t>UBIRAJARA</t>
        </is>
      </c>
      <c r="K774" s="8" t="inlineStr">
        <is>
          <t>DERIK</t>
        </is>
      </c>
      <c r="L774" s="7" t="inlineStr"/>
      <c r="M774" s="7" t="inlineStr"/>
      <c r="N774" s="7" t="inlineStr"/>
      <c r="O774" s="9" t="n">
        <v>46003</v>
      </c>
      <c r="P774" s="9" t="n">
        <v>46048</v>
      </c>
      <c r="Q774" s="9" t="n">
        <v>46058</v>
      </c>
      <c r="R774" s="7" t="inlineStr">
        <is>
          <t>Concluído Campo</t>
        </is>
      </c>
      <c r="S774" s="9" t="n">
        <v>46003</v>
      </c>
      <c r="T774" s="10" t="inlineStr"/>
      <c r="U774" s="7" t="inlineStr">
        <is>
          <t>5233867</t>
        </is>
      </c>
      <c r="V774" s="7" t="inlineStr">
        <is>
          <t>FINALIZADO</t>
        </is>
      </c>
      <c r="W774" s="7" t="inlineStr"/>
      <c r="X774" s="7" t="inlineStr">
        <is>
          <t>MEDIÇÃO CONCLUÍDA</t>
        </is>
      </c>
      <c r="Y774" s="11">
        <f>IF(AND(L774&lt;&gt;"", S774&lt;&gt;""), S774-L774, IF(L774&lt;&gt;"", TODAY()-L774, ""))</f>
        <v/>
      </c>
      <c r="Z774" s="7">
        <f>IF(Y774="", "", IF(Y774&lt;=3, "NO PRAZO", "ATRASADO"))</f>
        <v/>
      </c>
      <c r="AA774" s="8" t="inlineStr"/>
    </row>
    <row r="775" ht="20" customHeight="1">
      <c r="A775" s="7" t="inlineStr">
        <is>
          <t>RSCLER0770</t>
        </is>
      </c>
      <c r="B775" s="8" t="inlineStr">
        <is>
          <t>TRAMANDAI</t>
        </is>
      </c>
      <c r="C775" s="7" t="inlineStr">
        <is>
          <t>TRA</t>
        </is>
      </c>
      <c r="D775" s="7" t="inlineStr"/>
      <c r="E775" s="7" t="inlineStr"/>
      <c r="F775" s="8" t="inlineStr"/>
      <c r="G775" s="8" t="inlineStr">
        <is>
          <t>R GETULIO VARGAS - N 719</t>
        </is>
      </c>
      <c r="H775" s="7" t="inlineStr">
        <is>
          <t>TRA055M010</t>
        </is>
      </c>
      <c r="I775" s="8" t="inlineStr">
        <is>
          <t>2 ABERTURA E FECHAMENTO, 2 FUSÕES, 2 TESTES</t>
        </is>
      </c>
      <c r="J775" s="8" t="inlineStr"/>
      <c r="K775" s="8" t="inlineStr">
        <is>
          <t>DERIK</t>
        </is>
      </c>
      <c r="L775" s="9" t="n">
        <v>46001</v>
      </c>
      <c r="M775" s="7" t="inlineStr"/>
      <c r="N775" s="7" t="inlineStr"/>
      <c r="O775" s="9" t="n">
        <v>46009</v>
      </c>
      <c r="P775" s="7" t="inlineStr">
        <is>
          <t>NÃO PRECISA</t>
        </is>
      </c>
      <c r="Q775" s="9" t="n">
        <v>46055</v>
      </c>
      <c r="R775" s="7" t="inlineStr">
        <is>
          <t>Concluído Campo</t>
        </is>
      </c>
      <c r="S775" s="9" t="n">
        <v>46009</v>
      </c>
      <c r="T775" s="10" t="inlineStr"/>
      <c r="U775" s="7" t="inlineStr"/>
      <c r="V775" s="7" t="inlineStr"/>
      <c r="W775" s="7" t="inlineStr"/>
      <c r="X775" s="7" t="inlineStr">
        <is>
          <t>MEDIÇÃO CONCLUÍDA</t>
        </is>
      </c>
      <c r="Y775" s="11">
        <f>IF(AND(L775&lt;&gt;"", S775&lt;&gt;""), S775-L775, IF(L775&lt;&gt;"", TODAY()-L775, ""))</f>
        <v/>
      </c>
      <c r="Z775" s="7">
        <f>IF(Y775="", "", IF(Y775&lt;=3, "NO PRAZO", "ATRASADO"))</f>
        <v/>
      </c>
      <c r="AA775" s="8" t="inlineStr"/>
    </row>
    <row r="776" ht="20" customHeight="1">
      <c r="A776" s="7" t="inlineStr">
        <is>
          <t>RSCLER0771</t>
        </is>
      </c>
      <c r="B776" s="8" t="inlineStr">
        <is>
          <t>TRAMANDAI</t>
        </is>
      </c>
      <c r="C776" s="7" t="inlineStr">
        <is>
          <t>TRA</t>
        </is>
      </c>
      <c r="D776" s="7" t="inlineStr"/>
      <c r="E776" s="7" t="inlineStr"/>
      <c r="F776" s="8" t="inlineStr"/>
      <c r="G776" s="8" t="inlineStr">
        <is>
          <t>AV DA IGREJA 845</t>
        </is>
      </c>
      <c r="H776" s="7" t="inlineStr">
        <is>
          <t>TRA034M030</t>
        </is>
      </c>
      <c r="I776" s="8" t="inlineStr">
        <is>
          <t>2 ABERTURA E FECHAMENTO, 2 FUSÕES, 2 TESTES</t>
        </is>
      </c>
      <c r="J776" s="8" t="inlineStr"/>
      <c r="K776" s="8" t="inlineStr">
        <is>
          <t>DERIK</t>
        </is>
      </c>
      <c r="L776" s="9" t="n">
        <v>46002</v>
      </c>
      <c r="M776" s="7" t="inlineStr"/>
      <c r="N776" s="7" t="inlineStr"/>
      <c r="O776" s="9" t="n">
        <v>46009</v>
      </c>
      <c r="P776" s="9" t="n">
        <v>46045</v>
      </c>
      <c r="Q776" s="9" t="n">
        <v>46045</v>
      </c>
      <c r="R776" s="7" t="inlineStr">
        <is>
          <t>Concluído Campo</t>
        </is>
      </c>
      <c r="S776" s="9" t="n">
        <v>46009</v>
      </c>
      <c r="T776" s="10" t="inlineStr"/>
      <c r="U776" s="7" t="inlineStr"/>
      <c r="V776" s="7" t="inlineStr"/>
      <c r="W776" s="7" t="inlineStr"/>
      <c r="X776" s="7" t="inlineStr">
        <is>
          <t>MEDIÇÃO CONCLUÍDA</t>
        </is>
      </c>
      <c r="Y776" s="11">
        <f>IF(AND(L776&lt;&gt;"", S776&lt;&gt;""), S776-L776, IF(L776&lt;&gt;"", TODAY()-L776, ""))</f>
        <v/>
      </c>
      <c r="Z776" s="7">
        <f>IF(Y776="", "", IF(Y776&lt;=3, "NO PRAZO", "ATRASADO"))</f>
        <v/>
      </c>
      <c r="AA776" s="8" t="inlineStr"/>
    </row>
    <row r="777" ht="20" customHeight="1">
      <c r="A777" s="7" t="inlineStr">
        <is>
          <t>RSCLER0772</t>
        </is>
      </c>
      <c r="B777" s="8" t="inlineStr">
        <is>
          <t>TORRES</t>
        </is>
      </c>
      <c r="C777" s="7" t="inlineStr">
        <is>
          <t>CLC</t>
        </is>
      </c>
      <c r="D777" s="7" t="inlineStr"/>
      <c r="E777" s="7" t="inlineStr"/>
      <c r="F777" s="8" t="inlineStr"/>
      <c r="G777" s="8" t="inlineStr">
        <is>
          <t>R JOSE OSORIO CABRAL - N 1160</t>
        </is>
      </c>
      <c r="H777" s="7" t="inlineStr">
        <is>
          <t>CLC004-M3</t>
        </is>
      </c>
      <c r="I777" s="8" t="inlineStr">
        <is>
          <t>3 ABERTURA E FECHAMENTO, 6 FUSÕES, 3 TESTES</t>
        </is>
      </c>
      <c r="J777" s="8" t="inlineStr"/>
      <c r="K777" s="8" t="inlineStr">
        <is>
          <t>DERIK</t>
        </is>
      </c>
      <c r="L777" s="9" t="n">
        <v>46002</v>
      </c>
      <c r="M777" s="7" t="inlineStr"/>
      <c r="N777" s="7" t="inlineStr"/>
      <c r="O777" s="9" t="n">
        <v>46008</v>
      </c>
      <c r="P777" s="9" t="n">
        <v>46048</v>
      </c>
      <c r="Q777" s="9" t="n">
        <v>46048</v>
      </c>
      <c r="R777" s="7" t="inlineStr">
        <is>
          <t>Concluído Campo</t>
        </is>
      </c>
      <c r="S777" s="9" t="n">
        <v>46008</v>
      </c>
      <c r="T777" s="10" t="inlineStr"/>
      <c r="U777" s="7" t="inlineStr"/>
      <c r="V777" s="7" t="inlineStr"/>
      <c r="W777" s="7" t="inlineStr"/>
      <c r="X777" s="7" t="inlineStr">
        <is>
          <t>MEDIÇÃO CONCLUÍDA</t>
        </is>
      </c>
      <c r="Y777" s="11">
        <f>IF(AND(L777&lt;&gt;"", S777&lt;&gt;""), S777-L777, IF(L777&lt;&gt;"", TODAY()-L777, ""))</f>
        <v/>
      </c>
      <c r="Z777" s="7">
        <f>IF(Y777="", "", IF(Y777&lt;=3, "NO PRAZO", "ATRASADO"))</f>
        <v/>
      </c>
      <c r="AA777" s="8" t="inlineStr"/>
    </row>
    <row r="778" ht="20" customHeight="1">
      <c r="A778" s="7" t="inlineStr">
        <is>
          <t>RSCLER0773</t>
        </is>
      </c>
      <c r="B778" s="8" t="inlineStr">
        <is>
          <t>PORTO ALEGRE</t>
        </is>
      </c>
      <c r="C778" s="7" t="inlineStr">
        <is>
          <t>JBOAA</t>
        </is>
      </c>
      <c r="D778" s="7" t="inlineStr">
        <is>
          <t>PETAB</t>
        </is>
      </c>
      <c r="E778" s="7" t="inlineStr">
        <is>
          <t>RSPLE18</t>
        </is>
      </c>
      <c r="F778" s="8" t="inlineStr"/>
      <c r="G778" s="8" t="inlineStr">
        <is>
          <t>RUA CHILE, 889</t>
        </is>
      </c>
      <c r="H778" s="7" t="inlineStr">
        <is>
          <t>JBOAA.081.M040</t>
        </is>
      </c>
      <c r="I778" s="8" t="inlineStr">
        <is>
          <t>4 ABERTURA E FECHAMENTO, 3 FUSÕES, 1 TESTE</t>
        </is>
      </c>
      <c r="J778" s="8" t="inlineStr"/>
      <c r="K778" s="8" t="inlineStr">
        <is>
          <t>DERIK</t>
        </is>
      </c>
      <c r="L778" s="9" t="n">
        <v>46003</v>
      </c>
      <c r="M778" s="7" t="inlineStr"/>
      <c r="N778" s="7" t="inlineStr"/>
      <c r="O778" s="9" t="n">
        <v>46006</v>
      </c>
      <c r="P778" s="9" t="n">
        <v>46052</v>
      </c>
      <c r="Q778" s="9" t="n">
        <v>46052</v>
      </c>
      <c r="R778" s="7" t="inlineStr">
        <is>
          <t>Concluído Campo</t>
        </is>
      </c>
      <c r="S778" s="9" t="n">
        <v>46052</v>
      </c>
      <c r="T778" s="10" t="inlineStr"/>
      <c r="U778" s="7" t="inlineStr">
        <is>
          <t>5221654</t>
        </is>
      </c>
      <c r="V778" s="7" t="inlineStr">
        <is>
          <t>FINALIZADO</t>
        </is>
      </c>
      <c r="W778" s="7" t="inlineStr"/>
      <c r="X778" s="7" t="inlineStr">
        <is>
          <t>MEDIÇÃO CONCLUÍDA</t>
        </is>
      </c>
      <c r="Y778" s="11">
        <f>IF(AND(L778&lt;&gt;"", S778&lt;&gt;""), S778-L778, IF(L778&lt;&gt;"", TODAY()-L778, ""))</f>
        <v/>
      </c>
      <c r="Z778" s="7">
        <f>IF(Y778="", "", IF(Y778&lt;=3, "NO PRAZO", "ATRASADO"))</f>
        <v/>
      </c>
      <c r="AA778" s="8" t="inlineStr"/>
    </row>
    <row r="779" ht="20" customHeight="1">
      <c r="A779" s="7" t="inlineStr">
        <is>
          <t>RSCLER0774</t>
        </is>
      </c>
      <c r="B779" s="8" t="inlineStr">
        <is>
          <t>CHARQUEADAS</t>
        </is>
      </c>
      <c r="C779" s="7" t="inlineStr">
        <is>
          <t>CNT</t>
        </is>
      </c>
      <c r="D779" s="7" t="inlineStr"/>
      <c r="E779" s="7" t="inlineStr"/>
      <c r="F779" s="8" t="inlineStr"/>
      <c r="G779" s="8" t="inlineStr">
        <is>
          <t>AMPLIAÇÕES DE NAPS</t>
        </is>
      </c>
      <c r="H779" s="7" t="inlineStr"/>
      <c r="I779" s="8" t="inlineStr">
        <is>
          <t>10 ABERTURA E FECHAMENTO, 28 FUSÕES, 5 TESTES OTDR</t>
        </is>
      </c>
      <c r="J779" s="8" t="inlineStr"/>
      <c r="K779" s="8" t="inlineStr">
        <is>
          <t>CATIA</t>
        </is>
      </c>
      <c r="L779" s="7" t="inlineStr"/>
      <c r="M779" s="7" t="inlineStr"/>
      <c r="N779" s="7" t="inlineStr"/>
      <c r="O779" s="9" t="n">
        <v>46008</v>
      </c>
      <c r="P779" s="9" t="n">
        <v>46044</v>
      </c>
      <c r="Q779" s="9" t="n">
        <v>46044</v>
      </c>
      <c r="R779" s="7" t="inlineStr">
        <is>
          <t>Concluído Campo</t>
        </is>
      </c>
      <c r="S779" s="9" t="n">
        <v>46008</v>
      </c>
      <c r="T779" s="10" t="inlineStr"/>
      <c r="U779" s="7" t="inlineStr"/>
      <c r="V779" s="7" t="inlineStr"/>
      <c r="W779" s="7" t="inlineStr"/>
      <c r="X779" s="7" t="inlineStr">
        <is>
          <t>MEDIÇÃO CONCLUÍDA</t>
        </is>
      </c>
      <c r="Y779" s="11">
        <f>IF(AND(L779&lt;&gt;"", S779&lt;&gt;""), S779-L779, IF(L779&lt;&gt;"", TODAY()-L779, ""))</f>
        <v/>
      </c>
      <c r="Z779" s="7">
        <f>IF(Y779="", "", IF(Y779&lt;=3, "NO PRAZO", "ATRASADO"))</f>
        <v/>
      </c>
      <c r="AA779" s="8" t="inlineStr"/>
    </row>
    <row r="780" ht="20" customHeight="1">
      <c r="A780" s="7" t="inlineStr">
        <is>
          <t>RSCLER0775</t>
        </is>
      </c>
      <c r="B780" s="8" t="inlineStr">
        <is>
          <t>PORTO ALEGRE</t>
        </is>
      </c>
      <c r="C780" s="7" t="inlineStr">
        <is>
          <t>MTSAA</t>
        </is>
      </c>
      <c r="D780" s="7" t="inlineStr"/>
      <c r="E780" s="7" t="inlineStr"/>
      <c r="F780" s="8" t="inlineStr"/>
      <c r="G780" s="8" t="inlineStr">
        <is>
          <t>RUA CORONEL BORDINI 1644</t>
        </is>
      </c>
      <c r="H780" s="7" t="inlineStr">
        <is>
          <t>MTSAA.271.M040</t>
        </is>
      </c>
      <c r="I780" s="8" t="inlineStr">
        <is>
          <t>6 ABERTURA E FECHAMENTO, 14 FUSÕES, 7 TESTE OTDR,</t>
        </is>
      </c>
      <c r="J780" s="8" t="inlineStr"/>
      <c r="K780" s="8" t="inlineStr">
        <is>
          <t>CATIA</t>
        </is>
      </c>
      <c r="L780" s="9" t="n">
        <v>46007</v>
      </c>
      <c r="M780" s="7" t="inlineStr"/>
      <c r="N780" s="7" t="inlineStr"/>
      <c r="O780" s="9" t="n">
        <v>46008</v>
      </c>
      <c r="P780" s="9" t="n">
        <v>46064</v>
      </c>
      <c r="Q780" s="9" t="n">
        <v>46064</v>
      </c>
      <c r="R780" s="7" t="inlineStr">
        <is>
          <t>Concluído Campo</t>
        </is>
      </c>
      <c r="S780" s="9" t="n">
        <v>46008</v>
      </c>
      <c r="T780" s="10" t="inlineStr"/>
      <c r="U780" s="7" t="inlineStr">
        <is>
          <t>5420465</t>
        </is>
      </c>
      <c r="V780" s="7" t="inlineStr">
        <is>
          <t>FINALIZADO</t>
        </is>
      </c>
      <c r="W780" s="7" t="inlineStr"/>
      <c r="X780" s="7" t="inlineStr">
        <is>
          <t>MEDIÇÃO CONCLUÍDA</t>
        </is>
      </c>
      <c r="Y780" s="11">
        <f>IF(AND(L780&lt;&gt;"", S780&lt;&gt;""), S780-L780, IF(L780&lt;&gt;"", TODAY()-L780, ""))</f>
        <v/>
      </c>
      <c r="Z780" s="7">
        <f>IF(Y780="", "", IF(Y780&lt;=3, "NO PRAZO", "ATRASADO"))</f>
        <v/>
      </c>
      <c r="AA780" s="8" t="inlineStr"/>
    </row>
    <row r="781" ht="20" customHeight="1">
      <c r="A781" s="7" t="inlineStr">
        <is>
          <t>RSCLER0776</t>
        </is>
      </c>
      <c r="B781" s="8" t="inlineStr">
        <is>
          <t>PORTO ALEGRE</t>
        </is>
      </c>
      <c r="C781" s="7" t="inlineStr">
        <is>
          <t>CNTAB</t>
        </is>
      </c>
      <c r="D781" s="7" t="inlineStr">
        <is>
          <t>CNTAFB</t>
        </is>
      </c>
      <c r="E781" s="7" t="inlineStr">
        <is>
          <t>RSPCE14</t>
        </is>
      </c>
      <c r="F781" s="8" t="inlineStr"/>
      <c r="G781" s="8" t="inlineStr">
        <is>
          <t>Fernando Machado 525</t>
        </is>
      </c>
      <c r="H781" s="7" t="inlineStr">
        <is>
          <t>CNTAB.081.M030</t>
        </is>
      </c>
      <c r="I781" s="8" t="inlineStr">
        <is>
          <t>FOI LANÇADO 168 METROS DE CABO DE 12FO, 5 ABERTURA E FECHAMENTO, 5 FUSÕES, 1 DERIVAÇÃO.</t>
        </is>
      </c>
      <c r="J781" s="8" t="inlineStr">
        <is>
          <t>UBIRAJARA</t>
        </is>
      </c>
      <c r="K781" s="8" t="inlineStr">
        <is>
          <t>DERIK</t>
        </is>
      </c>
      <c r="L781" s="9" t="n">
        <v>46013</v>
      </c>
      <c r="M781" s="7" t="inlineStr"/>
      <c r="N781" s="7" t="inlineStr"/>
      <c r="O781" s="9" t="n">
        <v>46380</v>
      </c>
      <c r="P781" s="9" t="n">
        <v>46059</v>
      </c>
      <c r="Q781" s="9" t="n">
        <v>46059</v>
      </c>
      <c r="R781" s="7" t="inlineStr">
        <is>
          <t>Concluído Campo</t>
        </is>
      </c>
      <c r="S781" s="9" t="n">
        <v>46015</v>
      </c>
      <c r="T781" s="10" t="inlineStr"/>
      <c r="U781" s="7" t="inlineStr">
        <is>
          <t>5376514</t>
        </is>
      </c>
      <c r="V781" s="7" t="inlineStr">
        <is>
          <t>FINALIZADO</t>
        </is>
      </c>
      <c r="W781" s="7" t="inlineStr"/>
      <c r="X781" s="7" t="inlineStr">
        <is>
          <t>MEDIÇÃO CONCLUÍDA</t>
        </is>
      </c>
      <c r="Y781" s="11">
        <f>IF(AND(L781&lt;&gt;"", S781&lt;&gt;""), S781-L781, IF(L781&lt;&gt;"", TODAY()-L781, ""))</f>
        <v/>
      </c>
      <c r="Z781" s="7">
        <f>IF(Y781="", "", IF(Y781&lt;=3, "NO PRAZO", "ATRASADO"))</f>
        <v/>
      </c>
      <c r="AA781" s="8" t="inlineStr"/>
    </row>
    <row r="782" ht="20" customHeight="1">
      <c r="A782" s="7" t="inlineStr">
        <is>
          <t>RSCLER0777</t>
        </is>
      </c>
      <c r="B782" s="8" t="inlineStr">
        <is>
          <t>PORTO ALEGRE</t>
        </is>
      </c>
      <c r="C782" s="7" t="inlineStr">
        <is>
          <t>MTSAA</t>
        </is>
      </c>
      <c r="D782" s="7" t="inlineStr">
        <is>
          <t>SJOADB</t>
        </is>
      </c>
      <c r="E782" s="7" t="inlineStr">
        <is>
          <t>PAE BV</t>
        </is>
      </c>
      <c r="F782" s="8" t="inlineStr"/>
      <c r="G782" s="8" t="inlineStr">
        <is>
          <t>Rua Cel Manoel Py, 204</t>
        </is>
      </c>
      <c r="H782" s="7" t="inlineStr">
        <is>
          <t>MTSAA.231.M020</t>
        </is>
      </c>
      <c r="I782" s="8" t="inlineStr">
        <is>
          <t>2 ABERTURA E FECHAMENTO, 3 FUSÕES, 3 TESTES</t>
        </is>
      </c>
      <c r="J782" s="8" t="inlineStr"/>
      <c r="K782" s="8" t="inlineStr">
        <is>
          <t>DERIK</t>
        </is>
      </c>
      <c r="L782" s="9" t="n">
        <v>46013</v>
      </c>
      <c r="M782" s="9" t="n">
        <v>46014</v>
      </c>
      <c r="N782" s="9" t="n">
        <v>46015</v>
      </c>
      <c r="O782" s="9" t="n">
        <v>46014</v>
      </c>
      <c r="P782" s="9" t="n">
        <v>46014</v>
      </c>
      <c r="Q782" s="9" t="n">
        <v>46014</v>
      </c>
      <c r="R782" s="7" t="inlineStr">
        <is>
          <t>Concluído Campo</t>
        </is>
      </c>
      <c r="S782" s="9" t="n">
        <v>46014</v>
      </c>
      <c r="T782" s="10" t="inlineStr"/>
      <c r="U782" s="7" t="inlineStr">
        <is>
          <t>5376514</t>
        </is>
      </c>
      <c r="V782" s="7" t="inlineStr">
        <is>
          <t>FINALIZADO</t>
        </is>
      </c>
      <c r="W782" s="7" t="inlineStr"/>
      <c r="X782" s="7" t="inlineStr">
        <is>
          <t>MEDIÇÃO CONCLUÍDA</t>
        </is>
      </c>
      <c r="Y782" s="11">
        <f>IF(AND(L782&lt;&gt;"", S782&lt;&gt;""), S782-L782, IF(L782&lt;&gt;"", TODAY()-L782, ""))</f>
        <v/>
      </c>
      <c r="Z782" s="7">
        <f>IF(Y782="", "", IF(Y782&lt;=3, "NO PRAZO", "ATRASADO"))</f>
        <v/>
      </c>
      <c r="AA782" s="8" t="inlineStr"/>
    </row>
    <row r="783" ht="20" customHeight="1">
      <c r="A783" s="7" t="inlineStr">
        <is>
          <t>RSCLER0778</t>
        </is>
      </c>
      <c r="B783" s="8" t="inlineStr">
        <is>
          <t>PORTO ALEGRE</t>
        </is>
      </c>
      <c r="C783" s="7" t="inlineStr">
        <is>
          <t>TRZAA</t>
        </is>
      </c>
      <c r="D783" s="7" t="inlineStr">
        <is>
          <t>VASAB</t>
        </is>
      </c>
      <c r="E783" s="7" t="inlineStr">
        <is>
          <t>RSPSU11</t>
        </is>
      </c>
      <c r="F783" s="8" t="inlineStr"/>
      <c r="G783" s="8" t="inlineStr">
        <is>
          <t>Av Pereira Passos, 470</t>
        </is>
      </c>
      <c r="H783" s="7" t="inlineStr">
        <is>
          <t>TRZAA.191.M010</t>
        </is>
      </c>
      <c r="I783" s="8" t="inlineStr">
        <is>
          <t>2 ABERTURA E FECHAMENTO, 2 FUSÕES, 2 TESTES</t>
        </is>
      </c>
      <c r="J783" s="8" t="inlineStr"/>
      <c r="K783" s="8" t="inlineStr">
        <is>
          <t>DERIK</t>
        </is>
      </c>
      <c r="L783" s="9" t="n">
        <v>46013</v>
      </c>
      <c r="M783" s="9" t="n">
        <v>46014</v>
      </c>
      <c r="N783" s="9" t="n">
        <v>46015</v>
      </c>
      <c r="O783" s="9" t="n">
        <v>46014</v>
      </c>
      <c r="P783" s="9" t="n">
        <v>46014</v>
      </c>
      <c r="Q783" s="9" t="n">
        <v>46014</v>
      </c>
      <c r="R783" s="7" t="inlineStr">
        <is>
          <t>Concluído Campo</t>
        </is>
      </c>
      <c r="S783" s="9" t="n">
        <v>46014</v>
      </c>
      <c r="T783" s="10" t="inlineStr"/>
      <c r="U783" s="7" t="inlineStr">
        <is>
          <t>5221674</t>
        </is>
      </c>
      <c r="V783" s="7" t="inlineStr">
        <is>
          <t>FINALIZADO</t>
        </is>
      </c>
      <c r="W783" s="7" t="inlineStr"/>
      <c r="X783" s="7" t="inlineStr">
        <is>
          <t>MEDIÇÃO CONCLUÍDA</t>
        </is>
      </c>
      <c r="Y783" s="11">
        <f>IF(AND(L783&lt;&gt;"", S783&lt;&gt;""), S783-L783, IF(L783&lt;&gt;"", TODAY()-L783, ""))</f>
        <v/>
      </c>
      <c r="Z783" s="7">
        <f>IF(Y783="", "", IF(Y783&lt;=3, "NO PRAZO", "ATRASADO"))</f>
        <v/>
      </c>
      <c r="AA783" s="8" t="inlineStr"/>
    </row>
    <row r="784" ht="20" customHeight="1">
      <c r="A784" s="7" t="inlineStr">
        <is>
          <t>RSCLER0779</t>
        </is>
      </c>
      <c r="B784" s="8" t="inlineStr">
        <is>
          <t>TRAMANDAÍ</t>
        </is>
      </c>
      <c r="C784" s="7" t="inlineStr">
        <is>
          <t>TRA</t>
        </is>
      </c>
      <c r="D784" s="7" t="inlineStr"/>
      <c r="E784" s="7" t="inlineStr">
        <is>
          <t>RSTRI01</t>
        </is>
      </c>
      <c r="F784" s="8" t="inlineStr"/>
      <c r="G784" s="8" t="inlineStr">
        <is>
          <t>AV MARCILIO DIAS, 1079</t>
        </is>
      </c>
      <c r="H784" s="7" t="inlineStr">
        <is>
          <t>TRA022.M070</t>
        </is>
      </c>
      <c r="I784" s="8" t="inlineStr">
        <is>
          <t>4 ABERTURA E FECHAMENTO, 6 FUSÕES, 2 TESTES</t>
        </is>
      </c>
      <c r="J784" s="8" t="inlineStr"/>
      <c r="K784" s="8" t="inlineStr">
        <is>
          <t>JUNIOR</t>
        </is>
      </c>
      <c r="L784" s="9" t="n">
        <v>46010</v>
      </c>
      <c r="M784" s="7" t="inlineStr"/>
      <c r="N784" s="7" t="inlineStr"/>
      <c r="O784" s="9" t="n">
        <v>46382</v>
      </c>
      <c r="P784" s="9" t="n">
        <v>46052</v>
      </c>
      <c r="Q784" s="9" t="n">
        <v>46052</v>
      </c>
      <c r="R784" s="7" t="inlineStr">
        <is>
          <t>Concluído Campo</t>
        </is>
      </c>
      <c r="S784" s="9" t="n">
        <v>46017</v>
      </c>
      <c r="T784" s="10" t="inlineStr"/>
      <c r="U784" s="7" t="inlineStr"/>
      <c r="V784" s="7" t="inlineStr"/>
      <c r="W784" s="7" t="inlineStr"/>
      <c r="X784" s="7" t="inlineStr">
        <is>
          <t>MEDIÇÃO CONCLUÍDA</t>
        </is>
      </c>
      <c r="Y784" s="11">
        <f>IF(AND(L784&lt;&gt;"", S784&lt;&gt;""), S784-L784, IF(L784&lt;&gt;"", TODAY()-L784, ""))</f>
        <v/>
      </c>
      <c r="Z784" s="7">
        <f>IF(Y784="", "", IF(Y784&lt;=3, "NO PRAZO", "ATRASADO"))</f>
        <v/>
      </c>
      <c r="AA784" s="8" t="inlineStr"/>
    </row>
    <row r="785" ht="20" customHeight="1">
      <c r="A785" s="7" t="inlineStr">
        <is>
          <t>RSCLER0780</t>
        </is>
      </c>
      <c r="B785" s="8" t="inlineStr">
        <is>
          <t>TRAMANDAÍ</t>
        </is>
      </c>
      <c r="C785" s="7" t="inlineStr">
        <is>
          <t>TRA</t>
        </is>
      </c>
      <c r="D785" s="7" t="inlineStr"/>
      <c r="E785" s="7" t="inlineStr">
        <is>
          <t>RSTRI01</t>
        </is>
      </c>
      <c r="F785" s="8" t="inlineStr"/>
      <c r="G785" s="8" t="inlineStr">
        <is>
          <t>RUA TRÊS DE OUTUBRO, 2035</t>
        </is>
      </c>
      <c r="H785" s="7" t="inlineStr">
        <is>
          <t>TRA024.M020</t>
        </is>
      </c>
      <c r="I785" s="8" t="inlineStr">
        <is>
          <t>FOI LANÇADO 319 METROS DE CABO DE 12FO AUTOSUSTENTAVÉL, 9 FUSÕES, 2 DERIVAÇÕES, 5 ABERTURA E FECHAMENTO. 1 TESTE OTDR</t>
        </is>
      </c>
      <c r="J785" s="8" t="inlineStr">
        <is>
          <t>JUNIOR</t>
        </is>
      </c>
      <c r="K785" s="8" t="inlineStr">
        <is>
          <t>JUNIOR</t>
        </is>
      </c>
      <c r="L785" s="9" t="n">
        <v>46010</v>
      </c>
      <c r="M785" s="7" t="inlineStr"/>
      <c r="N785" s="7" t="inlineStr"/>
      <c r="O785" s="9" t="n">
        <v>46382</v>
      </c>
      <c r="P785" s="9" t="n">
        <v>46052</v>
      </c>
      <c r="Q785" s="9" t="n">
        <v>46052</v>
      </c>
      <c r="R785" s="7" t="inlineStr">
        <is>
          <t>Concluído Campo</t>
        </is>
      </c>
      <c r="S785" s="9" t="n">
        <v>46017</v>
      </c>
      <c r="T785" s="10" t="inlineStr"/>
      <c r="U785" s="7" t="inlineStr"/>
      <c r="V785" s="7" t="inlineStr"/>
      <c r="W785" s="7" t="inlineStr"/>
      <c r="X785" s="7" t="inlineStr">
        <is>
          <t>MEDIÇÃO CONCLUÍDA</t>
        </is>
      </c>
      <c r="Y785" s="11">
        <f>IF(AND(L785&lt;&gt;"", S785&lt;&gt;""), S785-L785, IF(L785&lt;&gt;"", TODAY()-L785, ""))</f>
        <v/>
      </c>
      <c r="Z785" s="7">
        <f>IF(Y785="", "", IF(Y785&lt;=3, "NO PRAZO", "ATRASADO"))</f>
        <v/>
      </c>
      <c r="AA785" s="8" t="inlineStr"/>
    </row>
    <row r="786" ht="20" customHeight="1">
      <c r="A786" s="7" t="inlineStr">
        <is>
          <t>RSCLER0781</t>
        </is>
      </c>
      <c r="B786" s="8" t="inlineStr">
        <is>
          <t>TORRES</t>
        </is>
      </c>
      <c r="C786" s="7" t="inlineStr">
        <is>
          <t>CNT</t>
        </is>
      </c>
      <c r="D786" s="7" t="inlineStr"/>
      <c r="E786" s="7" t="inlineStr"/>
      <c r="F786" s="8" t="inlineStr"/>
      <c r="G786" s="8" t="inlineStr">
        <is>
          <t>AV CARLOS BARBOSA, 360</t>
        </is>
      </c>
      <c r="H786" s="7" t="inlineStr">
        <is>
          <t>CNT010-M2</t>
        </is>
      </c>
      <c r="I786" s="8" t="inlineStr">
        <is>
          <t>10 ABERTURA E FECHAMENTO, 17 FUSÕES, 3 TESTES</t>
        </is>
      </c>
      <c r="J786" s="8" t="inlineStr"/>
      <c r="K786" s="8" t="inlineStr">
        <is>
          <t>MAQUENZE</t>
        </is>
      </c>
      <c r="L786" s="9" t="n">
        <v>46010</v>
      </c>
      <c r="M786" s="7" t="inlineStr"/>
      <c r="N786" s="7" t="inlineStr"/>
      <c r="O786" s="9" t="n">
        <v>46042</v>
      </c>
      <c r="P786" s="9" t="n">
        <v>46062</v>
      </c>
      <c r="Q786" s="9" t="n">
        <v>46062</v>
      </c>
      <c r="R786" s="7" t="inlineStr">
        <is>
          <t>Concluído Campo</t>
        </is>
      </c>
      <c r="S786" s="9" t="n">
        <v>46042</v>
      </c>
      <c r="T786" s="10" t="inlineStr"/>
      <c r="U786" s="7" t="inlineStr"/>
      <c r="V786" s="7" t="inlineStr"/>
      <c r="W786" s="7" t="inlineStr"/>
      <c r="X786" s="7" t="inlineStr">
        <is>
          <t>MEDIÇÃO CONCLUÍDA</t>
        </is>
      </c>
      <c r="Y786" s="11">
        <f>IF(AND(L786&lt;&gt;"", S786&lt;&gt;""), S786-L786, IF(L786&lt;&gt;"", TODAY()-L786, ""))</f>
        <v/>
      </c>
      <c r="Z786" s="7">
        <f>IF(Y786="", "", IF(Y786&lt;=3, "NO PRAZO", "ATRASADO"))</f>
        <v/>
      </c>
      <c r="AA786" s="8" t="inlineStr"/>
    </row>
    <row r="787" ht="20" customHeight="1">
      <c r="A787" s="7" t="inlineStr">
        <is>
          <t>RSCLER0782</t>
        </is>
      </c>
      <c r="B787" s="8" t="inlineStr">
        <is>
          <t>GRAVATAÍ</t>
        </is>
      </c>
      <c r="C787" s="7" t="inlineStr">
        <is>
          <t>MDVAA</t>
        </is>
      </c>
      <c r="D787" s="7" t="inlineStr"/>
      <c r="E787" s="7" t="inlineStr">
        <is>
          <t>RSGTI01</t>
        </is>
      </c>
      <c r="F787" s="8" t="inlineStr">
        <is>
          <t>Cond.CESTTO</t>
        </is>
      </c>
      <c r="G787" s="8" t="inlineStr">
        <is>
          <t>Av. Dorival Candido Luz de Oliveira 7575</t>
        </is>
      </c>
      <c r="H787" s="7" t="inlineStr">
        <is>
          <t>MDVAA.041.M030</t>
        </is>
      </c>
      <c r="I787" s="8" t="inlineStr">
        <is>
          <t>FOI LANÇADO 350 METROS DE CABO DE 12FO, 5 ABERTURA E FECHAMENTO, 22 FUSÕES, 1 DERIVAÇÃO,REPUXADO 40 METROS DE CABO DE 12 FO, 2 CX NOVAS E 2 TESTES.</t>
        </is>
      </c>
      <c r="J787" s="8" t="inlineStr">
        <is>
          <t>DEIVID</t>
        </is>
      </c>
      <c r="K787" s="8" t="inlineStr">
        <is>
          <t>DERIK</t>
        </is>
      </c>
      <c r="L787" s="9" t="n">
        <v>46014</v>
      </c>
      <c r="M787" s="7" t="inlineStr"/>
      <c r="N787" s="7" t="inlineStr"/>
      <c r="O787" s="9" t="n">
        <v>46021</v>
      </c>
      <c r="P787" s="9" t="n">
        <v>46062</v>
      </c>
      <c r="Q787" s="9" t="n">
        <v>46062</v>
      </c>
      <c r="R787" s="7" t="inlineStr">
        <is>
          <t>Concluído Campo</t>
        </is>
      </c>
      <c r="S787" s="9" t="n">
        <v>46021</v>
      </c>
      <c r="T787" s="10" t="inlineStr"/>
      <c r="U787" s="7" t="inlineStr">
        <is>
          <t>5376541</t>
        </is>
      </c>
      <c r="V787" s="7" t="inlineStr">
        <is>
          <t>FINALIZADO</t>
        </is>
      </c>
      <c r="W787" s="7" t="inlineStr"/>
      <c r="X787" s="7" t="inlineStr">
        <is>
          <t>MEDIÇÃO CONCLUÍDA</t>
        </is>
      </c>
      <c r="Y787" s="11">
        <f>IF(AND(L787&lt;&gt;"", S787&lt;&gt;""), S787-L787, IF(L787&lt;&gt;"", TODAY()-L787, ""))</f>
        <v/>
      </c>
      <c r="Z787" s="7">
        <f>IF(Y787="", "", IF(Y787&lt;=3, "NO PRAZO", "ATRASADO"))</f>
        <v/>
      </c>
      <c r="AA787" s="8" t="inlineStr"/>
    </row>
    <row r="788" ht="20" customHeight="1">
      <c r="A788" s="7" t="inlineStr">
        <is>
          <t>RSCLER0783</t>
        </is>
      </c>
      <c r="B788" s="8" t="inlineStr">
        <is>
          <t>PORTO ALEGRE</t>
        </is>
      </c>
      <c r="C788" s="7" t="inlineStr">
        <is>
          <t>MNDAC</t>
        </is>
      </c>
      <c r="D788" s="7" t="inlineStr">
        <is>
          <t>PBLAB</t>
        </is>
      </c>
      <c r="E788" s="7" t="inlineStr">
        <is>
          <t>RSPSU02</t>
        </is>
      </c>
      <c r="F788" s="8" t="inlineStr">
        <is>
          <t>Estádio Beira-Rio</t>
        </is>
      </c>
      <c r="G788" s="8" t="inlineStr">
        <is>
          <t>Av. Padre Cacique, 891</t>
        </is>
      </c>
      <c r="H788" s="7" t="inlineStr">
        <is>
          <t>MNDAC.101.M010MAN</t>
        </is>
      </c>
      <c r="I788" s="8" t="inlineStr">
        <is>
          <t>16 ABERTURA E FECHAMENTO, 93 FUSÕES, 4 TESTES.COBRAR 130 METROS DE CABO DE 24FO A MAIS ,130 METROS DE DROP A MAIS E 1023 METROS DE CABO DE 12FO. E 130 METROS DE RETIRADA DE DROP, 3 DERIVAÇÕES.1 CX NOVA</t>
        </is>
      </c>
      <c r="J788" s="8" t="inlineStr"/>
      <c r="K788" s="8" t="inlineStr">
        <is>
          <t>DERIK / MARCOS EMILIANO</t>
        </is>
      </c>
      <c r="L788" s="9" t="n">
        <v>46017</v>
      </c>
      <c r="M788" s="7" t="inlineStr"/>
      <c r="N788" s="7" t="inlineStr"/>
      <c r="O788" s="7" t="inlineStr"/>
      <c r="P788" s="7" t="inlineStr">
        <is>
          <t>Não Precisa</t>
        </is>
      </c>
      <c r="Q788" s="7" t="inlineStr"/>
      <c r="R788" s="7" t="inlineStr">
        <is>
          <t>Concluído Campo</t>
        </is>
      </c>
      <c r="S788" s="7" t="inlineStr"/>
      <c r="T788" s="10" t="inlineStr"/>
      <c r="U788" s="7" t="inlineStr"/>
      <c r="V788" s="7" t="inlineStr"/>
      <c r="W788" s="7" t="inlineStr"/>
      <c r="X788" s="7" t="inlineStr">
        <is>
          <t>AG. RELATÓRIO</t>
        </is>
      </c>
      <c r="Y788" s="11">
        <f>IF(AND(L788&lt;&gt;"", S788&lt;&gt;""), S788-L788, IF(L788&lt;&gt;"", TODAY()-L788, ""))</f>
        <v/>
      </c>
      <c r="Z788" s="7">
        <f>IF(Y788="", "", IF(Y788&lt;=3, "NO PRAZO", "ATRASADO"))</f>
        <v/>
      </c>
      <c r="AA788" s="8" t="inlineStr"/>
    </row>
    <row r="789" ht="20" customHeight="1">
      <c r="A789" s="7" t="inlineStr">
        <is>
          <t>RSCLER0784</t>
        </is>
      </c>
      <c r="B789" s="8" t="inlineStr">
        <is>
          <t>PORTO ALEGRE</t>
        </is>
      </c>
      <c r="C789" s="7" t="inlineStr">
        <is>
          <t>BVSAA</t>
        </is>
      </c>
      <c r="D789" s="7" t="inlineStr"/>
      <c r="E789" s="7" t="inlineStr"/>
      <c r="F789" s="8" t="inlineStr"/>
      <c r="G789" s="8" t="inlineStr">
        <is>
          <t>RUA ATANASIO BELMONTE 51</t>
        </is>
      </c>
      <c r="H789" s="7" t="inlineStr">
        <is>
          <t>BVSAA.061.M020</t>
        </is>
      </c>
      <c r="I789" s="8" t="inlineStr">
        <is>
          <t>9 ABERTURA E FECHAMENTO, 8 FUSÕES, 4 TESTES OTDR</t>
        </is>
      </c>
      <c r="J789" s="8" t="inlineStr"/>
      <c r="K789" s="8" t="inlineStr">
        <is>
          <t>DERIK</t>
        </is>
      </c>
      <c r="L789" s="9" t="n">
        <v>46020</v>
      </c>
      <c r="M789" s="7" t="inlineStr"/>
      <c r="N789" s="7" t="inlineStr"/>
      <c r="O789" s="7" t="inlineStr"/>
      <c r="P789" s="9" t="n">
        <v>46053</v>
      </c>
      <c r="Q789" s="9" t="n">
        <v>46052</v>
      </c>
      <c r="R789" s="7" t="inlineStr">
        <is>
          <t>Concluído Campo</t>
        </is>
      </c>
      <c r="S789" s="9" t="n">
        <v>46015</v>
      </c>
      <c r="T789" s="10" t="inlineStr"/>
      <c r="U789" s="7" t="inlineStr">
        <is>
          <t>5224055</t>
        </is>
      </c>
      <c r="V789" s="7" t="inlineStr">
        <is>
          <t>FINALIZADO</t>
        </is>
      </c>
      <c r="W789" s="7" t="inlineStr"/>
      <c r="X789" s="7" t="inlineStr">
        <is>
          <t>MEDIÇÃO CONCLUÍDA</t>
        </is>
      </c>
      <c r="Y789" s="11">
        <f>IF(AND(L789&lt;&gt;"", S789&lt;&gt;""), S789-L789, IF(L789&lt;&gt;"", TODAY()-L789, ""))</f>
        <v/>
      </c>
      <c r="Z789" s="7">
        <f>IF(Y789="", "", IF(Y789&lt;=3, "NO PRAZO", "ATRASADO"))</f>
        <v/>
      </c>
      <c r="AA789" s="8" t="inlineStr"/>
    </row>
    <row r="790" ht="20" customHeight="1">
      <c r="A790" s="7" t="inlineStr">
        <is>
          <t>RSCLER0785</t>
        </is>
      </c>
      <c r="B790" s="8" t="inlineStr">
        <is>
          <t>PORTO ALEGRE</t>
        </is>
      </c>
      <c r="C790" s="7" t="inlineStr">
        <is>
          <t>TRZAA</t>
        </is>
      </c>
      <c r="D790" s="7" t="inlineStr">
        <is>
          <t>VASAA</t>
        </is>
      </c>
      <c r="E790" s="7" t="inlineStr">
        <is>
          <t>RSPSU11</t>
        </is>
      </c>
      <c r="F790" s="8" t="inlineStr">
        <is>
          <t>Golden Lake</t>
        </is>
      </c>
      <c r="G790" s="8" t="inlineStr">
        <is>
          <t>Av. Diário De Notícias 1200</t>
        </is>
      </c>
      <c r="H790" s="7" t="inlineStr">
        <is>
          <t>TRZAA.041.M020</t>
        </is>
      </c>
      <c r="I790" s="8" t="inlineStr">
        <is>
          <t>2 ABERTURA E FECHAMENTO, 1 FUSÃO, 1 TESTE</t>
        </is>
      </c>
      <c r="J790" s="8" t="inlineStr"/>
      <c r="K790" s="8" t="inlineStr">
        <is>
          <t>DERIK</t>
        </is>
      </c>
      <c r="L790" s="9" t="n">
        <v>46015</v>
      </c>
      <c r="M790" s="7" t="inlineStr"/>
      <c r="N790" s="7" t="inlineStr"/>
      <c r="O790" s="9" t="n">
        <v>46015</v>
      </c>
      <c r="P790" s="9" t="n">
        <v>46038</v>
      </c>
      <c r="Q790" s="9" t="n">
        <v>46038</v>
      </c>
      <c r="R790" s="7" t="inlineStr">
        <is>
          <t>Concluído Campo</t>
        </is>
      </c>
      <c r="S790" s="9" t="n">
        <v>46190</v>
      </c>
      <c r="T790" s="10" t="inlineStr"/>
      <c r="U790" s="7" t="inlineStr">
        <is>
          <t>5506919</t>
        </is>
      </c>
      <c r="V790" s="7" t="inlineStr">
        <is>
          <t>FINALIZADO</t>
        </is>
      </c>
      <c r="W790" s="7" t="inlineStr"/>
      <c r="X790" s="7" t="inlineStr">
        <is>
          <t>MEDIÇÃO CONCLUÍDA</t>
        </is>
      </c>
      <c r="Y790" s="11">
        <f>IF(AND(L790&lt;&gt;"", S790&lt;&gt;""), S790-L790, IF(L790&lt;&gt;"", TODAY()-L790, ""))</f>
        <v/>
      </c>
      <c r="Z790" s="7">
        <f>IF(Y790="", "", IF(Y790&lt;=3, "NO PRAZO", "ATRASADO"))</f>
        <v/>
      </c>
      <c r="AA790" s="8" t="inlineStr"/>
    </row>
    <row r="791" ht="20" customHeight="1">
      <c r="A791" s="7" t="inlineStr">
        <is>
          <t>RSCLER0786</t>
        </is>
      </c>
      <c r="B791" s="8" t="inlineStr">
        <is>
          <t>TRÊS COROA</t>
        </is>
      </c>
      <c r="C791" s="7" t="inlineStr">
        <is>
          <t>TCS</t>
        </is>
      </c>
      <c r="D791" s="7" t="inlineStr"/>
      <c r="E791" s="7" t="inlineStr">
        <is>
          <t>RSTSS01</t>
        </is>
      </c>
      <c r="F791" s="8" t="inlineStr"/>
      <c r="G791" s="8" t="inlineStr">
        <is>
          <t>R DOZE DE MAIO, 483</t>
        </is>
      </c>
      <c r="H791" s="7" t="inlineStr">
        <is>
          <t>TCS.018.M010</t>
        </is>
      </c>
      <c r="I791" s="8" t="inlineStr">
        <is>
          <t>6 ABERTURA E FECHAMENTO, 11 FUSÕES, 3 TESTES,</t>
        </is>
      </c>
      <c r="J791" s="8" t="inlineStr"/>
      <c r="K791" s="8" t="inlineStr">
        <is>
          <t>RODRIGO BUIU</t>
        </is>
      </c>
      <c r="L791" s="9" t="n">
        <v>46097</v>
      </c>
      <c r="M791" s="7" t="inlineStr"/>
      <c r="N791" s="7" t="inlineStr"/>
      <c r="O791" s="9" t="n">
        <v>46111</v>
      </c>
      <c r="P791" s="9" t="n">
        <v>46114</v>
      </c>
      <c r="Q791" s="9" t="n">
        <v>46114</v>
      </c>
      <c r="R791" s="7" t="inlineStr">
        <is>
          <t>Sem Sinal</t>
        </is>
      </c>
      <c r="S791" s="9" t="n">
        <v>46044</v>
      </c>
      <c r="T791" s="10" t="inlineStr"/>
      <c r="U791" s="7" t="inlineStr">
        <is>
          <t>5367150</t>
        </is>
      </c>
      <c r="V791" s="7" t="inlineStr">
        <is>
          <t>FINALIZADO</t>
        </is>
      </c>
      <c r="W791" s="7" t="inlineStr"/>
      <c r="X791" s="7" t="inlineStr">
        <is>
          <t>MEDIÇÃO CONCLUÍDA</t>
        </is>
      </c>
      <c r="Y791" s="11">
        <f>IF(AND(L791&lt;&gt;"", S791&lt;&gt;""), S791-L791, IF(L791&lt;&gt;"", TODAY()-L791, ""))</f>
        <v/>
      </c>
      <c r="Z791" s="7">
        <f>IF(Y791="", "", IF(Y791&lt;=3, "NO PRAZO", "ATRASADO"))</f>
        <v/>
      </c>
      <c r="AA791" s="8" t="inlineStr"/>
    </row>
    <row r="792" ht="20" customHeight="1">
      <c r="A792" s="7" t="inlineStr">
        <is>
          <t>RSCLER0787</t>
        </is>
      </c>
      <c r="B792" s="8" t="inlineStr">
        <is>
          <t>PORTO ALEGRE</t>
        </is>
      </c>
      <c r="C792" s="7" t="inlineStr">
        <is>
          <t>MNDAC</t>
        </is>
      </c>
      <c r="D792" s="7" t="inlineStr">
        <is>
          <t>MNDAMA</t>
        </is>
      </c>
      <c r="E792" s="7" t="inlineStr">
        <is>
          <t>RSPSU02</t>
        </is>
      </c>
      <c r="F792" s="8" t="inlineStr">
        <is>
          <t>CT DO INTER</t>
        </is>
      </c>
      <c r="G792" s="8" t="inlineStr">
        <is>
          <t>Av. Edvaldo Pereira Paiva, 4068</t>
        </is>
      </c>
      <c r="H792" s="7" t="inlineStr">
        <is>
          <t>MNDAC.111.01.01</t>
        </is>
      </c>
      <c r="I792" s="8" t="inlineStr">
        <is>
          <t>FOI LANÇADO 832 METROS DE CABO DE 12FO, 1 ABERTURA E FECHAMENTO, 2 CX NOVAS 5 NAP NOVAS, 23 FUSÕES, 17 TESTES</t>
        </is>
      </c>
      <c r="J792" s="8" t="inlineStr">
        <is>
          <t>UBIRAJARA</t>
        </is>
      </c>
      <c r="K792" s="8" t="inlineStr">
        <is>
          <t>AFONSO</t>
        </is>
      </c>
      <c r="L792" s="9" t="n">
        <v>46028</v>
      </c>
      <c r="M792" s="7" t="inlineStr"/>
      <c r="N792" s="7" t="inlineStr"/>
      <c r="O792" s="9" t="n">
        <v>46044</v>
      </c>
      <c r="P792" s="9" t="n">
        <v>46058</v>
      </c>
      <c r="Q792" s="9" t="n">
        <v>46058</v>
      </c>
      <c r="R792" s="7" t="inlineStr">
        <is>
          <t>Concluído Campo</t>
        </is>
      </c>
      <c r="S792" s="9" t="n">
        <v>46040</v>
      </c>
      <c r="T792" s="10" t="inlineStr"/>
      <c r="U792" s="7" t="inlineStr"/>
      <c r="V792" s="7" t="inlineStr"/>
      <c r="W792" s="7" t="inlineStr"/>
      <c r="X792" s="7" t="inlineStr">
        <is>
          <t>MEDIÇÃO CONCLUÍDA</t>
        </is>
      </c>
      <c r="Y792" s="11">
        <f>IF(AND(L792&lt;&gt;"", S792&lt;&gt;""), S792-L792, IF(L792&lt;&gt;"", TODAY()-L792, ""))</f>
        <v/>
      </c>
      <c r="Z792" s="7">
        <f>IF(Y792="", "", IF(Y792&lt;=3, "NO PRAZO", "ATRASADO"))</f>
        <v/>
      </c>
      <c r="AA792" s="8" t="inlineStr"/>
    </row>
    <row r="793" ht="20" customHeight="1">
      <c r="A793" s="7" t="inlineStr">
        <is>
          <t>RSCLER0788</t>
        </is>
      </c>
      <c r="B793" s="8" t="inlineStr">
        <is>
          <t>TORRES</t>
        </is>
      </c>
      <c r="C793" s="7" t="inlineStr">
        <is>
          <t>CNT</t>
        </is>
      </c>
      <c r="D793" s="7" t="inlineStr"/>
      <c r="E793" s="7" t="inlineStr"/>
      <c r="F793" s="8" t="inlineStr"/>
      <c r="G793" s="8" t="inlineStr">
        <is>
          <t>R OSVALDO ARANHA 573</t>
        </is>
      </c>
      <c r="H793" s="7" t="inlineStr">
        <is>
          <t>CNT09-M2</t>
        </is>
      </c>
      <c r="I793" s="8" t="inlineStr">
        <is>
          <t>7 ABERTURA E FECHAMENTO, 12 FUSÕES, 2 TESTES, 2 TESTES OTDR</t>
        </is>
      </c>
      <c r="J793" s="8" t="inlineStr"/>
      <c r="K793" s="8" t="inlineStr">
        <is>
          <t>LUKAS MUNHOZ</t>
        </is>
      </c>
      <c r="L793" s="9" t="n">
        <v>46035</v>
      </c>
      <c r="M793" s="7" t="inlineStr"/>
      <c r="N793" s="7" t="inlineStr"/>
      <c r="O793" s="9" t="n">
        <v>46040</v>
      </c>
      <c r="P793" s="9" t="n">
        <v>46052</v>
      </c>
      <c r="Q793" s="9" t="n">
        <v>46052</v>
      </c>
      <c r="R793" s="7" t="inlineStr">
        <is>
          <t>Concluído Campo</t>
        </is>
      </c>
      <c r="S793" s="9" t="n">
        <v>46040</v>
      </c>
      <c r="T793" s="10" t="inlineStr"/>
      <c r="U793" s="7" t="inlineStr"/>
      <c r="V793" s="7" t="inlineStr"/>
      <c r="W793" s="7" t="inlineStr"/>
      <c r="X793" s="7" t="inlineStr">
        <is>
          <t>MEDIÇÃO CONCLUÍDA</t>
        </is>
      </c>
      <c r="Y793" s="11">
        <f>IF(AND(L793&lt;&gt;"", S793&lt;&gt;""), S793-L793, IF(L793&lt;&gt;"", TODAY()-L793, ""))</f>
        <v/>
      </c>
      <c r="Z793" s="7">
        <f>IF(Y793="", "", IF(Y793&lt;=3, "NO PRAZO", "ATRASADO"))</f>
        <v/>
      </c>
      <c r="AA793" s="8" t="inlineStr"/>
    </row>
    <row r="794" ht="20" customHeight="1">
      <c r="A794" s="7" t="inlineStr">
        <is>
          <t>RSCLER0789</t>
        </is>
      </c>
      <c r="B794" s="8" t="inlineStr">
        <is>
          <t>TORRES</t>
        </is>
      </c>
      <c r="C794" s="7" t="inlineStr">
        <is>
          <t>CNT</t>
        </is>
      </c>
      <c r="D794" s="7" t="inlineStr"/>
      <c r="E794" s="7" t="inlineStr"/>
      <c r="F794" s="8" t="inlineStr"/>
      <c r="G794" s="8" t="inlineStr">
        <is>
          <t>R ALEXANDRINO DE ALENCAR, 360</t>
        </is>
      </c>
      <c r="H794" s="7" t="inlineStr">
        <is>
          <t>CNT03-M3</t>
        </is>
      </c>
      <c r="I794" s="8" t="inlineStr">
        <is>
          <t>5 ABERTURA E FECHAMENTO, 4 FUSÕES, 1 TESTE</t>
        </is>
      </c>
      <c r="J794" s="8" t="inlineStr"/>
      <c r="K794" s="8" t="inlineStr">
        <is>
          <t>LUKAS MUNHOZ</t>
        </is>
      </c>
      <c r="L794" s="9" t="n">
        <v>46036</v>
      </c>
      <c r="M794" s="7" t="inlineStr"/>
      <c r="N794" s="7" t="inlineStr"/>
      <c r="O794" s="9" t="n">
        <v>46040</v>
      </c>
      <c r="P794" s="9" t="n">
        <v>46052</v>
      </c>
      <c r="Q794" s="9" t="n">
        <v>46052</v>
      </c>
      <c r="R794" s="7" t="inlineStr">
        <is>
          <t>Concluído Campo</t>
        </is>
      </c>
      <c r="S794" s="9" t="n">
        <v>46189</v>
      </c>
      <c r="T794" s="10" t="inlineStr"/>
      <c r="U794" s="7" t="inlineStr">
        <is>
          <t>5507490</t>
        </is>
      </c>
      <c r="V794" s="7" t="inlineStr">
        <is>
          <t>FINALIZADO</t>
        </is>
      </c>
      <c r="W794" s="7" t="inlineStr"/>
      <c r="X794" s="7" t="inlineStr">
        <is>
          <t>MEDIÇÃO CONCLUÍDA</t>
        </is>
      </c>
      <c r="Y794" s="11">
        <f>IF(AND(L794&lt;&gt;"", S794&lt;&gt;""), S794-L794, IF(L794&lt;&gt;"", TODAY()-L794, ""))</f>
        <v/>
      </c>
      <c r="Z794" s="7">
        <f>IF(Y794="", "", IF(Y794&lt;=3, "NO PRAZO", "ATRASADO"))</f>
        <v/>
      </c>
      <c r="AA794" s="8" t="inlineStr"/>
    </row>
    <row r="795" ht="20" customHeight="1">
      <c r="A795" s="7" t="inlineStr">
        <is>
          <t>RSCLER0790</t>
        </is>
      </c>
      <c r="B795" s="8" t="inlineStr">
        <is>
          <t>NOVO HAMBURGO</t>
        </is>
      </c>
      <c r="C795" s="7" t="inlineStr">
        <is>
          <t>IDLAA</t>
        </is>
      </c>
      <c r="D795" s="7" t="inlineStr"/>
      <c r="E795" s="7" t="inlineStr">
        <is>
          <t>RSNHO11</t>
        </is>
      </c>
      <c r="F795" s="8" t="inlineStr"/>
      <c r="G795" s="8" t="inlineStr">
        <is>
          <t>LINK RSNHO11</t>
        </is>
      </c>
      <c r="H795" s="7" t="inlineStr"/>
      <c r="I795" s="8" t="inlineStr">
        <is>
          <t>FOI LANÇADO 933 METROS DE CABO DE 12FO AUTOSUSTENTAVEL E 400 METROS DE CABO DE 12FO ESPINADO, 32 ABERTURA E FECHAMENTO, 64 FUSÕES, 1 DERIVAÇÃO.</t>
        </is>
      </c>
      <c r="J795" s="8" t="inlineStr">
        <is>
          <t>CLEVERSON</t>
        </is>
      </c>
      <c r="K795" s="8" t="inlineStr">
        <is>
          <t>CLEVERSON</t>
        </is>
      </c>
      <c r="L795" s="9" t="n">
        <v>46037</v>
      </c>
      <c r="M795" s="7" t="inlineStr"/>
      <c r="N795" s="7" t="inlineStr"/>
      <c r="O795" s="9" t="n">
        <v>46065</v>
      </c>
      <c r="P795" s="7" t="inlineStr">
        <is>
          <t>NÃO PRECISA</t>
        </is>
      </c>
      <c r="Q795" s="9" t="n">
        <v>46105</v>
      </c>
      <c r="R795" s="7" t="inlineStr">
        <is>
          <t>Concluído Campo</t>
        </is>
      </c>
      <c r="S795" s="7" t="inlineStr"/>
      <c r="T795" s="10" t="inlineStr"/>
      <c r="U795" s="7" t="inlineStr"/>
      <c r="V795" s="7" t="inlineStr"/>
      <c r="W795" s="7" t="inlineStr"/>
      <c r="X795" s="7" t="inlineStr">
        <is>
          <t>AG. MEDIÇÃO</t>
        </is>
      </c>
      <c r="Y795" s="11">
        <f>IF(AND(L795&lt;&gt;"", S795&lt;&gt;""), S795-L795, IF(L795&lt;&gt;"", TODAY()-L795, ""))</f>
        <v/>
      </c>
      <c r="Z795" s="7">
        <f>IF(Y795="", "", IF(Y795&lt;=3, "NO PRAZO", "ATRASADO"))</f>
        <v/>
      </c>
      <c r="AA795" s="8" t="inlineStr"/>
    </row>
    <row r="796" ht="20" customHeight="1">
      <c r="A796" s="7" t="inlineStr">
        <is>
          <t>RSCLER0791</t>
        </is>
      </c>
      <c r="B796" s="8" t="inlineStr">
        <is>
          <t>PORTO ALEGRE</t>
        </is>
      </c>
      <c r="C796" s="7" t="inlineStr">
        <is>
          <t>BFMAB</t>
        </is>
      </c>
      <c r="D796" s="7" t="inlineStr"/>
      <c r="E796" s="7" t="inlineStr">
        <is>
          <t>RSPCE13</t>
        </is>
      </c>
      <c r="F796" s="8" t="inlineStr"/>
      <c r="G796" s="8" t="inlineStr">
        <is>
          <t>MIGRAÇÃO RSPCE13</t>
        </is>
      </c>
      <c r="H796" s="7" t="inlineStr"/>
      <c r="I796" s="8" t="inlineStr">
        <is>
          <t>FOI LANÇADO 820 METROS DE CABO DE 144FO, 2661 METROS DE CABO DE 72FO, 1200 METROS DE 48FO, 500 METROS DE CABO DE 24FO, 106 METROS DE CABO DE 36FO. COBRAR 6 CX NOVA, 6 DERIVAÇÕES, 672 FUSÕES, 1 ABERTURA E FECHAMENTO, 1 DERIVAÇÃO, 18 FUSÕES.3 ABERTURA E FECHAMENTO, 150FUSÕES, 1 DERIVAÇÃO, 10 ABERTURA E FECHAMENTO, 70 FUSÕES, 6 DERIVAÇÕES.</t>
        </is>
      </c>
      <c r="J796" s="8" t="inlineStr">
        <is>
          <t>ALAN VASCONCELOS</t>
        </is>
      </c>
      <c r="K796" s="8" t="inlineStr">
        <is>
          <t>ANDERSON</t>
        </is>
      </c>
      <c r="L796" s="9" t="n">
        <v>46084</v>
      </c>
      <c r="M796" s="7" t="inlineStr"/>
      <c r="N796" s="7" t="inlineStr"/>
      <c r="O796" s="9" t="n">
        <v>46162</v>
      </c>
      <c r="P796" s="7" t="inlineStr">
        <is>
          <t>NÃO PRECISA</t>
        </is>
      </c>
      <c r="Q796" s="9" t="n">
        <v>46212</v>
      </c>
      <c r="R796" s="7" t="inlineStr">
        <is>
          <t>Concluído Campo</t>
        </is>
      </c>
      <c r="S796" s="7" t="inlineStr"/>
      <c r="T796" s="10" t="inlineStr"/>
      <c r="U796" s="7" t="inlineStr"/>
      <c r="V796" s="7" t="inlineStr"/>
      <c r="W796" s="7" t="inlineStr"/>
      <c r="X796" s="7" t="inlineStr">
        <is>
          <t>AG. MEDIÇÃO</t>
        </is>
      </c>
      <c r="Y796" s="11">
        <f>IF(AND(L796&lt;&gt;"", S796&lt;&gt;""), S796-L796, IF(L796&lt;&gt;"", TODAY()-L796, ""))</f>
        <v/>
      </c>
      <c r="Z796" s="7">
        <f>IF(Y796="", "", IF(Y796&lt;=3, "NO PRAZO", "ATRASADO"))</f>
        <v/>
      </c>
      <c r="AA796" s="8" t="inlineStr"/>
    </row>
    <row r="797" ht="20" customHeight="1">
      <c r="A797" s="7" t="inlineStr">
        <is>
          <t>RSCLER0792</t>
        </is>
      </c>
      <c r="B797" s="8" t="inlineStr">
        <is>
          <t>TORRES</t>
        </is>
      </c>
      <c r="C797" s="7" t="inlineStr">
        <is>
          <t>CLC</t>
        </is>
      </c>
      <c r="D797" s="7" t="inlineStr"/>
      <c r="E797" s="7" t="inlineStr">
        <is>
          <t>RSTES02</t>
        </is>
      </c>
      <c r="F797" s="8" t="inlineStr"/>
      <c r="G797" s="8" t="inlineStr">
        <is>
          <t>R N SRA DOS NAVEGANTES 85</t>
        </is>
      </c>
      <c r="H797" s="7" t="inlineStr">
        <is>
          <t>CLC024-M2</t>
        </is>
      </c>
      <c r="I797" s="8" t="inlineStr"/>
      <c r="J797" s="8" t="inlineStr"/>
      <c r="K797" s="8" t="inlineStr">
        <is>
          <t>MAQUENZE</t>
        </is>
      </c>
      <c r="L797" s="9" t="n">
        <v>46044</v>
      </c>
      <c r="M797" s="7" t="inlineStr"/>
      <c r="N797" s="7" t="inlineStr"/>
      <c r="O797" s="9" t="n">
        <v>46047</v>
      </c>
      <c r="P797" s="7" t="inlineStr">
        <is>
          <t>Não Precisa</t>
        </is>
      </c>
      <c r="Q797" s="7" t="inlineStr"/>
      <c r="R797" s="7" t="inlineStr">
        <is>
          <t>Concluído Campo</t>
        </is>
      </c>
      <c r="S797" s="7" t="inlineStr"/>
      <c r="T797" s="10" t="inlineStr"/>
      <c r="U797" s="7" t="inlineStr"/>
      <c r="V797" s="7" t="inlineStr"/>
      <c r="W797" s="7" t="inlineStr"/>
      <c r="X797" s="7" t="inlineStr">
        <is>
          <t>AG. RELATÓRIO</t>
        </is>
      </c>
      <c r="Y797" s="11">
        <f>IF(AND(L797&lt;&gt;"", S797&lt;&gt;""), S797-L797, IF(L797&lt;&gt;"", TODAY()-L797, ""))</f>
        <v/>
      </c>
      <c r="Z797" s="7">
        <f>IF(Y797="", "", IF(Y797&lt;=3, "NO PRAZO", "ATRASADO"))</f>
        <v/>
      </c>
      <c r="AA797" s="8" t="inlineStr"/>
    </row>
    <row r="798" ht="20" customHeight="1">
      <c r="A798" s="7" t="inlineStr">
        <is>
          <t>RSCLER0793</t>
        </is>
      </c>
      <c r="B798" s="8" t="inlineStr">
        <is>
          <t>TRAMANDAÍ</t>
        </is>
      </c>
      <c r="C798" s="7" t="inlineStr">
        <is>
          <t>TRA</t>
        </is>
      </c>
      <c r="D798" s="7" t="inlineStr"/>
      <c r="E798" s="7" t="inlineStr"/>
      <c r="F798" s="8" t="inlineStr"/>
      <c r="G798" s="8" t="inlineStr">
        <is>
          <t>R TUIUTI 413</t>
        </is>
      </c>
      <c r="H798" s="7" t="inlineStr">
        <is>
          <t>TRA045.M030</t>
        </is>
      </c>
      <c r="I798" s="8" t="inlineStr"/>
      <c r="J798" s="8" t="inlineStr"/>
      <c r="K798" s="8" t="inlineStr">
        <is>
          <t>FABIO AMARILIO</t>
        </is>
      </c>
      <c r="L798" s="9" t="n">
        <v>46044</v>
      </c>
      <c r="M798" s="7" t="inlineStr"/>
      <c r="N798" s="7" t="inlineStr"/>
      <c r="O798" s="9" t="n">
        <v>46048</v>
      </c>
      <c r="P798" s="7" t="inlineStr">
        <is>
          <t>Não Precisa</t>
        </is>
      </c>
      <c r="Q798" s="7" t="inlineStr"/>
      <c r="R798" s="7" t="inlineStr">
        <is>
          <t>Concluído Campo</t>
        </is>
      </c>
      <c r="S798" s="7" t="inlineStr"/>
      <c r="T798" s="10" t="inlineStr"/>
      <c r="U798" s="7" t="inlineStr"/>
      <c r="V798" s="7" t="inlineStr"/>
      <c r="W798" s="7" t="inlineStr"/>
      <c r="X798" s="7" t="inlineStr">
        <is>
          <t>AG. RELATÓRIO</t>
        </is>
      </c>
      <c r="Y798" s="11">
        <f>IF(AND(L798&lt;&gt;"", S798&lt;&gt;""), S798-L798, IF(L798&lt;&gt;"", TODAY()-L798, ""))</f>
        <v/>
      </c>
      <c r="Z798" s="7">
        <f>IF(Y798="", "", IF(Y798&lt;=3, "NO PRAZO", "ATRASADO"))</f>
        <v/>
      </c>
      <c r="AA798" s="8" t="inlineStr"/>
    </row>
    <row r="799" ht="20" customHeight="1">
      <c r="A799" s="7" t="inlineStr">
        <is>
          <t>RSCLER0794</t>
        </is>
      </c>
      <c r="B799" s="8" t="inlineStr">
        <is>
          <t>PORTO ALEGRE</t>
        </is>
      </c>
      <c r="C799" s="7" t="inlineStr">
        <is>
          <t>BFMAB</t>
        </is>
      </c>
      <c r="D799" s="7" t="inlineStr"/>
      <c r="E799" s="7" t="inlineStr">
        <is>
          <t>RSPCE13</t>
        </is>
      </c>
      <c r="F799" s="8" t="inlineStr"/>
      <c r="G799" s="8" t="inlineStr">
        <is>
          <t>LINK RSPCE13</t>
        </is>
      </c>
      <c r="H799" s="7" t="inlineStr"/>
      <c r="I799" s="8" t="inlineStr">
        <is>
          <t>21 ABERTURA E FECHAMENTO, 42 FUSÕES, 3 TESTES OTDR, 2 DGO NOVO, 50 MENTROS DE CABO.</t>
        </is>
      </c>
      <c r="J799" s="8" t="inlineStr"/>
      <c r="K799" s="8" t="inlineStr">
        <is>
          <t>CATIA / ANDERSON</t>
        </is>
      </c>
      <c r="L799" s="9" t="n">
        <v>46096</v>
      </c>
      <c r="M799" s="7" t="inlineStr"/>
      <c r="N799" s="7" t="inlineStr"/>
      <c r="O799" s="9" t="n">
        <v>46099</v>
      </c>
      <c r="P799" s="7" t="inlineStr">
        <is>
          <t>NÃO PRECISA</t>
        </is>
      </c>
      <c r="Q799" s="9" t="n">
        <v>46212</v>
      </c>
      <c r="R799" s="7" t="inlineStr">
        <is>
          <t>Concluído Campo</t>
        </is>
      </c>
      <c r="S799" s="9" t="n">
        <v>46053</v>
      </c>
      <c r="T799" s="10" t="inlineStr"/>
      <c r="U799" s="7" t="inlineStr">
        <is>
          <t>5367172</t>
        </is>
      </c>
      <c r="V799" s="7" t="inlineStr">
        <is>
          <t>FINALIZADO</t>
        </is>
      </c>
      <c r="W799" s="7" t="inlineStr"/>
      <c r="X799" s="7" t="inlineStr">
        <is>
          <t>MEDIÇÃO CONCLUÍDA</t>
        </is>
      </c>
      <c r="Y799" s="11">
        <f>IF(AND(L799&lt;&gt;"", S799&lt;&gt;""), S799-L799, IF(L799&lt;&gt;"", TODAY()-L799, ""))</f>
        <v/>
      </c>
      <c r="Z799" s="7">
        <f>IF(Y799="", "", IF(Y799&lt;=3, "NO PRAZO", "ATRASADO"))</f>
        <v/>
      </c>
      <c r="AA799" s="8" t="inlineStr"/>
    </row>
    <row r="800" ht="20" customHeight="1">
      <c r="A800" s="7" t="inlineStr">
        <is>
          <t>RSCLER0795</t>
        </is>
      </c>
      <c r="B800" s="8" t="inlineStr">
        <is>
          <t>TEUTONIA</t>
        </is>
      </c>
      <c r="C800" s="7" t="inlineStr">
        <is>
          <t>LGR</t>
        </is>
      </c>
      <c r="D800" s="7" t="inlineStr"/>
      <c r="E800" s="7" t="inlineStr"/>
      <c r="F800" s="8" t="inlineStr"/>
      <c r="G800" s="8" t="inlineStr">
        <is>
          <t>RUA TRÊS DE OUTUBRO, 1507</t>
        </is>
      </c>
      <c r="H800" s="7" t="inlineStr">
        <is>
          <t>LGR.010.M030</t>
        </is>
      </c>
      <c r="I800" s="8" t="inlineStr">
        <is>
          <t>FOI LANÇADO 600 METROS DE CABO DE 12FO AUTOSUSTENTAVEL,2 ABERTURA E FECHAMENTO, 6 FUSÕES, 1 CX NOVA, 1 DERIVAÇÕES, 2 TESTES</t>
        </is>
      </c>
      <c r="J800" s="8" t="inlineStr">
        <is>
          <t>CLEVERSON</t>
        </is>
      </c>
      <c r="K800" s="8" t="inlineStr">
        <is>
          <t>CLEVERSON</t>
        </is>
      </c>
      <c r="L800" s="9" t="n">
        <v>46063</v>
      </c>
      <c r="M800" s="7" t="inlineStr"/>
      <c r="N800" s="7" t="inlineStr"/>
      <c r="O800" s="9" t="n">
        <v>46077</v>
      </c>
      <c r="P800" s="9" t="n">
        <v>46099</v>
      </c>
      <c r="Q800" s="9" t="n">
        <v>46099</v>
      </c>
      <c r="R800" s="7" t="inlineStr">
        <is>
          <t>Concluído Campo</t>
        </is>
      </c>
      <c r="S800" s="9" t="n">
        <v>46058</v>
      </c>
      <c r="T800" s="10" t="inlineStr"/>
      <c r="U800" s="7" t="inlineStr">
        <is>
          <t>5367187</t>
        </is>
      </c>
      <c r="V800" s="7" t="inlineStr">
        <is>
          <t>FINALIZADO</t>
        </is>
      </c>
      <c r="W800" s="7" t="inlineStr"/>
      <c r="X800" s="7" t="inlineStr">
        <is>
          <t>MEDIÇÃO CONCLUÍDA</t>
        </is>
      </c>
      <c r="Y800" s="11">
        <f>IF(AND(L800&lt;&gt;"", S800&lt;&gt;""), S800-L800, IF(L800&lt;&gt;"", TODAY()-L800, ""))</f>
        <v/>
      </c>
      <c r="Z800" s="7">
        <f>IF(Y800="", "", IF(Y800&lt;=3, "NO PRAZO", "ATRASADO"))</f>
        <v/>
      </c>
      <c r="AA800" s="8" t="inlineStr"/>
    </row>
    <row r="801" ht="20" customHeight="1">
      <c r="A801" s="7" t="inlineStr">
        <is>
          <t>RSCLER0796</t>
        </is>
      </c>
      <c r="B801" s="8" t="inlineStr">
        <is>
          <t>PORTO ALEGRE</t>
        </is>
      </c>
      <c r="C801" s="7" t="inlineStr">
        <is>
          <t>RBTAA</t>
        </is>
      </c>
      <c r="D801" s="7" t="inlineStr">
        <is>
          <t>RBTAKA</t>
        </is>
      </c>
      <c r="E801" s="7" t="inlineStr">
        <is>
          <t>RSPNO8A</t>
        </is>
      </c>
      <c r="F801" s="8" t="inlineStr"/>
      <c r="G801" s="8" t="inlineStr">
        <is>
          <t>Rua Dona Alzira, 257</t>
        </is>
      </c>
      <c r="H801" s="7" t="inlineStr">
        <is>
          <t>RBTAA.031.M060</t>
        </is>
      </c>
      <c r="I801" s="8" t="inlineStr">
        <is>
          <t>FOI LANÇADO 291 METROS DE CABO DE 12FO, 4 ABERTURA E FECHAMENTO, 6 FUSÕES, 2 DERIVAÇÕES, 2 TESTES</t>
        </is>
      </c>
      <c r="J801" s="8" t="inlineStr">
        <is>
          <t>CLEVERSON</t>
        </is>
      </c>
      <c r="K801" s="8" t="inlineStr">
        <is>
          <t>CLEVERSON</t>
        </is>
      </c>
      <c r="L801" s="9" t="n">
        <v>46052</v>
      </c>
      <c r="M801" s="7" t="inlineStr"/>
      <c r="N801" s="7" t="inlineStr"/>
      <c r="O801" s="9" t="n">
        <v>46053</v>
      </c>
      <c r="P801" s="9" t="n">
        <v>46058</v>
      </c>
      <c r="Q801" s="9" t="n">
        <v>46058</v>
      </c>
      <c r="R801" s="7" t="inlineStr">
        <is>
          <t>Concluído Campo</t>
        </is>
      </c>
      <c r="S801" s="9" t="n">
        <v>46073</v>
      </c>
      <c r="T801" s="10" t="inlineStr"/>
      <c r="U801" s="7" t="inlineStr"/>
      <c r="V801" s="7" t="inlineStr"/>
      <c r="W801" s="7" t="inlineStr"/>
      <c r="X801" s="7" t="inlineStr">
        <is>
          <t>MEDIÇÃO CONCLUÍDA</t>
        </is>
      </c>
      <c r="Y801" s="11">
        <f>IF(AND(L801&lt;&gt;"", S801&lt;&gt;""), S801-L801, IF(L801&lt;&gt;"", TODAY()-L801, ""))</f>
        <v/>
      </c>
      <c r="Z801" s="7">
        <f>IF(Y801="", "", IF(Y801&lt;=3, "NO PRAZO", "ATRASADO"))</f>
        <v/>
      </c>
      <c r="AA801" s="8" t="inlineStr"/>
    </row>
    <row r="802" ht="20" customHeight="1">
      <c r="A802" s="7" t="inlineStr">
        <is>
          <t>RSCLER0797</t>
        </is>
      </c>
      <c r="B802" s="8" t="inlineStr">
        <is>
          <t>IVOTI</t>
        </is>
      </c>
      <c r="C802" s="7" t="inlineStr">
        <is>
          <t>VGR</t>
        </is>
      </c>
      <c r="D802" s="7" t="inlineStr"/>
      <c r="E802" s="7" t="inlineStr"/>
      <c r="F802" s="8" t="inlineStr"/>
      <c r="G802" s="8" t="inlineStr">
        <is>
          <t>RUA MATO GROSSO,77</t>
        </is>
      </c>
      <c r="H802" s="7" t="inlineStr">
        <is>
          <t>VGR.015.M030</t>
        </is>
      </c>
      <c r="I802" s="8" t="inlineStr">
        <is>
          <t>FOI LANÇADO 242 METROS DE CABO DE 12FO, 3 ABERTURA E FECHAMENTO, 12 FUSÕES, 5 TESTES DE OTDR.</t>
        </is>
      </c>
      <c r="J802" s="8" t="inlineStr">
        <is>
          <t>CLEVERSON</t>
        </is>
      </c>
      <c r="K802" s="8" t="inlineStr">
        <is>
          <t>JEFERSON</t>
        </is>
      </c>
      <c r="L802" s="9" t="n">
        <v>46028</v>
      </c>
      <c r="M802" s="7" t="inlineStr"/>
      <c r="N802" s="7" t="inlineStr"/>
      <c r="O802" s="9" t="n">
        <v>46030</v>
      </c>
      <c r="P802" s="9" t="n">
        <v>46058</v>
      </c>
      <c r="Q802" s="9" t="n">
        <v>46058</v>
      </c>
      <c r="R802" s="7" t="inlineStr">
        <is>
          <t>Concluído Campo</t>
        </is>
      </c>
      <c r="S802" s="9" t="n">
        <v>46059</v>
      </c>
      <c r="T802" s="10" t="inlineStr"/>
      <c r="U802" s="7" t="inlineStr">
        <is>
          <t>5507518</t>
        </is>
      </c>
      <c r="V802" s="7" t="inlineStr">
        <is>
          <t>FINALIZADO</t>
        </is>
      </c>
      <c r="W802" s="7" t="inlineStr"/>
      <c r="X802" s="7" t="inlineStr">
        <is>
          <t>MEDIÇÃO CONCLUÍDA</t>
        </is>
      </c>
      <c r="Y802" s="11">
        <f>IF(AND(L802&lt;&gt;"", S802&lt;&gt;""), S802-L802, IF(L802&lt;&gt;"", TODAY()-L802, ""))</f>
        <v/>
      </c>
      <c r="Z802" s="7">
        <f>IF(Y802="", "", IF(Y802&lt;=3, "NO PRAZO", "ATRASADO"))</f>
        <v/>
      </c>
      <c r="AA802" s="8" t="inlineStr"/>
    </row>
    <row r="803" ht="20" customHeight="1">
      <c r="A803" s="7" t="inlineStr">
        <is>
          <t>RSCLER0798</t>
        </is>
      </c>
      <c r="B803" s="8" t="inlineStr">
        <is>
          <t>TRAMANDAI</t>
        </is>
      </c>
      <c r="C803" s="7" t="inlineStr">
        <is>
          <t>NOV</t>
        </is>
      </c>
      <c r="D803" s="7" t="inlineStr"/>
      <c r="E803" s="7" t="inlineStr"/>
      <c r="F803" s="8" t="inlineStr"/>
      <c r="G803" s="8" t="inlineStr">
        <is>
          <t>RUA SÃO GABRIEL 363</t>
        </is>
      </c>
      <c r="H803" s="7" t="inlineStr">
        <is>
          <t>NOV.029.02.06</t>
        </is>
      </c>
      <c r="I803" s="8" t="inlineStr">
        <is>
          <t>FOI LANÇADO 1707 METROS DE CABO DE 12FO AUTOSUSTENTAVEL, 3 ABERTURA E FECHAMENTO, 1 CX NOVA, 1 NAP NOVA, 1 DERIVAÇÕES, 16 FUSÕES E 1 TESTE.</t>
        </is>
      </c>
      <c r="J803" s="8" t="inlineStr">
        <is>
          <t>ALAN GALVÃO</t>
        </is>
      </c>
      <c r="K803" s="8" t="inlineStr">
        <is>
          <t>FABIO AMARILHO</t>
        </is>
      </c>
      <c r="L803" s="9" t="n">
        <v>46028</v>
      </c>
      <c r="M803" s="7" t="inlineStr"/>
      <c r="N803" s="7" t="inlineStr"/>
      <c r="O803" s="9" t="n">
        <v>46029</v>
      </c>
      <c r="P803" s="9" t="n">
        <v>46058</v>
      </c>
      <c r="Q803" s="9" t="n">
        <v>46058</v>
      </c>
      <c r="R803" s="7" t="inlineStr">
        <is>
          <t>Concluído Campo</t>
        </is>
      </c>
      <c r="S803" s="9" t="n">
        <v>46088</v>
      </c>
      <c r="T803" s="10" t="inlineStr"/>
      <c r="U803" s="7" t="inlineStr">
        <is>
          <t>5420531</t>
        </is>
      </c>
      <c r="V803" s="7" t="inlineStr">
        <is>
          <t>FINALIZADO</t>
        </is>
      </c>
      <c r="W803" s="7" t="inlineStr"/>
      <c r="X803" s="7" t="inlineStr">
        <is>
          <t>MEDIÇÃO CONCLUÍDA</t>
        </is>
      </c>
      <c r="Y803" s="11">
        <f>IF(AND(L803&lt;&gt;"", S803&lt;&gt;""), S803-L803, IF(L803&lt;&gt;"", TODAY()-L803, ""))</f>
        <v/>
      </c>
      <c r="Z803" s="7">
        <f>IF(Y803="", "", IF(Y803&lt;=3, "NO PRAZO", "ATRASADO"))</f>
        <v/>
      </c>
      <c r="AA803" s="8" t="inlineStr"/>
    </row>
    <row r="804" ht="20" customHeight="1">
      <c r="A804" s="7" t="inlineStr">
        <is>
          <t>RSCLER0799</t>
        </is>
      </c>
      <c r="B804" s="8" t="inlineStr">
        <is>
          <t>PORTO ALEGRE</t>
        </is>
      </c>
      <c r="C804" s="7" t="inlineStr">
        <is>
          <t>MNDAC</t>
        </is>
      </c>
      <c r="D804" s="7" t="inlineStr">
        <is>
          <t>MNDAL</t>
        </is>
      </c>
      <c r="E804" s="7" t="inlineStr">
        <is>
          <t>PAE CL</t>
        </is>
      </c>
      <c r="F804" s="8" t="inlineStr"/>
      <c r="G804" s="8" t="inlineStr">
        <is>
          <t>AV GETULIO VARGAS 1485</t>
        </is>
      </c>
      <c r="H804" s="7" t="inlineStr">
        <is>
          <t>MNDAC.043.M050</t>
        </is>
      </c>
      <c r="I804" s="8" t="inlineStr">
        <is>
          <t>2 ABERTURA E FECHAMENTO, 1 FUSÕES, 1 TESTES.</t>
        </is>
      </c>
      <c r="J804" s="8" t="inlineStr"/>
      <c r="K804" s="8" t="inlineStr">
        <is>
          <t>CATIA</t>
        </is>
      </c>
      <c r="L804" s="9" t="n">
        <v>46057</v>
      </c>
      <c r="M804" s="7" t="inlineStr"/>
      <c r="N804" s="7" t="inlineStr"/>
      <c r="O804" s="9" t="n">
        <v>46058</v>
      </c>
      <c r="P804" s="9" t="n">
        <v>46058</v>
      </c>
      <c r="Q804" s="9" t="n">
        <v>46058</v>
      </c>
      <c r="R804" s="7" t="inlineStr">
        <is>
          <t>Concluído Campo</t>
        </is>
      </c>
      <c r="S804" s="7" t="inlineStr"/>
      <c r="T804" s="10" t="inlineStr"/>
      <c r="U804" s="7" t="inlineStr"/>
      <c r="V804" s="7" t="inlineStr"/>
      <c r="W804" s="7" t="inlineStr"/>
      <c r="X804" s="7" t="inlineStr">
        <is>
          <t>AG. MEDIÇÃO</t>
        </is>
      </c>
      <c r="Y804" s="11">
        <f>IF(AND(L804&lt;&gt;"", S804&lt;&gt;""), S804-L804, IF(L804&lt;&gt;"", TODAY()-L804, ""))</f>
        <v/>
      </c>
      <c r="Z804" s="7">
        <f>IF(Y804="", "", IF(Y804&lt;=3, "NO PRAZO", "ATRASADO"))</f>
        <v/>
      </c>
      <c r="AA804" s="8" t="inlineStr"/>
    </row>
    <row r="805" ht="20" customHeight="1">
      <c r="A805" s="7" t="inlineStr">
        <is>
          <t>RSCLER0800</t>
        </is>
      </c>
      <c r="B805" s="8" t="inlineStr">
        <is>
          <t>CACHOEIRA DO SUL</t>
        </is>
      </c>
      <c r="C805" s="7" t="inlineStr">
        <is>
          <t>CNT</t>
        </is>
      </c>
      <c r="D805" s="7" t="inlineStr"/>
      <c r="E805" s="7" t="inlineStr">
        <is>
          <t>TUN EB</t>
        </is>
      </c>
      <c r="F805" s="8" t="inlineStr"/>
      <c r="G805" s="8" t="inlineStr">
        <is>
          <t>RUA JUVENCIO SOARES 990</t>
        </is>
      </c>
      <c r="H805" s="7" t="inlineStr">
        <is>
          <t>CNT.041.M040</t>
        </is>
      </c>
      <c r="I805" s="8" t="inlineStr"/>
      <c r="J805" s="8" t="inlineStr"/>
      <c r="K805" s="8" t="inlineStr"/>
      <c r="L805" s="9" t="n">
        <v>46073</v>
      </c>
      <c r="M805" s="7" t="inlineStr"/>
      <c r="N805" s="7" t="inlineStr"/>
      <c r="O805" s="7" t="inlineStr">
        <is>
          <t>CANCELADO</t>
        </is>
      </c>
      <c r="P805" s="7" t="inlineStr">
        <is>
          <t>Não Precisa</t>
        </is>
      </c>
      <c r="Q805" s="7" t="inlineStr"/>
      <c r="R805" s="7" t="inlineStr">
        <is>
          <t>Cancelado</t>
        </is>
      </c>
      <c r="S805" s="9" t="n">
        <v>46100</v>
      </c>
      <c r="T805" s="10" t="inlineStr"/>
      <c r="U805" s="7" t="inlineStr">
        <is>
          <t>5420571</t>
        </is>
      </c>
      <c r="V805" s="7" t="inlineStr">
        <is>
          <t>FINALIZADO</t>
        </is>
      </c>
      <c r="W805" s="7" t="inlineStr"/>
      <c r="X805" s="7" t="inlineStr">
        <is>
          <t>MEDIÇÃO CONCLUÍDA</t>
        </is>
      </c>
      <c r="Y805" s="11">
        <f>IF(AND(L805&lt;&gt;"", S805&lt;&gt;""), S805-L805, IF(L805&lt;&gt;"", TODAY()-L805, ""))</f>
        <v/>
      </c>
      <c r="Z805" s="7">
        <f>IF(Y805="", "", IF(Y805&lt;=3, "NO PRAZO", "ATRASADO"))</f>
        <v/>
      </c>
      <c r="AA805" s="8" t="inlineStr"/>
    </row>
    <row r="806" ht="20" customHeight="1">
      <c r="A806" s="7" t="inlineStr">
        <is>
          <t>RSCLER0801</t>
        </is>
      </c>
      <c r="B806" s="8" t="inlineStr">
        <is>
          <t>TRAMANDAÍ</t>
        </is>
      </c>
      <c r="C806" s="7" t="inlineStr">
        <is>
          <t>NOV</t>
        </is>
      </c>
      <c r="D806" s="7" t="inlineStr"/>
      <c r="E806" s="7" t="inlineStr">
        <is>
          <t>RSTRI03</t>
        </is>
      </c>
      <c r="F806" s="8" t="inlineStr"/>
      <c r="G806" s="8" t="inlineStr">
        <is>
          <t>INTERPRAIAS 505</t>
        </is>
      </c>
      <c r="H806" s="7" t="inlineStr">
        <is>
          <t>NOV029.04.08</t>
        </is>
      </c>
      <c r="I806" s="8" t="inlineStr">
        <is>
          <t>FOI LANÇADO 892 METROS DE CABO DE 12FO, 1 ABERTURA E FECHAMENTO, 1 NAP NOVA, 1 DERIVAÇÃO,2 FUSÕES, 1 TESTE</t>
        </is>
      </c>
      <c r="J806" s="8" t="inlineStr"/>
      <c r="K806" s="8" t="inlineStr"/>
      <c r="L806" s="9" t="n">
        <v>46072</v>
      </c>
      <c r="M806" s="7" t="inlineStr"/>
      <c r="N806" s="7" t="inlineStr"/>
      <c r="O806" s="9" t="n">
        <v>46073</v>
      </c>
      <c r="P806" s="9" t="n">
        <v>46066</v>
      </c>
      <c r="Q806" s="9" t="n">
        <v>46094</v>
      </c>
      <c r="R806" s="7" t="inlineStr">
        <is>
          <t>Concluído Campo</t>
        </is>
      </c>
      <c r="S806" s="9" t="n">
        <v>46100</v>
      </c>
      <c r="T806" s="10" t="inlineStr"/>
      <c r="U806" s="7" t="inlineStr">
        <is>
          <t>5428425</t>
        </is>
      </c>
      <c r="V806" s="7" t="inlineStr">
        <is>
          <t>FINALIZADO</t>
        </is>
      </c>
      <c r="W806" s="7" t="inlineStr"/>
      <c r="X806" s="7" t="inlineStr">
        <is>
          <t>MEDIÇÃO CONCLUÍDA</t>
        </is>
      </c>
      <c r="Y806" s="11">
        <f>IF(AND(L806&lt;&gt;"", S806&lt;&gt;""), S806-L806, IF(L806&lt;&gt;"", TODAY()-L806, ""))</f>
        <v/>
      </c>
      <c r="Z806" s="7">
        <f>IF(Y806="", "", IF(Y806&lt;=3, "NO PRAZO", "ATRASADO"))</f>
        <v/>
      </c>
      <c r="AA806" s="8" t="inlineStr"/>
    </row>
    <row r="807" ht="20" customHeight="1">
      <c r="A807" s="7" t="inlineStr">
        <is>
          <t>RSCLER0802</t>
        </is>
      </c>
      <c r="B807" s="8" t="inlineStr">
        <is>
          <t>PORTO ALEGRE</t>
        </is>
      </c>
      <c r="C807" s="7" t="inlineStr">
        <is>
          <t>NNIAA</t>
        </is>
      </c>
      <c r="D807" s="7" t="inlineStr">
        <is>
          <t>NNIAH</t>
        </is>
      </c>
      <c r="E807" s="7" t="inlineStr">
        <is>
          <t>RSPSU08</t>
        </is>
      </c>
      <c r="F807" s="8" t="inlineStr">
        <is>
          <t>Cond. Cidade Jaridim</t>
        </is>
      </c>
      <c r="G807" s="8" t="inlineStr">
        <is>
          <t>Av Nonoai 1458</t>
        </is>
      </c>
      <c r="H807" s="7" t="inlineStr">
        <is>
          <t>NNIAA.041.M010</t>
        </is>
      </c>
      <c r="I807" s="8" t="inlineStr">
        <is>
          <t>FOI LANÇADO 451 METROS DE CABO DE 12FO, 2 ABERTURA E FECHAMENTO, 18 FUSÕES, 2 DERIVAÇÕES, 9 TESTES.</t>
        </is>
      </c>
      <c r="J807" s="8" t="inlineStr">
        <is>
          <t>CLEVERSON</t>
        </is>
      </c>
      <c r="K807" s="8" t="inlineStr">
        <is>
          <t>CLEVERSON/CATIA</t>
        </is>
      </c>
      <c r="L807" s="9" t="n">
        <v>46058</v>
      </c>
      <c r="M807" s="7" t="inlineStr"/>
      <c r="N807" s="7" t="inlineStr"/>
      <c r="O807" s="9" t="n">
        <v>46059</v>
      </c>
      <c r="P807" s="9" t="n">
        <v>46059</v>
      </c>
      <c r="Q807" s="9" t="n">
        <v>46059</v>
      </c>
      <c r="R807" s="7" t="inlineStr">
        <is>
          <t>Concluído Campo</t>
        </is>
      </c>
      <c r="S807" s="9" t="n">
        <v>46091</v>
      </c>
      <c r="T807" s="10" t="inlineStr"/>
      <c r="U807" s="7" t="inlineStr">
        <is>
          <t>5424300</t>
        </is>
      </c>
      <c r="V807" s="7" t="inlineStr">
        <is>
          <t>FINALIZADO</t>
        </is>
      </c>
      <c r="W807" s="7" t="inlineStr"/>
      <c r="X807" s="7" t="inlineStr">
        <is>
          <t>MEDIÇÃO CONCLUÍDA</t>
        </is>
      </c>
      <c r="Y807" s="11">
        <f>IF(AND(L807&lt;&gt;"", S807&lt;&gt;""), S807-L807, IF(L807&lt;&gt;"", TODAY()-L807, ""))</f>
        <v/>
      </c>
      <c r="Z807" s="7">
        <f>IF(Y807="", "", IF(Y807&lt;=3, "NO PRAZO", "ATRASADO"))</f>
        <v/>
      </c>
      <c r="AA807" s="8" t="inlineStr"/>
    </row>
    <row r="808" ht="20" customHeight="1">
      <c r="A808" s="7" t="inlineStr">
        <is>
          <t>RSCLER0803</t>
        </is>
      </c>
      <c r="B808" s="8" t="inlineStr">
        <is>
          <t>MONTENEGRO</t>
        </is>
      </c>
      <c r="C808" s="7" t="inlineStr">
        <is>
          <t>PGO</t>
        </is>
      </c>
      <c r="D808" s="7" t="inlineStr"/>
      <c r="E808" s="7" t="inlineStr">
        <is>
          <t>MGO CEN</t>
        </is>
      </c>
      <c r="F808" s="8" t="inlineStr"/>
      <c r="G808" s="8" t="inlineStr">
        <is>
          <t>Rua Coronel Nicolau Kroef, 455</t>
        </is>
      </c>
      <c r="H808" s="7" t="inlineStr">
        <is>
          <t>PGO016-M1</t>
        </is>
      </c>
      <c r="I808" s="8" t="inlineStr">
        <is>
          <t>FOI LANÇADO 473 METROS DE CABO DE 12FO, 5 ABERTURA E FECHAMENTO, 11 FUSÕES, 1 CX NOVA, 1 DERIVAÇÃO, 3 TESTES.3 TESTES DE OTDR</t>
        </is>
      </c>
      <c r="J808" s="8" t="inlineStr">
        <is>
          <t>CLEVERSON</t>
        </is>
      </c>
      <c r="K808" s="8" t="inlineStr">
        <is>
          <t>CLEVERSON</t>
        </is>
      </c>
      <c r="L808" s="9" t="n">
        <v>46084</v>
      </c>
      <c r="M808" s="9" t="n">
        <v>46085</v>
      </c>
      <c r="N808" s="7" t="inlineStr"/>
      <c r="O808" s="9" t="n">
        <v>46094</v>
      </c>
      <c r="P808" s="9" t="n">
        <v>46093</v>
      </c>
      <c r="Q808" s="9" t="n">
        <v>46093</v>
      </c>
      <c r="R808" s="7" t="inlineStr">
        <is>
          <t>Concluído Campo</t>
        </is>
      </c>
      <c r="S808" s="9" t="n">
        <v>46126</v>
      </c>
      <c r="T808" s="10" t="inlineStr"/>
      <c r="U808" s="7" t="inlineStr">
        <is>
          <t>5424278</t>
        </is>
      </c>
      <c r="V808" s="7" t="inlineStr">
        <is>
          <t>FINALIZADO</t>
        </is>
      </c>
      <c r="W808" s="7" t="inlineStr"/>
      <c r="X808" s="7" t="inlineStr">
        <is>
          <t>MEDIÇÃO CONCLUÍDA</t>
        </is>
      </c>
      <c r="Y808" s="11">
        <f>IF(AND(L808&lt;&gt;"", S808&lt;&gt;""), S808-L808, IF(L808&lt;&gt;"", TODAY()-L808, ""))</f>
        <v/>
      </c>
      <c r="Z808" s="7">
        <f>IF(Y808="", "", IF(Y808&lt;=3, "NO PRAZO", "ATRASADO"))</f>
        <v/>
      </c>
      <c r="AA808" s="8" t="inlineStr"/>
    </row>
    <row r="809" ht="20" customHeight="1">
      <c r="A809" s="7" t="inlineStr">
        <is>
          <t>RSCLER0804</t>
        </is>
      </c>
      <c r="B809" s="8" t="inlineStr">
        <is>
          <t>PORTO ALEGRE</t>
        </is>
      </c>
      <c r="C809" s="7" t="inlineStr">
        <is>
          <t>SSOAA</t>
        </is>
      </c>
      <c r="D809" s="7" t="inlineStr">
        <is>
          <t>SSOAH</t>
        </is>
      </c>
      <c r="E809" s="7" t="inlineStr">
        <is>
          <t>RSPNO07</t>
        </is>
      </c>
      <c r="F809" s="8" t="inlineStr">
        <is>
          <t>Cond. Edificio Panamericana</t>
        </is>
      </c>
      <c r="G809" s="8" t="inlineStr">
        <is>
          <t>Av. Panamericana, 375</t>
        </is>
      </c>
      <c r="H809" s="7" t="inlineStr">
        <is>
          <t>SSOAA.161.M020</t>
        </is>
      </c>
      <c r="I809" s="8" t="inlineStr">
        <is>
          <t>2 ABERTURA E FECHAMENTO, 1 FUSÃO, 1 TESTE.</t>
        </is>
      </c>
      <c r="J809" s="8" t="inlineStr"/>
      <c r="K809" s="8" t="inlineStr">
        <is>
          <t>CATIA</t>
        </is>
      </c>
      <c r="L809" s="9" t="n">
        <v>46058</v>
      </c>
      <c r="M809" s="7" t="inlineStr"/>
      <c r="N809" s="7" t="inlineStr"/>
      <c r="O809" s="9" t="n">
        <v>46059</v>
      </c>
      <c r="P809" s="9" t="n">
        <v>46059</v>
      </c>
      <c r="Q809" s="9" t="n">
        <v>46059</v>
      </c>
      <c r="R809" s="7" t="inlineStr">
        <is>
          <t>Concluído Campo</t>
        </is>
      </c>
      <c r="S809" s="9" t="n">
        <v>46112</v>
      </c>
      <c r="T809" s="10" t="inlineStr"/>
      <c r="U809" s="7" t="inlineStr">
        <is>
          <t>5420626</t>
        </is>
      </c>
      <c r="V809" s="7" t="inlineStr">
        <is>
          <t>FINALIZADO</t>
        </is>
      </c>
      <c r="W809" s="7" t="inlineStr"/>
      <c r="X809" s="7" t="inlineStr">
        <is>
          <t>MEDIÇÃO CONCLUÍDA</t>
        </is>
      </c>
      <c r="Y809" s="11">
        <f>IF(AND(L809&lt;&gt;"", S809&lt;&gt;""), S809-L809, IF(L809&lt;&gt;"", TODAY()-L809, ""))</f>
        <v/>
      </c>
      <c r="Z809" s="7">
        <f>IF(Y809="", "", IF(Y809&lt;=3, "NO PRAZO", "ATRASADO"))</f>
        <v/>
      </c>
      <c r="AA809" s="8" t="inlineStr"/>
    </row>
    <row r="810" ht="20" customHeight="1">
      <c r="A810" s="7" t="inlineStr">
        <is>
          <t>RSCLER0805</t>
        </is>
      </c>
      <c r="B810" s="8" t="inlineStr">
        <is>
          <t>PORTO ALEGRE</t>
        </is>
      </c>
      <c r="C810" s="7" t="inlineStr">
        <is>
          <t>BFMAA</t>
        </is>
      </c>
      <c r="D810" s="7" t="inlineStr"/>
      <c r="E810" s="7" t="inlineStr">
        <is>
          <t>PAE IND</t>
        </is>
      </c>
      <c r="F810" s="8" t="inlineStr"/>
      <c r="G810" s="8" t="inlineStr">
        <is>
          <t>AV CAUDURO, 175</t>
        </is>
      </c>
      <c r="H810" s="7" t="inlineStr">
        <is>
          <t>BFMAA.081</t>
        </is>
      </c>
      <c r="I810" s="8" t="inlineStr">
        <is>
          <t>FOI LANÇADO 556 METROS DE 48FO DE CABO DDS.</t>
        </is>
      </c>
      <c r="J810" s="8" t="inlineStr">
        <is>
          <t>UBIRAJARA</t>
        </is>
      </c>
      <c r="K810" s="8" t="inlineStr"/>
      <c r="L810" s="9" t="n">
        <v>46086</v>
      </c>
      <c r="M810" s="7" t="inlineStr"/>
      <c r="N810" s="7" t="inlineStr"/>
      <c r="O810" s="9" t="n">
        <v>46088</v>
      </c>
      <c r="P810" s="9" t="n">
        <v>46093</v>
      </c>
      <c r="Q810" s="9" t="n">
        <v>46093</v>
      </c>
      <c r="R810" s="7" t="inlineStr">
        <is>
          <t>Concluído Campo</t>
        </is>
      </c>
      <c r="S810" s="9" t="n">
        <v>46112</v>
      </c>
      <c r="T810" s="10" t="inlineStr"/>
      <c r="U810" s="7" t="inlineStr">
        <is>
          <t>5420601</t>
        </is>
      </c>
      <c r="V810" s="7" t="inlineStr">
        <is>
          <t>FINALIZADO</t>
        </is>
      </c>
      <c r="W810" s="7" t="inlineStr"/>
      <c r="X810" s="7" t="inlineStr">
        <is>
          <t>MEDIÇÃO CONCLUÍDA</t>
        </is>
      </c>
      <c r="Y810" s="11">
        <f>IF(AND(L810&lt;&gt;"", S810&lt;&gt;""), S810-L810, IF(L810&lt;&gt;"", TODAY()-L810, ""))</f>
        <v/>
      </c>
      <c r="Z810" s="7">
        <f>IF(Y810="", "", IF(Y810&lt;=3, "NO PRAZO", "ATRASADO"))</f>
        <v/>
      </c>
      <c r="AA810" s="8" t="inlineStr"/>
    </row>
    <row r="811" ht="20" customHeight="1">
      <c r="A811" s="7" t="inlineStr">
        <is>
          <t>RSCLER0806</t>
        </is>
      </c>
      <c r="B811" s="8" t="inlineStr">
        <is>
          <t>PORTO ALEGRE</t>
        </is>
      </c>
      <c r="C811" s="7" t="inlineStr">
        <is>
          <t>MNDAC</t>
        </is>
      </c>
      <c r="D811" s="7" t="inlineStr"/>
      <c r="E811" s="7" t="inlineStr"/>
      <c r="F811" s="8" t="inlineStr"/>
      <c r="G811" s="8" t="inlineStr">
        <is>
          <t>AV GETULIO VARGAS 1499</t>
        </is>
      </c>
      <c r="H811" s="7" t="inlineStr">
        <is>
          <t>MNDAC.043.M050</t>
        </is>
      </c>
      <c r="I811" s="8" t="inlineStr">
        <is>
          <t>2 ABERTURA E FECHAMENTO, 1 FUSÃO, 1 TESTE.</t>
        </is>
      </c>
      <c r="J811" s="8" t="inlineStr"/>
      <c r="K811" s="8" t="inlineStr">
        <is>
          <t>CATIA</t>
        </is>
      </c>
      <c r="L811" s="9" t="n">
        <v>46058</v>
      </c>
      <c r="M811" s="7" t="inlineStr"/>
      <c r="N811" s="7" t="inlineStr"/>
      <c r="O811" s="9" t="n">
        <v>46058</v>
      </c>
      <c r="P811" s="9" t="n">
        <v>46063</v>
      </c>
      <c r="Q811" s="9" t="n">
        <v>46063</v>
      </c>
      <c r="R811" s="7" t="inlineStr">
        <is>
          <t>Concluído Campo</t>
        </is>
      </c>
      <c r="S811" s="9" t="n">
        <v>46112</v>
      </c>
      <c r="T811" s="10" t="inlineStr"/>
      <c r="U811" s="7" t="inlineStr">
        <is>
          <t>5420587</t>
        </is>
      </c>
      <c r="V811" s="7" t="inlineStr">
        <is>
          <t>FINALIZADO</t>
        </is>
      </c>
      <c r="W811" s="7" t="inlineStr"/>
      <c r="X811" s="7" t="inlineStr">
        <is>
          <t>MEDIÇÃO CONCLUÍDA</t>
        </is>
      </c>
      <c r="Y811" s="11">
        <f>IF(AND(L811&lt;&gt;"", S811&lt;&gt;""), S811-L811, IF(L811&lt;&gt;"", TODAY()-L811, ""))</f>
        <v/>
      </c>
      <c r="Z811" s="7">
        <f>IF(Y811="", "", IF(Y811&lt;=3, "NO PRAZO", "ATRASADO"))</f>
        <v/>
      </c>
      <c r="AA811" s="8" t="inlineStr"/>
    </row>
    <row r="812" ht="20" customHeight="1">
      <c r="A812" s="7" t="inlineStr">
        <is>
          <t>RSCLER0807</t>
        </is>
      </c>
      <c r="B812" s="8" t="inlineStr">
        <is>
          <t>NOVO HAMBURGO</t>
        </is>
      </c>
      <c r="C812" s="7" t="inlineStr">
        <is>
          <t>PRIAA</t>
        </is>
      </c>
      <c r="D812" s="7" t="inlineStr">
        <is>
          <t>PRIAB</t>
        </is>
      </c>
      <c r="E812" s="7" t="inlineStr">
        <is>
          <t>RSNHO06</t>
        </is>
      </c>
      <c r="F812" s="8" t="inlineStr"/>
      <c r="G812" s="8" t="inlineStr">
        <is>
          <t>RUA ESTRELA 295</t>
        </is>
      </c>
      <c r="H812" s="7" t="inlineStr">
        <is>
          <t>PRIAA.091.01.08</t>
        </is>
      </c>
      <c r="I812" s="8" t="inlineStr">
        <is>
          <t>FOI LANÇADO 947 METROS DE CABO DE 12FO, 38 METROS DE CORDOALHA, 1 ABERTURA E FECHAMENTO, 1 DERIVAÇÃO, 1 NAP NOVA, 2 FUSÕES, 3 TESTES.</t>
        </is>
      </c>
      <c r="J812" s="8" t="inlineStr">
        <is>
          <t>AUGUSTO</t>
        </is>
      </c>
      <c r="K812" s="8" t="inlineStr">
        <is>
          <t>AUGUSTO</t>
        </is>
      </c>
      <c r="L812" s="9" t="n">
        <v>46097</v>
      </c>
      <c r="M812" s="9" t="n">
        <v>46098</v>
      </c>
      <c r="N812" s="7" t="inlineStr"/>
      <c r="O812" s="9" t="n">
        <v>46099</v>
      </c>
      <c r="P812" s="9" t="n">
        <v>46099</v>
      </c>
      <c r="Q812" s="9" t="n">
        <v>46099</v>
      </c>
      <c r="R812" s="7" t="inlineStr">
        <is>
          <t>Concluído Campo</t>
        </is>
      </c>
      <c r="S812" s="9" t="n">
        <v>46112</v>
      </c>
      <c r="T812" s="10" t="inlineStr"/>
      <c r="U812" s="7" t="inlineStr">
        <is>
          <t>5428376</t>
        </is>
      </c>
      <c r="V812" s="7" t="inlineStr">
        <is>
          <t>FINALIZADO</t>
        </is>
      </c>
      <c r="W812" s="7" t="inlineStr"/>
      <c r="X812" s="7" t="inlineStr">
        <is>
          <t>MEDIÇÃO CONCLUÍDA</t>
        </is>
      </c>
      <c r="Y812" s="11">
        <f>IF(AND(L812&lt;&gt;"", S812&lt;&gt;""), S812-L812, IF(L812&lt;&gt;"", TODAY()-L812, ""))</f>
        <v/>
      </c>
      <c r="Z812" s="7">
        <f>IF(Y812="", "", IF(Y812&lt;=3, "NO PRAZO", "ATRASADO"))</f>
        <v/>
      </c>
      <c r="AA812" s="8" t="inlineStr"/>
    </row>
    <row r="813" ht="20" customHeight="1">
      <c r="A813" s="7" t="inlineStr">
        <is>
          <t>RSCLER0808</t>
        </is>
      </c>
      <c r="B813" s="8" t="inlineStr">
        <is>
          <t>PORTO ALEGRE</t>
        </is>
      </c>
      <c r="C813" s="7" t="inlineStr">
        <is>
          <t>JBOAA</t>
        </is>
      </c>
      <c r="D813" s="7" t="inlineStr">
        <is>
          <t>PETAA</t>
        </is>
      </c>
      <c r="E813" s="7" t="inlineStr">
        <is>
          <t>RSPLE18</t>
        </is>
      </c>
      <c r="F813" s="8" t="inlineStr"/>
      <c r="G813" s="8" t="inlineStr">
        <is>
          <t>R Barão do Amazonas, 130</t>
        </is>
      </c>
      <c r="H813" s="7" t="inlineStr">
        <is>
          <t>JBOAA.062.M040</t>
        </is>
      </c>
      <c r="I813" s="8" t="inlineStr">
        <is>
          <t>2 ABERTURA E FECHAMENTO, 2 FUSÕES, 1 TESTE OTDR, 1 TESTE.</t>
        </is>
      </c>
      <c r="J813" s="8" t="inlineStr"/>
      <c r="K813" s="8" t="inlineStr">
        <is>
          <t>CATIA</t>
        </is>
      </c>
      <c r="L813" s="9" t="n">
        <v>46100</v>
      </c>
      <c r="M813" s="9" t="n">
        <v>46100</v>
      </c>
      <c r="N813" s="9" t="n">
        <v>46100</v>
      </c>
      <c r="O813" s="9" t="n">
        <v>46100</v>
      </c>
      <c r="P813" s="9" t="n">
        <v>46101</v>
      </c>
      <c r="Q813" s="9" t="n">
        <v>46101</v>
      </c>
      <c r="R813" s="7" t="inlineStr">
        <is>
          <t>Concluído Campo</t>
        </is>
      </c>
      <c r="S813" s="9" t="n">
        <v>46114</v>
      </c>
      <c r="T813" s="10" t="inlineStr"/>
      <c r="U813" s="7" t="inlineStr">
        <is>
          <t>5424241</t>
        </is>
      </c>
      <c r="V813" s="7" t="inlineStr">
        <is>
          <t>FINALIZADO</t>
        </is>
      </c>
      <c r="W813" s="7" t="inlineStr"/>
      <c r="X813" s="7" t="inlineStr">
        <is>
          <t>MEDIÇÃO CONCLUÍDA</t>
        </is>
      </c>
      <c r="Y813" s="11">
        <f>IF(AND(L813&lt;&gt;"", S813&lt;&gt;""), S813-L813, IF(L813&lt;&gt;"", TODAY()-L813, ""))</f>
        <v/>
      </c>
      <c r="Z813" s="7">
        <f>IF(Y813="", "", IF(Y813&lt;=3, "NO PRAZO", "ATRASADO"))</f>
        <v/>
      </c>
      <c r="AA813" s="8" t="inlineStr"/>
    </row>
    <row r="814" ht="20" customHeight="1">
      <c r="A814" s="7" t="inlineStr">
        <is>
          <t>RSCLER0809</t>
        </is>
      </c>
      <c r="B814" s="8" t="inlineStr">
        <is>
          <t>PORTO ALEGRE</t>
        </is>
      </c>
      <c r="C814" s="7" t="inlineStr">
        <is>
          <t>JBOAA</t>
        </is>
      </c>
      <c r="D814" s="7" t="inlineStr">
        <is>
          <t>PETAA</t>
        </is>
      </c>
      <c r="E814" s="7" t="inlineStr">
        <is>
          <t>RSPLE18</t>
        </is>
      </c>
      <c r="F814" s="8" t="inlineStr">
        <is>
          <t>Cond. DIEGO RIVERA</t>
        </is>
      </c>
      <c r="G814" s="8" t="inlineStr">
        <is>
          <t>R Barão do Amazonas, 156</t>
        </is>
      </c>
      <c r="H814" s="7" t="inlineStr">
        <is>
          <t>JBOAA.062.M040</t>
        </is>
      </c>
      <c r="I814" s="8" t="inlineStr">
        <is>
          <t>2 ABERTURAS, 3 FUSÕES, 1 TESTES OTDR E 2 TESTES</t>
        </is>
      </c>
      <c r="J814" s="8" t="inlineStr"/>
      <c r="K814" s="8" t="inlineStr">
        <is>
          <t>CATIA</t>
        </is>
      </c>
      <c r="L814" s="9" t="n">
        <v>46100</v>
      </c>
      <c r="M814" s="9" t="n">
        <v>46100</v>
      </c>
      <c r="N814" s="9" t="n">
        <v>46100</v>
      </c>
      <c r="O814" s="9" t="n">
        <v>46100</v>
      </c>
      <c r="P814" s="9" t="n">
        <v>46100</v>
      </c>
      <c r="Q814" s="9" t="n">
        <v>46100</v>
      </c>
      <c r="R814" s="7" t="inlineStr">
        <is>
          <t>Concluído Campo</t>
        </is>
      </c>
      <c r="S814" s="7" t="inlineStr"/>
      <c r="T814" s="10" t="inlineStr"/>
      <c r="U814" s="7" t="inlineStr"/>
      <c r="V814" s="7" t="inlineStr"/>
      <c r="W814" s="7" t="inlineStr"/>
      <c r="X814" s="7" t="inlineStr">
        <is>
          <t>AG. MEDIÇÃO</t>
        </is>
      </c>
      <c r="Y814" s="11">
        <f>IF(AND(L814&lt;&gt;"", S814&lt;&gt;""), S814-L814, IF(L814&lt;&gt;"", TODAY()-L814, ""))</f>
        <v/>
      </c>
      <c r="Z814" s="7">
        <f>IF(Y814="", "", IF(Y814&lt;=3, "NO PRAZO", "ATRASADO"))</f>
        <v/>
      </c>
      <c r="AA814" s="8" t="inlineStr"/>
    </row>
    <row r="815" ht="20" customHeight="1">
      <c r="A815" s="7" t="inlineStr">
        <is>
          <t>RSCLER0810</t>
        </is>
      </c>
      <c r="B815" s="8" t="inlineStr">
        <is>
          <t>PORTO ALEGRE</t>
        </is>
      </c>
      <c r="C815" s="7" t="inlineStr">
        <is>
          <t>RBTAC</t>
        </is>
      </c>
      <c r="D815" s="7" t="inlineStr">
        <is>
          <t>SRDAF FASE 2</t>
        </is>
      </c>
      <c r="E815" s="7" t="inlineStr">
        <is>
          <t>RSPNO17</t>
        </is>
      </c>
      <c r="F815" s="8" t="inlineStr"/>
      <c r="G815" s="8" t="inlineStr">
        <is>
          <t>RUA DOS MAIAS, 965</t>
        </is>
      </c>
      <c r="H815" s="7" t="inlineStr">
        <is>
          <t>RBTAC.024</t>
        </is>
      </c>
      <c r="I815" s="8" t="inlineStr">
        <is>
          <t>FOI LANÇADO 763 METROS DE CABO DE 24FO DDS E 582 METROS DE CORDOALHA DE AÇO.</t>
        </is>
      </c>
      <c r="J815" s="8" t="inlineStr">
        <is>
          <t>AUGUSTO</t>
        </is>
      </c>
      <c r="K815" s="8" t="inlineStr"/>
      <c r="L815" s="9" t="n">
        <v>46089</v>
      </c>
      <c r="M815" s="7" t="inlineStr"/>
      <c r="N815" s="7" t="inlineStr"/>
      <c r="O815" s="9" t="n">
        <v>46091</v>
      </c>
      <c r="P815" s="9" t="n">
        <v>46146</v>
      </c>
      <c r="Q815" s="9" t="n">
        <v>46146</v>
      </c>
      <c r="R815" s="7" t="inlineStr">
        <is>
          <t>Concluído Campo</t>
        </is>
      </c>
      <c r="S815" s="9" t="n">
        <v>46114</v>
      </c>
      <c r="T815" s="10" t="inlineStr"/>
      <c r="U815" s="7" t="inlineStr">
        <is>
          <t>5428447</t>
        </is>
      </c>
      <c r="V815" s="7" t="inlineStr">
        <is>
          <t>FINALIZADO</t>
        </is>
      </c>
      <c r="W815" s="7" t="inlineStr"/>
      <c r="X815" s="7" t="inlineStr">
        <is>
          <t>MEDIÇÃO CONCLUÍDA</t>
        </is>
      </c>
      <c r="Y815" s="11">
        <f>IF(AND(L815&lt;&gt;"", S815&lt;&gt;""), S815-L815, IF(L815&lt;&gt;"", TODAY()-L815, ""))</f>
        <v/>
      </c>
      <c r="Z815" s="7">
        <f>IF(Y815="", "", IF(Y815&lt;=3, "NO PRAZO", "ATRASADO"))</f>
        <v/>
      </c>
      <c r="AA815" s="8" t="inlineStr"/>
    </row>
    <row r="816" ht="20" customHeight="1">
      <c r="A816" s="7" t="inlineStr">
        <is>
          <t>RSCLER0811</t>
        </is>
      </c>
      <c r="B816" s="8" t="inlineStr">
        <is>
          <t>PORTO ALEGRE</t>
        </is>
      </c>
      <c r="C816" s="7" t="inlineStr">
        <is>
          <t>RBTAA</t>
        </is>
      </c>
      <c r="D816" s="7" t="inlineStr">
        <is>
          <t>RBTALB</t>
        </is>
      </c>
      <c r="E816" s="7" t="inlineStr">
        <is>
          <t>RSPNOA8</t>
        </is>
      </c>
      <c r="F816" s="8" t="inlineStr">
        <is>
          <t>Cond.Edifício Residencial Mansões do Norte</t>
        </is>
      </c>
      <c r="G816" s="8" t="inlineStr">
        <is>
          <t>Rua Ari Barroso, 109</t>
        </is>
      </c>
      <c r="H816" s="7" t="inlineStr">
        <is>
          <t>RBTAA.021.M020</t>
        </is>
      </c>
      <c r="I816" s="8" t="inlineStr">
        <is>
          <t>FOI LANÇADO 291 METROS DE CABO DE 12FO, 67 MENTRO DE CABO DE 24FO, 1 ABERTURA E FECHAMENTO, 1 DERIVAÇÃO, 2 CX NOVA, 22 FUSÕES, 8 TESTES.COBRAR JUNTO COM A OS RSCLER0809</t>
        </is>
      </c>
      <c r="J816" s="8" t="inlineStr">
        <is>
          <t>AUGUSTO</t>
        </is>
      </c>
      <c r="K816" s="8" t="inlineStr">
        <is>
          <t>AUGUSTO</t>
        </is>
      </c>
      <c r="L816" s="9" t="n">
        <v>46113</v>
      </c>
      <c r="M816" s="7" t="inlineStr"/>
      <c r="N816" s="7" t="inlineStr"/>
      <c r="O816" s="9" t="n">
        <v>46126</v>
      </c>
      <c r="P816" s="9" t="n">
        <v>46132</v>
      </c>
      <c r="Q816" s="9" t="n">
        <v>46132</v>
      </c>
      <c r="R816" s="7" t="inlineStr">
        <is>
          <t>Concluído Campo</t>
        </is>
      </c>
      <c r="S816" s="7" t="inlineStr"/>
      <c r="T816" s="10" t="inlineStr"/>
      <c r="U816" s="7" t="inlineStr"/>
      <c r="V816" s="7" t="inlineStr"/>
      <c r="W816" s="7" t="inlineStr"/>
      <c r="X816" s="7" t="inlineStr">
        <is>
          <t>AG. MEDIÇÃO</t>
        </is>
      </c>
      <c r="Y816" s="11">
        <f>IF(AND(L816&lt;&gt;"", S816&lt;&gt;""), S816-L816, IF(L816&lt;&gt;"", TODAY()-L816, ""))</f>
        <v/>
      </c>
      <c r="Z816" s="7">
        <f>IF(Y816="", "", IF(Y816&lt;=3, "NO PRAZO", "ATRASADO"))</f>
        <v/>
      </c>
      <c r="AA816" s="8" t="inlineStr"/>
    </row>
    <row r="817" ht="20" customHeight="1">
      <c r="A817" s="7" t="inlineStr">
        <is>
          <t>RSCLER0812</t>
        </is>
      </c>
      <c r="B817" s="8" t="inlineStr">
        <is>
          <t>PORTO ALEGRE</t>
        </is>
      </c>
      <c r="C817" s="7" t="inlineStr">
        <is>
          <t>RBTAB</t>
        </is>
      </c>
      <c r="D817" s="7" t="inlineStr">
        <is>
          <t>RBTAE</t>
        </is>
      </c>
      <c r="E817" s="7" t="inlineStr">
        <is>
          <t>RSPNO22</t>
        </is>
      </c>
      <c r="F817" s="8" t="inlineStr">
        <is>
          <t>Cond.Aruanã</t>
        </is>
      </c>
      <c r="G817" s="8" t="inlineStr">
        <is>
          <t>R. GOLDA MEIR 33</t>
        </is>
      </c>
      <c r="H817" s="7" t="inlineStr">
        <is>
          <t>RBTAB.014.M010</t>
        </is>
      </c>
      <c r="I817" s="8" t="inlineStr">
        <is>
          <t>FOI LANÇADO 167 METROS DE CABO DE 12FO, 8 ABERTURA E FECHAMENTO, 14 FUSÕES, 3 DERIVAÇÕES, 3 TESTES.</t>
        </is>
      </c>
      <c r="J817" s="8" t="inlineStr">
        <is>
          <t>AUGUSTO</t>
        </is>
      </c>
      <c r="K817" s="8" t="inlineStr">
        <is>
          <t>AUGUSTO</t>
        </is>
      </c>
      <c r="L817" s="9" t="n">
        <v>46108</v>
      </c>
      <c r="M817" s="9" t="n">
        <v>46109</v>
      </c>
      <c r="N817" s="9" t="n">
        <v>46112</v>
      </c>
      <c r="O817" s="9" t="n">
        <v>46112</v>
      </c>
      <c r="P817" s="9" t="n">
        <v>46113</v>
      </c>
      <c r="Q817" s="9" t="n">
        <v>46113</v>
      </c>
      <c r="R817" s="7" t="inlineStr">
        <is>
          <t>Concluído Campo</t>
        </is>
      </c>
      <c r="S817" s="9" t="n">
        <v>46121</v>
      </c>
      <c r="T817" s="10" t="inlineStr"/>
      <c r="U817" s="7" t="inlineStr">
        <is>
          <t>5428478</t>
        </is>
      </c>
      <c r="V817" s="7" t="inlineStr">
        <is>
          <t>FINALIZADO</t>
        </is>
      </c>
      <c r="W817" s="7" t="inlineStr"/>
      <c r="X817" s="7" t="inlineStr">
        <is>
          <t>MEDIÇÃO CONCLUÍDA</t>
        </is>
      </c>
      <c r="Y817" s="11">
        <f>IF(AND(L817&lt;&gt;"", S817&lt;&gt;""), S817-L817, IF(L817&lt;&gt;"", TODAY()-L817, ""))</f>
        <v/>
      </c>
      <c r="Z817" s="7">
        <f>IF(Y817="", "", IF(Y817&lt;=3, "NO PRAZO", "ATRASADO"))</f>
        <v/>
      </c>
      <c r="AA817" s="8" t="inlineStr"/>
    </row>
    <row r="818" ht="20" customHeight="1">
      <c r="A818" s="7" t="inlineStr">
        <is>
          <t>RSCLER0813</t>
        </is>
      </c>
      <c r="B818" s="8" t="inlineStr">
        <is>
          <t>PORTO ALEGRE</t>
        </is>
      </c>
      <c r="C818" s="7" t="inlineStr">
        <is>
          <t>RBTAB</t>
        </is>
      </c>
      <c r="D818" s="7" t="inlineStr">
        <is>
          <t>RBTAE</t>
        </is>
      </c>
      <c r="E818" s="7" t="inlineStr">
        <is>
          <t>RSPNO22</t>
        </is>
      </c>
      <c r="F818" s="8" t="inlineStr">
        <is>
          <t>Cond.</t>
        </is>
      </c>
      <c r="G818" s="8" t="inlineStr">
        <is>
          <t>R. GOLDA MEIR 41</t>
        </is>
      </c>
      <c r="H818" s="7" t="inlineStr">
        <is>
          <t>RBTAB.014.M010</t>
        </is>
      </c>
      <c r="I818" s="8" t="inlineStr">
        <is>
          <t>4 ABERTURA E FECHAMENTO, 9 FUSÃO, 3 TESTE</t>
        </is>
      </c>
      <c r="J818" s="8" t="inlineStr"/>
      <c r="K818" s="8" t="inlineStr">
        <is>
          <t>AUGUSTO</t>
        </is>
      </c>
      <c r="L818" s="9" t="n">
        <v>46108</v>
      </c>
      <c r="M818" s="9" t="n">
        <v>46109</v>
      </c>
      <c r="N818" s="9" t="n">
        <v>46112</v>
      </c>
      <c r="O818" s="9" t="n">
        <v>46112</v>
      </c>
      <c r="P818" s="9" t="n">
        <v>46113</v>
      </c>
      <c r="Q818" s="9" t="n">
        <v>46114</v>
      </c>
      <c r="R818" s="7" t="inlineStr">
        <is>
          <t>Concluído Campo</t>
        </is>
      </c>
      <c r="S818" s="7" t="inlineStr"/>
      <c r="T818" s="10" t="inlineStr"/>
      <c r="U818" s="7" t="inlineStr"/>
      <c r="V818" s="7" t="inlineStr"/>
      <c r="W818" s="7" t="inlineStr"/>
      <c r="X818" s="7" t="inlineStr">
        <is>
          <t>AG. MEDIÇÃO</t>
        </is>
      </c>
      <c r="Y818" s="11">
        <f>IF(AND(L818&lt;&gt;"", S818&lt;&gt;""), S818-L818, IF(L818&lt;&gt;"", TODAY()-L818, ""))</f>
        <v/>
      </c>
      <c r="Z818" s="7">
        <f>IF(Y818="", "", IF(Y818&lt;=3, "NO PRAZO", "ATRASADO"))</f>
        <v/>
      </c>
      <c r="AA818" s="8" t="inlineStr"/>
    </row>
    <row r="819" ht="20" customHeight="1">
      <c r="A819" s="7" t="inlineStr">
        <is>
          <t>RSCLER0814</t>
        </is>
      </c>
      <c r="B819" s="8" t="inlineStr">
        <is>
          <t>PORTO ALEGRE</t>
        </is>
      </c>
      <c r="C819" s="7" t="inlineStr">
        <is>
          <t>RBTAB</t>
        </is>
      </c>
      <c r="D819" s="7" t="inlineStr">
        <is>
          <t>RBTAE</t>
        </is>
      </c>
      <c r="E819" s="7" t="inlineStr">
        <is>
          <t>RSPNO22</t>
        </is>
      </c>
      <c r="F819" s="8" t="inlineStr">
        <is>
          <t>Cond.</t>
        </is>
      </c>
      <c r="G819" s="8" t="inlineStr">
        <is>
          <t>R. GOLDA MEIR 71</t>
        </is>
      </c>
      <c r="H819" s="7" t="inlineStr">
        <is>
          <t>RBTAB.014.M010</t>
        </is>
      </c>
      <c r="I819" s="8" t="inlineStr">
        <is>
          <t>4 ABERTURA E FECHAMENTO, 9 FUSÃO, 3 TESTE</t>
        </is>
      </c>
      <c r="J819" s="8" t="inlineStr"/>
      <c r="K819" s="8" t="inlineStr">
        <is>
          <t>AUGUSTO</t>
        </is>
      </c>
      <c r="L819" s="9" t="n">
        <v>46108</v>
      </c>
      <c r="M819" s="9" t="n">
        <v>46109</v>
      </c>
      <c r="N819" s="9" t="n">
        <v>46112</v>
      </c>
      <c r="O819" s="9" t="n">
        <v>46112</v>
      </c>
      <c r="P819" s="9" t="n">
        <v>46113</v>
      </c>
      <c r="Q819" s="9" t="n">
        <v>46132</v>
      </c>
      <c r="R819" s="7" t="inlineStr">
        <is>
          <t>Concluído Campo</t>
        </is>
      </c>
      <c r="S819" s="7" t="inlineStr"/>
      <c r="T819" s="10" t="inlineStr"/>
      <c r="U819" s="7" t="inlineStr"/>
      <c r="V819" s="7" t="inlineStr"/>
      <c r="W819" s="7" t="inlineStr"/>
      <c r="X819" s="7" t="inlineStr">
        <is>
          <t>AG. MEDIÇÃO</t>
        </is>
      </c>
      <c r="Y819" s="11">
        <f>IF(AND(L819&lt;&gt;"", S819&lt;&gt;""), S819-L819, IF(L819&lt;&gt;"", TODAY()-L819, ""))</f>
        <v/>
      </c>
      <c r="Z819" s="7">
        <f>IF(Y819="", "", IF(Y819&lt;=3, "NO PRAZO", "ATRASADO"))</f>
        <v/>
      </c>
      <c r="AA819" s="8" t="inlineStr"/>
    </row>
    <row r="820" ht="20" customHeight="1">
      <c r="A820" s="7" t="inlineStr">
        <is>
          <t>RSCLER0815</t>
        </is>
      </c>
      <c r="B820" s="8" t="inlineStr">
        <is>
          <t>PORTO ALEGRE</t>
        </is>
      </c>
      <c r="C820" s="7" t="inlineStr">
        <is>
          <t>RBTAB</t>
        </is>
      </c>
      <c r="D820" s="7" t="inlineStr">
        <is>
          <t>RBTAE</t>
        </is>
      </c>
      <c r="E820" s="7" t="inlineStr">
        <is>
          <t>RSPNO22</t>
        </is>
      </c>
      <c r="F820" s="8" t="inlineStr">
        <is>
          <t>Cond.</t>
        </is>
      </c>
      <c r="G820" s="8" t="inlineStr">
        <is>
          <t>R. GOLDA MEIR 83</t>
        </is>
      </c>
      <c r="H820" s="7" t="inlineStr">
        <is>
          <t>RBTAB.014.M010</t>
        </is>
      </c>
      <c r="I820" s="8" t="inlineStr">
        <is>
          <t>4 ABERTURA E FECHAMENTO, 9 FUSÃO, 3 TESTE</t>
        </is>
      </c>
      <c r="J820" s="8" t="inlineStr"/>
      <c r="K820" s="8" t="inlineStr">
        <is>
          <t>AUGUSTO</t>
        </is>
      </c>
      <c r="L820" s="9" t="n">
        <v>46108</v>
      </c>
      <c r="M820" s="9" t="n">
        <v>46109</v>
      </c>
      <c r="N820" s="9" t="n">
        <v>46112</v>
      </c>
      <c r="O820" s="9" t="n">
        <v>46112</v>
      </c>
      <c r="P820" s="9" t="n">
        <v>46113</v>
      </c>
      <c r="Q820" s="9" t="n">
        <v>46146</v>
      </c>
      <c r="R820" s="7" t="inlineStr">
        <is>
          <t>Concluído Campo</t>
        </is>
      </c>
      <c r="S820" s="7" t="inlineStr"/>
      <c r="T820" s="10" t="inlineStr"/>
      <c r="U820" s="7" t="inlineStr"/>
      <c r="V820" s="7" t="inlineStr"/>
      <c r="W820" s="7" t="inlineStr"/>
      <c r="X820" s="7" t="inlineStr">
        <is>
          <t>AG. MEDIÇÃO</t>
        </is>
      </c>
      <c r="Y820" s="11">
        <f>IF(AND(L820&lt;&gt;"", S820&lt;&gt;""), S820-L820, IF(L820&lt;&gt;"", TODAY()-L820, ""))</f>
        <v/>
      </c>
      <c r="Z820" s="7">
        <f>IF(Y820="", "", IF(Y820&lt;=3, "NO PRAZO", "ATRASADO"))</f>
        <v/>
      </c>
      <c r="AA820" s="8" t="inlineStr"/>
    </row>
    <row r="821" ht="20" customHeight="1">
      <c r="A821" s="7" t="inlineStr">
        <is>
          <t>RSCLER0816</t>
        </is>
      </c>
      <c r="B821" s="8" t="inlineStr">
        <is>
          <t>PORTO ALEGRE</t>
        </is>
      </c>
      <c r="C821" s="7" t="inlineStr">
        <is>
          <t>JITAB</t>
        </is>
      </c>
      <c r="D821" s="7" t="inlineStr">
        <is>
          <t>JITAIA</t>
        </is>
      </c>
      <c r="E821" s="7" t="inlineStr">
        <is>
          <t>RSPNO75</t>
        </is>
      </c>
      <c r="F821" s="8" t="inlineStr">
        <is>
          <t>Cond.(Paloma Palace)</t>
        </is>
      </c>
      <c r="G821" s="8" t="inlineStr">
        <is>
          <t>R Adda Mascarenhas de Moraes 705</t>
        </is>
      </c>
      <c r="H821" s="7" t="inlineStr">
        <is>
          <t>JITAB.151.M060</t>
        </is>
      </c>
      <c r="I821" s="8" t="inlineStr">
        <is>
          <t>2 ABERTURA E FECHAMENTO, 2 FUSÕES, 1 TESTE, 1 TESTE OTDR</t>
        </is>
      </c>
      <c r="J821" s="8" t="inlineStr"/>
      <c r="K821" s="8" t="inlineStr">
        <is>
          <t>CATIA</t>
        </is>
      </c>
      <c r="L821" s="9" t="n">
        <v>46111</v>
      </c>
      <c r="M821" s="9" t="n">
        <v>46111</v>
      </c>
      <c r="N821" s="7" t="inlineStr"/>
      <c r="O821" s="9" t="n">
        <v>46114</v>
      </c>
      <c r="P821" s="9" t="n">
        <v>46114</v>
      </c>
      <c r="Q821" s="9" t="n">
        <v>46114</v>
      </c>
      <c r="R821" s="7" t="inlineStr">
        <is>
          <t>Concluído Campo</t>
        </is>
      </c>
      <c r="S821" s="9" t="n">
        <v>46130</v>
      </c>
      <c r="T821" s="10" t="inlineStr"/>
      <c r="U821" s="7" t="inlineStr">
        <is>
          <t>5424117</t>
        </is>
      </c>
      <c r="V821" s="7" t="inlineStr">
        <is>
          <t>FINALIZADO</t>
        </is>
      </c>
      <c r="W821" s="7" t="inlineStr"/>
      <c r="X821" s="7" t="inlineStr">
        <is>
          <t>MEDIÇÃO CONCLUÍDA</t>
        </is>
      </c>
      <c r="Y821" s="11">
        <f>IF(AND(L821&lt;&gt;"", S821&lt;&gt;""), S821-L821, IF(L821&lt;&gt;"", TODAY()-L821, ""))</f>
        <v/>
      </c>
      <c r="Z821" s="7">
        <f>IF(Y821="", "", IF(Y821&lt;=3, "NO PRAZO", "ATRASADO"))</f>
        <v/>
      </c>
      <c r="AA821" s="8" t="inlineStr"/>
    </row>
    <row r="822" ht="20" customHeight="1">
      <c r="A822" s="7" t="inlineStr">
        <is>
          <t>RSCLER0817</t>
        </is>
      </c>
      <c r="B822" s="8" t="inlineStr">
        <is>
          <t>PORTO ALEGRE</t>
        </is>
      </c>
      <c r="C822" s="7" t="inlineStr">
        <is>
          <t>RBTAA</t>
        </is>
      </c>
      <c r="D822" s="7" t="inlineStr">
        <is>
          <t>RBTALB</t>
        </is>
      </c>
      <c r="E822" s="7" t="inlineStr">
        <is>
          <t>RSPNOA8</t>
        </is>
      </c>
      <c r="F822" s="8" t="inlineStr"/>
      <c r="G822" s="8" t="inlineStr">
        <is>
          <t>R ARI BARROSO 36</t>
        </is>
      </c>
      <c r="H822" s="7" t="inlineStr">
        <is>
          <t>RBTAA.021.M010</t>
        </is>
      </c>
      <c r="I822" s="8" t="inlineStr">
        <is>
          <t>FOI LANÇADO 149 METROS DE CABO DE 12FO, 1 CX NOVA, 1 NAP NOVA, 13 FUSÕES, 9 TESTES. COBRAR JUNTO COM A OS RSCLER0803</t>
        </is>
      </c>
      <c r="J822" s="8" t="inlineStr">
        <is>
          <t>AUGUSTO</t>
        </is>
      </c>
      <c r="K822" s="8" t="inlineStr">
        <is>
          <t>AUGUSTO</t>
        </is>
      </c>
      <c r="L822" s="9" t="n">
        <v>46113</v>
      </c>
      <c r="M822" s="7" t="inlineStr"/>
      <c r="N822" s="7" t="inlineStr"/>
      <c r="O822" s="9" t="n">
        <v>46126</v>
      </c>
      <c r="P822" s="9" t="n">
        <v>46132</v>
      </c>
      <c r="Q822" s="9" t="n">
        <v>46132</v>
      </c>
      <c r="R822" s="7" t="inlineStr">
        <is>
          <t>Concluído Campo</t>
        </is>
      </c>
      <c r="S822" s="7" t="inlineStr"/>
      <c r="T822" s="10" t="inlineStr"/>
      <c r="U822" s="7" t="inlineStr"/>
      <c r="V822" s="7" t="inlineStr"/>
      <c r="W822" s="7" t="inlineStr"/>
      <c r="X822" s="7" t="inlineStr">
        <is>
          <t>AG. MEDIÇÃO</t>
        </is>
      </c>
      <c r="Y822" s="11">
        <f>IF(AND(L822&lt;&gt;"", S822&lt;&gt;""), S822-L822, IF(L822&lt;&gt;"", TODAY()-L822, ""))</f>
        <v/>
      </c>
      <c r="Z822" s="7">
        <f>IF(Y822="", "", IF(Y822&lt;=3, "NO PRAZO", "ATRASADO"))</f>
        <v/>
      </c>
      <c r="AA822" s="8" t="inlineStr"/>
    </row>
    <row r="823" ht="20" customHeight="1">
      <c r="A823" s="7" t="inlineStr">
        <is>
          <t>RSCLER0818</t>
        </is>
      </c>
      <c r="B823" s="8" t="inlineStr">
        <is>
          <t>PORTO ALEGRE</t>
        </is>
      </c>
      <c r="C823" s="7" t="inlineStr">
        <is>
          <t>RBTAC</t>
        </is>
      </c>
      <c r="D823" s="7" t="inlineStr">
        <is>
          <t>SRDAF FASE 2</t>
        </is>
      </c>
      <c r="E823" s="7" t="inlineStr">
        <is>
          <t>RSPNO17</t>
        </is>
      </c>
      <c r="F823" s="8" t="inlineStr"/>
      <c r="G823" s="8" t="inlineStr">
        <is>
          <t>RUA SANTA ROSA DE LIMA, 245</t>
        </is>
      </c>
      <c r="H823" s="7" t="inlineStr">
        <is>
          <t>RBTAC.024</t>
        </is>
      </c>
      <c r="I823" s="8" t="inlineStr">
        <is>
          <t>FOI LANÇADO 763 METROS DE CABO DE 24FO, 571 METROS DE CORDOALHA DE AÇO.</t>
        </is>
      </c>
      <c r="J823" s="8" t="inlineStr"/>
      <c r="K823" s="8" t="inlineStr">
        <is>
          <t>AUGUSTO</t>
        </is>
      </c>
      <c r="L823" s="9" t="n">
        <v>46098</v>
      </c>
      <c r="M823" s="7" t="inlineStr"/>
      <c r="N823" s="7" t="inlineStr"/>
      <c r="O823" s="9" t="n">
        <v>46114</v>
      </c>
      <c r="P823" s="9" t="n">
        <v>46114</v>
      </c>
      <c r="Q823" s="9" t="n">
        <v>46114</v>
      </c>
      <c r="R823" s="7" t="inlineStr">
        <is>
          <t>Concluído Campo</t>
        </is>
      </c>
      <c r="S823" s="7" t="inlineStr"/>
      <c r="T823" s="10" t="inlineStr"/>
      <c r="U823" s="7" t="inlineStr"/>
      <c r="V823" s="7" t="inlineStr"/>
      <c r="W823" s="7" t="inlineStr"/>
      <c r="X823" s="7" t="inlineStr">
        <is>
          <t>AG. MEDIÇÃO</t>
        </is>
      </c>
      <c r="Y823" s="11">
        <f>IF(AND(L823&lt;&gt;"", S823&lt;&gt;""), S823-L823, IF(L823&lt;&gt;"", TODAY()-L823, ""))</f>
        <v/>
      </c>
      <c r="Z823" s="7">
        <f>IF(Y823="", "", IF(Y823&lt;=3, "NO PRAZO", "ATRASADO"))</f>
        <v/>
      </c>
      <c r="AA823" s="8" t="inlineStr"/>
    </row>
    <row r="824" ht="20" customHeight="1">
      <c r="A824" s="7" t="inlineStr">
        <is>
          <t>RSCLER0819</t>
        </is>
      </c>
      <c r="B824" s="8" t="inlineStr">
        <is>
          <t>PORTO ALEGRE</t>
        </is>
      </c>
      <c r="C824" s="7" t="inlineStr">
        <is>
          <t>RBTAB</t>
        </is>
      </c>
      <c r="D824" s="7" t="inlineStr">
        <is>
          <t>RBTAE</t>
        </is>
      </c>
      <c r="E824" s="7" t="inlineStr">
        <is>
          <t>RSPNO22</t>
        </is>
      </c>
      <c r="F824" s="8" t="inlineStr"/>
      <c r="G824" s="8" t="inlineStr">
        <is>
          <t>Av Baltazar de Oliveira Garcia 2949</t>
        </is>
      </c>
      <c r="H824" s="7" t="inlineStr">
        <is>
          <t>RBTAB.012.M020</t>
        </is>
      </c>
      <c r="I824" s="8" t="inlineStr">
        <is>
          <t>5 ABERTURA E FECHAMENTO, 8 FUSÕES, 3 TESTES OTDR, 1 TESTE</t>
        </is>
      </c>
      <c r="J824" s="8" t="inlineStr"/>
      <c r="K824" s="8" t="inlineStr">
        <is>
          <t>CATIA</t>
        </is>
      </c>
      <c r="L824" s="9" t="n">
        <v>46119</v>
      </c>
      <c r="M824" s="7" t="inlineStr"/>
      <c r="N824" s="7" t="inlineStr"/>
      <c r="O824" s="9" t="n">
        <v>46134</v>
      </c>
      <c r="P824" s="9" t="n">
        <v>46156</v>
      </c>
      <c r="Q824" s="9" t="n">
        <v>46156</v>
      </c>
      <c r="R824" s="7" t="inlineStr">
        <is>
          <t>Concluído Campo</t>
        </is>
      </c>
      <c r="S824" s="9" t="n">
        <v>46135</v>
      </c>
      <c r="T824" s="10" t="inlineStr"/>
      <c r="U824" s="7" t="inlineStr">
        <is>
          <t>5424093</t>
        </is>
      </c>
      <c r="V824" s="7" t="inlineStr">
        <is>
          <t>FINALIZADO</t>
        </is>
      </c>
      <c r="W824" s="7" t="inlineStr"/>
      <c r="X824" s="7" t="inlineStr">
        <is>
          <t>MEDIÇÃO CONCLUÍDA</t>
        </is>
      </c>
      <c r="Y824" s="11">
        <f>IF(AND(L824&lt;&gt;"", S824&lt;&gt;""), S824-L824, IF(L824&lt;&gt;"", TODAY()-L824, ""))</f>
        <v/>
      </c>
      <c r="Z824" s="7">
        <f>IF(Y824="", "", IF(Y824&lt;=3, "NO PRAZO", "ATRASADO"))</f>
        <v/>
      </c>
      <c r="AA824" s="8" t="inlineStr"/>
    </row>
    <row r="825" ht="20" customHeight="1">
      <c r="A825" s="7" t="inlineStr">
        <is>
          <t>RSCLER0820</t>
        </is>
      </c>
      <c r="B825" s="8" t="inlineStr">
        <is>
          <t>PORTO ALEGRE</t>
        </is>
      </c>
      <c r="C825" s="7" t="inlineStr">
        <is>
          <t>CNTAB</t>
        </is>
      </c>
      <c r="D825" s="7" t="inlineStr">
        <is>
          <t>CNTAG</t>
        </is>
      </c>
      <c r="E825" s="7" t="inlineStr">
        <is>
          <t>RSPCE14</t>
        </is>
      </c>
      <c r="F825" s="8" t="inlineStr"/>
      <c r="G825" s="8" t="inlineStr">
        <is>
          <t>rua Duque de Caxias 1464</t>
        </is>
      </c>
      <c r="H825" s="7" t="inlineStr">
        <is>
          <t>CNTAB.071.M060</t>
        </is>
      </c>
      <c r="I825" s="8" t="inlineStr">
        <is>
          <t>3 ABERTURA E FECHAMENTO, 3 FUSÕES, 1 TESTE, COBRAR AS BUILTS</t>
        </is>
      </c>
      <c r="J825" s="8" t="inlineStr"/>
      <c r="K825" s="8" t="inlineStr">
        <is>
          <t>JOSÉ</t>
        </is>
      </c>
      <c r="L825" s="9" t="n">
        <v>46121</v>
      </c>
      <c r="M825" s="9" t="n">
        <v>46121</v>
      </c>
      <c r="N825" s="9" t="n">
        <v>46121</v>
      </c>
      <c r="O825" s="9" t="n">
        <v>46121</v>
      </c>
      <c r="P825" s="9" t="n">
        <v>46122</v>
      </c>
      <c r="Q825" s="9" t="n">
        <v>46122</v>
      </c>
      <c r="R825" s="7" t="inlineStr">
        <is>
          <t>Concluído Campo</t>
        </is>
      </c>
      <c r="S825" s="7" t="inlineStr"/>
      <c r="T825" s="10" t="inlineStr"/>
      <c r="U825" s="7" t="inlineStr"/>
      <c r="V825" s="7" t="inlineStr"/>
      <c r="W825" s="7" t="inlineStr"/>
      <c r="X825" s="7" t="inlineStr">
        <is>
          <t>AG. MEDIÇÃO</t>
        </is>
      </c>
      <c r="Y825" s="11">
        <f>IF(AND(L825&lt;&gt;"", S825&lt;&gt;""), S825-L825, IF(L825&lt;&gt;"", TODAY()-L825, ""))</f>
        <v/>
      </c>
      <c r="Z825" s="7">
        <f>IF(Y825="", "", IF(Y825&lt;=3, "NO PRAZO", "ATRASADO"))</f>
        <v/>
      </c>
      <c r="AA825" s="8" t="inlineStr"/>
    </row>
    <row r="826" ht="20" customHeight="1">
      <c r="A826" s="7" t="inlineStr">
        <is>
          <t>RSCLER0821</t>
        </is>
      </c>
      <c r="B826" s="8" t="inlineStr">
        <is>
          <t>PORTO ALEGRE</t>
        </is>
      </c>
      <c r="C826" s="7" t="inlineStr">
        <is>
          <t>TRZAA</t>
        </is>
      </c>
      <c r="D826" s="7" t="inlineStr">
        <is>
          <t>TRZAJB</t>
        </is>
      </c>
      <c r="E826" s="7" t="inlineStr">
        <is>
          <t>RSPSU11</t>
        </is>
      </c>
      <c r="F826" s="8" t="inlineStr">
        <is>
          <t>Cond.(ED. COPACABANA)</t>
        </is>
      </c>
      <c r="G826" s="8" t="inlineStr">
        <is>
          <t>TV ITAPERUNA 21</t>
        </is>
      </c>
      <c r="H826" s="7" t="inlineStr">
        <is>
          <t>TRZAA.102.M010</t>
        </is>
      </c>
      <c r="I826" s="8" t="inlineStr">
        <is>
          <t>3 ABERTURA E FECHAMENTO, 6 FUSÕES, 2 TESTES, 2 TESTES OTDR</t>
        </is>
      </c>
      <c r="J826" s="8" t="inlineStr"/>
      <c r="K826" s="8" t="inlineStr">
        <is>
          <t>CATIA</t>
        </is>
      </c>
      <c r="L826" s="9" t="n">
        <v>46129</v>
      </c>
      <c r="M826" s="7" t="inlineStr"/>
      <c r="N826" s="7" t="inlineStr"/>
      <c r="O826" s="9" t="n">
        <v>46134</v>
      </c>
      <c r="P826" s="9" t="n">
        <v>46163</v>
      </c>
      <c r="Q826" s="9" t="n">
        <v>46163</v>
      </c>
      <c r="R826" s="7" t="inlineStr">
        <is>
          <t>Concluído Campo</t>
        </is>
      </c>
      <c r="S826" s="9" t="n">
        <v>46134</v>
      </c>
      <c r="T826" s="10" t="inlineStr"/>
      <c r="U826" s="7" t="inlineStr">
        <is>
          <t>5536147</t>
        </is>
      </c>
      <c r="V826" s="7" t="inlineStr">
        <is>
          <t>FINALIZADO</t>
        </is>
      </c>
      <c r="W826" s="7" t="inlineStr"/>
      <c r="X826" s="7" t="inlineStr">
        <is>
          <t>MEDIÇÃO CONCLUÍDA</t>
        </is>
      </c>
      <c r="Y826" s="11">
        <f>IF(AND(L826&lt;&gt;"", S826&lt;&gt;""), S826-L826, IF(L826&lt;&gt;"", TODAY()-L826, ""))</f>
        <v/>
      </c>
      <c r="Z826" s="7">
        <f>IF(Y826="", "", IF(Y826&lt;=3, "NO PRAZO", "ATRASADO"))</f>
        <v/>
      </c>
      <c r="AA826" s="8" t="inlineStr"/>
    </row>
    <row r="827" ht="20" customHeight="1">
      <c r="A827" s="7" t="inlineStr">
        <is>
          <t>RSCLER0822</t>
        </is>
      </c>
      <c r="B827" s="8" t="inlineStr">
        <is>
          <t>PORTO ALEGRE</t>
        </is>
      </c>
      <c r="C827" s="7" t="inlineStr">
        <is>
          <t>MTSAA</t>
        </is>
      </c>
      <c r="D827" s="7" t="inlineStr">
        <is>
          <t>SJOADA</t>
        </is>
      </c>
      <c r="E827" s="7" t="inlineStr">
        <is>
          <t>PAE BV</t>
        </is>
      </c>
      <c r="F827" s="8" t="inlineStr">
        <is>
          <t>ED VICE PRESIDENTE</t>
        </is>
      </c>
      <c r="G827" s="8" t="inlineStr">
        <is>
          <t>AV BENJAMIN CONSTANT 1808</t>
        </is>
      </c>
      <c r="H827" s="7" t="inlineStr">
        <is>
          <t>MTSAA.215.M010</t>
        </is>
      </c>
      <c r="I827" s="8" t="inlineStr">
        <is>
          <t>4 ABERTURA E FECHAMENTO, 15 FUSÕES, 5 TESTE OTDR, 4 TESTES</t>
        </is>
      </c>
      <c r="J827" s="8" t="inlineStr"/>
      <c r="K827" s="8" t="inlineStr">
        <is>
          <t>CATIA</t>
        </is>
      </c>
      <c r="L827" s="9" t="n">
        <v>46130</v>
      </c>
      <c r="M827" s="7" t="inlineStr"/>
      <c r="N827" s="7" t="inlineStr"/>
      <c r="O827" s="9" t="n">
        <v>46141</v>
      </c>
      <c r="P827" s="9" t="n">
        <v>46155</v>
      </c>
      <c r="Q827" s="9" t="n">
        <v>46155</v>
      </c>
      <c r="R827" s="7" t="inlineStr">
        <is>
          <t>Concluído Campo</t>
        </is>
      </c>
      <c r="S827" s="9" t="n">
        <v>46141</v>
      </c>
      <c r="T827" s="10" t="inlineStr"/>
      <c r="U827" s="7" t="inlineStr">
        <is>
          <t>5499329</t>
        </is>
      </c>
      <c r="V827" s="7" t="inlineStr">
        <is>
          <t>FINALIZADO</t>
        </is>
      </c>
      <c r="W827" s="7" t="inlineStr"/>
      <c r="X827" s="7" t="inlineStr">
        <is>
          <t>MEDIÇÃO CONCLUÍDA</t>
        </is>
      </c>
      <c r="Y827" s="11">
        <f>IF(AND(L827&lt;&gt;"", S827&lt;&gt;""), S827-L827, IF(L827&lt;&gt;"", TODAY()-L827, ""))</f>
        <v/>
      </c>
      <c r="Z827" s="7">
        <f>IF(Y827="", "", IF(Y827&lt;=3, "NO PRAZO", "ATRASADO"))</f>
        <v/>
      </c>
      <c r="AA827" s="8" t="inlineStr"/>
    </row>
    <row r="828" ht="20" customHeight="1">
      <c r="A828" s="7" t="inlineStr">
        <is>
          <t>RSCLER0823</t>
        </is>
      </c>
      <c r="B828" s="8" t="inlineStr">
        <is>
          <t>PORTO ALEGRE</t>
        </is>
      </c>
      <c r="C828" s="7" t="inlineStr">
        <is>
          <t>SPEAA</t>
        </is>
      </c>
      <c r="D828" s="7" t="inlineStr">
        <is>
          <t>PDRACB</t>
        </is>
      </c>
      <c r="E828" s="7" t="inlineStr">
        <is>
          <t>PAE DAM</t>
        </is>
      </c>
      <c r="F828" s="8" t="inlineStr">
        <is>
          <t>ED ZENON</t>
        </is>
      </c>
      <c r="G828" s="8" t="inlineStr">
        <is>
          <t>AV TAPIACU 334</t>
        </is>
      </c>
      <c r="H828" s="7" t="inlineStr">
        <is>
          <t>SPEAA.031.M070</t>
        </is>
      </c>
      <c r="I828" s="8" t="inlineStr">
        <is>
          <t>3 ABERTURA E FECHAMENTO, 3 FUSÕES, 1 TESTE, 1 TESTE OTDR.</t>
        </is>
      </c>
      <c r="J828" s="8" t="inlineStr"/>
      <c r="K828" s="8" t="inlineStr">
        <is>
          <t>CATIA</t>
        </is>
      </c>
      <c r="L828" s="9" t="n">
        <v>46130</v>
      </c>
      <c r="M828" s="7" t="inlineStr"/>
      <c r="N828" s="7" t="inlineStr"/>
      <c r="O828" s="9" t="n">
        <v>46135</v>
      </c>
      <c r="P828" s="9" t="n">
        <v>46163</v>
      </c>
      <c r="Q828" s="9" t="n">
        <v>46163</v>
      </c>
      <c r="R828" s="7" t="inlineStr">
        <is>
          <t>Concluído Campo</t>
        </is>
      </c>
      <c r="S828" s="9" t="n">
        <v>46135</v>
      </c>
      <c r="T828" s="10" t="inlineStr"/>
      <c r="U828" s="7" t="inlineStr">
        <is>
          <t>5536157</t>
        </is>
      </c>
      <c r="V828" s="7" t="inlineStr">
        <is>
          <t>FINALIZADO</t>
        </is>
      </c>
      <c r="W828" s="7" t="inlineStr"/>
      <c r="X828" s="7" t="inlineStr">
        <is>
          <t>MEDIÇÃO CONCLUÍDA</t>
        </is>
      </c>
      <c r="Y828" s="11">
        <f>IF(AND(L828&lt;&gt;"", S828&lt;&gt;""), S828-L828, IF(L828&lt;&gt;"", TODAY()-L828, ""))</f>
        <v/>
      </c>
      <c r="Z828" s="7">
        <f>IF(Y828="", "", IF(Y828&lt;=3, "NO PRAZO", "ATRASADO"))</f>
        <v/>
      </c>
      <c r="AA828" s="8" t="inlineStr"/>
    </row>
    <row r="829" ht="20" customHeight="1">
      <c r="A829" s="7" t="inlineStr">
        <is>
          <t>RSCLER0824</t>
        </is>
      </c>
      <c r="B829" s="8" t="inlineStr">
        <is>
          <t>PORTO ALEGRE</t>
        </is>
      </c>
      <c r="C829" s="7" t="inlineStr">
        <is>
          <t>RBTAB</t>
        </is>
      </c>
      <c r="D829" s="7" t="inlineStr">
        <is>
          <t>RBTAD</t>
        </is>
      </c>
      <c r="E829" s="7" t="inlineStr">
        <is>
          <t>RSPNO22</t>
        </is>
      </c>
      <c r="F829" s="8" t="inlineStr"/>
      <c r="G829" s="8" t="inlineStr">
        <is>
          <t>R CARLOS ESTEVAO 435</t>
        </is>
      </c>
      <c r="H829" s="7" t="inlineStr">
        <is>
          <t>RBTAB.034.M010</t>
        </is>
      </c>
      <c r="I829" s="8" t="inlineStr">
        <is>
          <t>2 ABERTURA E FECHAMENTO, 4 FUSÕES, 4 TESTES</t>
        </is>
      </c>
      <c r="J829" s="8" t="inlineStr"/>
      <c r="K829" s="8" t="inlineStr">
        <is>
          <t>CATIA</t>
        </is>
      </c>
      <c r="L829" s="9" t="n">
        <v>46129</v>
      </c>
      <c r="M829" s="9" t="n">
        <v>46130</v>
      </c>
      <c r="N829" s="7" t="inlineStr"/>
      <c r="O829" s="9" t="n">
        <v>46130</v>
      </c>
      <c r="P829" s="9" t="n">
        <v>46132</v>
      </c>
      <c r="Q829" s="9" t="n">
        <v>46132</v>
      </c>
      <c r="R829" s="7" t="inlineStr">
        <is>
          <t>Concluído Campo</t>
        </is>
      </c>
      <c r="S829" s="7" t="inlineStr"/>
      <c r="T829" s="10" t="inlineStr"/>
      <c r="U829" s="7" t="inlineStr"/>
      <c r="V829" s="7" t="inlineStr"/>
      <c r="W829" s="7" t="inlineStr"/>
      <c r="X829" s="7" t="inlineStr">
        <is>
          <t>AG. MEDIÇÃO</t>
        </is>
      </c>
      <c r="Y829" s="11">
        <f>IF(AND(L829&lt;&gt;"", S829&lt;&gt;""), S829-L829, IF(L829&lt;&gt;"", TODAY()-L829, ""))</f>
        <v/>
      </c>
      <c r="Z829" s="7">
        <f>IF(Y829="", "", IF(Y829&lt;=3, "NO PRAZO", "ATRASADO"))</f>
        <v/>
      </c>
      <c r="AA829" s="8" t="inlineStr"/>
    </row>
    <row r="830" ht="20" customHeight="1">
      <c r="A830" s="7" t="inlineStr">
        <is>
          <t>RSCLER0825</t>
        </is>
      </c>
      <c r="B830" s="8" t="inlineStr">
        <is>
          <t>PORTO ALEGRE</t>
        </is>
      </c>
      <c r="C830" s="7" t="inlineStr">
        <is>
          <t>PETAA</t>
        </is>
      </c>
      <c r="D830" s="7" t="inlineStr">
        <is>
          <t>PETAPB</t>
        </is>
      </c>
      <c r="E830" s="7" t="inlineStr">
        <is>
          <t>RSPLE11</t>
        </is>
      </c>
      <c r="F830" s="8" t="inlineStr"/>
      <c r="G830" s="8" t="inlineStr">
        <is>
          <t>AV, IJUÍ 648</t>
        </is>
      </c>
      <c r="H830" s="7" t="inlineStr">
        <is>
          <t>PETAA.091.M020</t>
        </is>
      </c>
      <c r="I830" s="8" t="inlineStr">
        <is>
          <t>2 ABERTURA E FECHAMENTO, 2 FUSÕES, 1 TESTES, 1 TESTE OTDR</t>
        </is>
      </c>
      <c r="J830" s="8" t="inlineStr"/>
      <c r="K830" s="8" t="inlineStr">
        <is>
          <t>CATIA</t>
        </is>
      </c>
      <c r="L830" s="9" t="n">
        <v>46132</v>
      </c>
      <c r="M830" s="9" t="n">
        <v>46132</v>
      </c>
      <c r="N830" s="7" t="inlineStr"/>
      <c r="O830" s="9" t="n">
        <v>46132</v>
      </c>
      <c r="P830" s="9" t="n">
        <v>46154</v>
      </c>
      <c r="Q830" s="9" t="n">
        <v>46154</v>
      </c>
      <c r="R830" s="7" t="inlineStr">
        <is>
          <t>Concluído Campo</t>
        </is>
      </c>
      <c r="S830" s="9" t="n">
        <v>46132</v>
      </c>
      <c r="T830" s="10" t="inlineStr"/>
      <c r="U830" s="7" t="inlineStr">
        <is>
          <t>5498256</t>
        </is>
      </c>
      <c r="V830" s="7" t="inlineStr">
        <is>
          <t>FINALIZADO</t>
        </is>
      </c>
      <c r="W830" s="7" t="inlineStr"/>
      <c r="X830" s="7" t="inlineStr">
        <is>
          <t>MEDIÇÃO CONCLUÍDA</t>
        </is>
      </c>
      <c r="Y830" s="11">
        <f>IF(AND(L830&lt;&gt;"", S830&lt;&gt;""), S830-L830, IF(L830&lt;&gt;"", TODAY()-L830, ""))</f>
        <v/>
      </c>
      <c r="Z830" s="7">
        <f>IF(Y830="", "", IF(Y830&lt;=3, "NO PRAZO", "ATRASADO"))</f>
        <v/>
      </c>
      <c r="AA830" s="8" t="inlineStr"/>
    </row>
    <row r="831" ht="20" customHeight="1">
      <c r="A831" s="7" t="inlineStr">
        <is>
          <t>RSCLER0826</t>
        </is>
      </c>
      <c r="B831" s="8" t="inlineStr">
        <is>
          <t>PORTO ALEGRE</t>
        </is>
      </c>
      <c r="C831" s="7" t="inlineStr">
        <is>
          <t>VJDAB</t>
        </is>
      </c>
      <c r="D831" s="7" t="inlineStr">
        <is>
          <t>MSTAE</t>
        </is>
      </c>
      <c r="E831" s="7" t="inlineStr">
        <is>
          <t>RSPNO21</t>
        </is>
      </c>
      <c r="F831" s="8" t="inlineStr"/>
      <c r="G831" s="8" t="inlineStr">
        <is>
          <t>AV NILO RUSCHEL 860</t>
        </is>
      </c>
      <c r="H831" s="7" t="inlineStr">
        <is>
          <t>VJDAB.122.M020</t>
        </is>
      </c>
      <c r="I831" s="8" t="inlineStr">
        <is>
          <t>FOI LANÇADO 18 METROS DE CABO DE 12FO, 2 ABERTURA E FECHAMENTO, 3 FUSÃO, 2 DERIVAÇÃO, 1 CX NOVA, 1 TESTE, 1 TESTE OTDR</t>
        </is>
      </c>
      <c r="J831" s="8" t="inlineStr">
        <is>
          <t>CATIA</t>
        </is>
      </c>
      <c r="K831" s="8" t="inlineStr">
        <is>
          <t>CATIA</t>
        </is>
      </c>
      <c r="L831" s="9" t="n">
        <v>46129</v>
      </c>
      <c r="M831" s="7" t="inlineStr"/>
      <c r="N831" s="7" t="inlineStr"/>
      <c r="O831" s="9" t="n">
        <v>46134</v>
      </c>
      <c r="P831" s="9" t="n">
        <v>46154</v>
      </c>
      <c r="Q831" s="9" t="n">
        <v>46154</v>
      </c>
      <c r="R831" s="7" t="inlineStr">
        <is>
          <t>Concluído Campo</t>
        </is>
      </c>
      <c r="S831" s="9" t="n">
        <v>46134</v>
      </c>
      <c r="T831" s="10" t="inlineStr"/>
      <c r="U831" s="7" t="inlineStr">
        <is>
          <t>5498070</t>
        </is>
      </c>
      <c r="V831" s="7" t="inlineStr">
        <is>
          <t>FINALIZADO</t>
        </is>
      </c>
      <c r="W831" s="7" t="inlineStr"/>
      <c r="X831" s="7" t="inlineStr">
        <is>
          <t>MEDIÇÃO CONCLUÍDA</t>
        </is>
      </c>
      <c r="Y831" s="11">
        <f>IF(AND(L831&lt;&gt;"", S831&lt;&gt;""), S831-L831, IF(L831&lt;&gt;"", TODAY()-L831, ""))</f>
        <v/>
      </c>
      <c r="Z831" s="7">
        <f>IF(Y831="", "", IF(Y831&lt;=3, "NO PRAZO", "ATRASADO"))</f>
        <v/>
      </c>
      <c r="AA831" s="8" t="inlineStr"/>
    </row>
    <row r="832" ht="20" customHeight="1">
      <c r="A832" s="7" t="inlineStr">
        <is>
          <t>RSCLER0827</t>
        </is>
      </c>
      <c r="B832" s="8" t="inlineStr">
        <is>
          <t>PORTO ALEGRE</t>
        </is>
      </c>
      <c r="C832" s="7" t="inlineStr">
        <is>
          <t>JITAB</t>
        </is>
      </c>
      <c r="D832" s="7" t="inlineStr">
        <is>
          <t>JITAIA</t>
        </is>
      </c>
      <c r="E832" s="7" t="inlineStr">
        <is>
          <t>RSPNO75</t>
        </is>
      </c>
      <c r="F832" s="8" t="inlineStr"/>
      <c r="G832" s="8" t="inlineStr">
        <is>
          <t>Rua Joaquim G De Campos Netto, 35</t>
        </is>
      </c>
      <c r="H832" s="7" t="inlineStr">
        <is>
          <t>JITAB.153.M070</t>
        </is>
      </c>
      <c r="I832" s="8" t="inlineStr">
        <is>
          <t>3 ABERTURA E FECHAMENTO, 4 FUSÕES, 2 TESTES</t>
        </is>
      </c>
      <c r="J832" s="8" t="inlineStr"/>
      <c r="K832" s="8" t="inlineStr">
        <is>
          <t>AUGUSTO</t>
        </is>
      </c>
      <c r="L832" s="9" t="n">
        <v>46130</v>
      </c>
      <c r="M832" s="7" t="inlineStr"/>
      <c r="N832" s="7" t="inlineStr"/>
      <c r="O832" s="9" t="n">
        <v>46135</v>
      </c>
      <c r="P832" s="9" t="n">
        <v>46146</v>
      </c>
      <c r="Q832" s="9" t="n">
        <v>46146</v>
      </c>
      <c r="R832" s="7" t="inlineStr">
        <is>
          <t>Concluído Campo</t>
        </is>
      </c>
      <c r="S832" s="7" t="inlineStr"/>
      <c r="T832" s="10" t="inlineStr"/>
      <c r="U832" s="7" t="inlineStr"/>
      <c r="V832" s="7" t="inlineStr"/>
      <c r="W832" s="7" t="inlineStr"/>
      <c r="X832" s="7" t="inlineStr">
        <is>
          <t>AG. MEDIÇÃO</t>
        </is>
      </c>
      <c r="Y832" s="11">
        <f>IF(AND(L832&lt;&gt;"", S832&lt;&gt;""), S832-L832, IF(L832&lt;&gt;"", TODAY()-L832, ""))</f>
        <v/>
      </c>
      <c r="Z832" s="7">
        <f>IF(Y832="", "", IF(Y832&lt;=3, "NO PRAZO", "ATRASADO"))</f>
        <v/>
      </c>
      <c r="AA832" s="8" t="inlineStr"/>
    </row>
    <row r="833" ht="20" customHeight="1">
      <c r="A833" s="7" t="inlineStr">
        <is>
          <t>RSCLER0828</t>
        </is>
      </c>
      <c r="B833" s="8" t="inlineStr">
        <is>
          <t>PORTO ALEGRE</t>
        </is>
      </c>
      <c r="C833" s="7" t="inlineStr">
        <is>
          <t>TRZAA</t>
        </is>
      </c>
      <c r="D833" s="7" t="inlineStr">
        <is>
          <t>TRZAF</t>
        </is>
      </c>
      <c r="E833" s="7" t="inlineStr">
        <is>
          <t>RSPSU11</t>
        </is>
      </c>
      <c r="F833" s="8" t="inlineStr">
        <is>
          <t>ED VILLEMONT-</t>
        </is>
      </c>
      <c r="G833" s="8" t="inlineStr">
        <is>
          <t>R SANTA VITÓRIA ,40</t>
        </is>
      </c>
      <c r="H833" s="7" t="inlineStr">
        <is>
          <t>TRZAA.052.M060</t>
        </is>
      </c>
      <c r="I833" s="8" t="inlineStr">
        <is>
          <t>FOI LANÇADO 174 METROS DE CABO DE 24FO, 2 ABERTURA E FECHAMENTO, 3 FUSÕES, 2 DERIVAÇÕES, 3 TESTES</t>
        </is>
      </c>
      <c r="J833" s="8" t="inlineStr">
        <is>
          <t>AUGUSTO</t>
        </is>
      </c>
      <c r="K833" s="8" t="inlineStr">
        <is>
          <t>AUGUSTO</t>
        </is>
      </c>
      <c r="L833" s="9" t="n">
        <v>46129</v>
      </c>
      <c r="M833" s="7" t="inlineStr"/>
      <c r="N833" s="7" t="inlineStr"/>
      <c r="O833" s="9" t="n">
        <v>46132</v>
      </c>
      <c r="P833" s="9" t="n">
        <v>46202</v>
      </c>
      <c r="Q833" s="9" t="n">
        <v>46202</v>
      </c>
      <c r="R833" s="7" t="inlineStr">
        <is>
          <t>Concluído Campo</t>
        </is>
      </c>
      <c r="S833" s="9" t="n">
        <v>46132</v>
      </c>
      <c r="T833" s="10" t="inlineStr"/>
      <c r="U833" s="7" t="inlineStr">
        <is>
          <t>5514840</t>
        </is>
      </c>
      <c r="V833" s="7" t="inlineStr">
        <is>
          <t>FINALIZADO</t>
        </is>
      </c>
      <c r="W833" s="7" t="inlineStr"/>
      <c r="X833" s="7" t="inlineStr">
        <is>
          <t>MEDIÇÃO CONCLUÍDA</t>
        </is>
      </c>
      <c r="Y833" s="11">
        <f>IF(AND(L833&lt;&gt;"", S833&lt;&gt;""), S833-L833, IF(L833&lt;&gt;"", TODAY()-L833, ""))</f>
        <v/>
      </c>
      <c r="Z833" s="7">
        <f>IF(Y833="", "", IF(Y833&lt;=3, "NO PRAZO", "ATRASADO"))</f>
        <v/>
      </c>
      <c r="AA833" s="8" t="inlineStr"/>
    </row>
    <row r="834" ht="20" customHeight="1">
      <c r="A834" s="7" t="inlineStr">
        <is>
          <t>RSCLER0829</t>
        </is>
      </c>
      <c r="B834" s="8" t="inlineStr">
        <is>
          <t>PORTO ALEGRE</t>
        </is>
      </c>
      <c r="C834" s="7" t="inlineStr">
        <is>
          <t>TRLAA</t>
        </is>
      </c>
      <c r="D834" s="7" t="inlineStr">
        <is>
          <t>STZAAB</t>
        </is>
      </c>
      <c r="E834" s="7" t="inlineStr">
        <is>
          <t>PAE HZS</t>
        </is>
      </c>
      <c r="F834" s="8" t="inlineStr"/>
      <c r="G834" s="8" t="inlineStr">
        <is>
          <t>R CEL. JOÃO PINTO 185</t>
        </is>
      </c>
      <c r="H834" s="7" t="inlineStr">
        <is>
          <t>TRLAA.161.M030</t>
        </is>
      </c>
      <c r="I834" s="8" t="inlineStr">
        <is>
          <t>3 ABERTURA E FECHAMENTO, 4 FUSÕES, 1 TESTES, 2 TESTE OTDR</t>
        </is>
      </c>
      <c r="J834" s="8" t="inlineStr"/>
      <c r="K834" s="8" t="inlineStr">
        <is>
          <t>CATIA</t>
        </is>
      </c>
      <c r="L834" s="9" t="n">
        <v>46132</v>
      </c>
      <c r="M834" s="7" t="inlineStr"/>
      <c r="N834" s="7" t="inlineStr"/>
      <c r="O834" s="9" t="n">
        <v>46135</v>
      </c>
      <c r="P834" s="9" t="n">
        <v>46157</v>
      </c>
      <c r="Q834" s="9" t="n">
        <v>46157</v>
      </c>
      <c r="R834" s="7" t="inlineStr">
        <is>
          <t>Concluído Campo</t>
        </is>
      </c>
      <c r="S834" s="9" t="n">
        <v>46135</v>
      </c>
      <c r="T834" s="10" t="inlineStr"/>
      <c r="U834" s="7" t="inlineStr"/>
      <c r="V834" s="7" t="inlineStr"/>
      <c r="W834" s="7" t="inlineStr"/>
      <c r="X834" s="7" t="inlineStr">
        <is>
          <t>MEDIÇÃO CONCLUÍDA</t>
        </is>
      </c>
      <c r="Y834" s="11">
        <f>IF(AND(L834&lt;&gt;"", S834&lt;&gt;""), S834-L834, IF(L834&lt;&gt;"", TODAY()-L834, ""))</f>
        <v/>
      </c>
      <c r="Z834" s="7">
        <f>IF(Y834="", "", IF(Y834&lt;=3, "NO PRAZO", "ATRASADO"))</f>
        <v/>
      </c>
      <c r="AA834" s="8" t="inlineStr"/>
    </row>
    <row r="835" ht="20" customHeight="1">
      <c r="A835" s="7" t="inlineStr">
        <is>
          <t>RSCLER0830</t>
        </is>
      </c>
      <c r="B835" s="8" t="inlineStr">
        <is>
          <t>PORTO ALEGRE</t>
        </is>
      </c>
      <c r="C835" s="7" t="inlineStr">
        <is>
          <t>PRTAB</t>
        </is>
      </c>
      <c r="D835" s="7" t="inlineStr">
        <is>
          <t>PRTALB</t>
        </is>
      </c>
      <c r="E835" s="7" t="inlineStr">
        <is>
          <t>RSPLE21</t>
        </is>
      </c>
      <c r="F835" s="8" t="inlineStr"/>
      <c r="G835" s="8" t="inlineStr">
        <is>
          <t>R DELFINO RIET 610</t>
        </is>
      </c>
      <c r="H835" s="7" t="inlineStr">
        <is>
          <t>PRTAB.091.M020</t>
        </is>
      </c>
      <c r="I835" s="8" t="inlineStr">
        <is>
          <t>FOI LANÇADO 391 METROS DE CABO DE 24FO E 534 METROS DE CABO DE 12FO, 5 ABERTURA E FECHAMENTO, 5 CX NOVA, 1 NAP NOVA, 1 DERIVAÇÃO, 36 FUSÕES,3 TESTES</t>
        </is>
      </c>
      <c r="J835" s="8" t="inlineStr">
        <is>
          <t>AUGUSTO</t>
        </is>
      </c>
      <c r="K835" s="8" t="inlineStr">
        <is>
          <t>AUGUSTO</t>
        </is>
      </c>
      <c r="L835" s="9" t="n">
        <v>46126</v>
      </c>
      <c r="M835" s="7" t="inlineStr"/>
      <c r="N835" s="7" t="inlineStr"/>
      <c r="O835" s="9" t="n">
        <v>46134</v>
      </c>
      <c r="P835" s="9" t="n">
        <v>46246</v>
      </c>
      <c r="Q835" s="9" t="n">
        <v>46246</v>
      </c>
      <c r="R835" s="7" t="inlineStr">
        <is>
          <t>Concluído Campo</t>
        </is>
      </c>
      <c r="S835" s="7" t="inlineStr"/>
      <c r="T835" s="10" t="inlineStr"/>
      <c r="U835" s="7" t="inlineStr"/>
      <c r="V835" s="7" t="inlineStr"/>
      <c r="W835" s="7" t="inlineStr"/>
      <c r="X835" s="7" t="inlineStr">
        <is>
          <t>AG. MEDIÇÃO</t>
        </is>
      </c>
      <c r="Y835" s="11">
        <f>IF(AND(L835&lt;&gt;"", S835&lt;&gt;""), S835-L835, IF(L835&lt;&gt;"", TODAY()-L835, ""))</f>
        <v/>
      </c>
      <c r="Z835" s="7">
        <f>IF(Y835="", "", IF(Y835&lt;=3, "NO PRAZO", "ATRASADO"))</f>
        <v/>
      </c>
      <c r="AA835" s="8" t="inlineStr"/>
    </row>
    <row r="836" ht="20" customHeight="1">
      <c r="A836" s="7" t="inlineStr">
        <is>
          <t>RSCLER0831</t>
        </is>
      </c>
      <c r="B836" s="8" t="inlineStr">
        <is>
          <t>PORTO ALEGRE</t>
        </is>
      </c>
      <c r="C836" s="7" t="inlineStr">
        <is>
          <t>RBTAB</t>
        </is>
      </c>
      <c r="D836" s="7" t="inlineStr"/>
      <c r="E836" s="7" t="inlineStr"/>
      <c r="F836" s="8" t="inlineStr"/>
      <c r="G836" s="8" t="inlineStr">
        <is>
          <t>AV. BALTAZAR DE OLIVEIRA GARCIA 3711</t>
        </is>
      </c>
      <c r="H836" s="7" t="inlineStr">
        <is>
          <t>RBTAB.014.M030</t>
        </is>
      </c>
      <c r="I836" s="8" t="inlineStr">
        <is>
          <t>2 ABERTURA E FECHAMENTO, 1 FUSÕES, 1 TESTE</t>
        </is>
      </c>
      <c r="J836" s="8" t="inlineStr"/>
      <c r="K836" s="8" t="inlineStr">
        <is>
          <t>CATIA</t>
        </is>
      </c>
      <c r="L836" s="9" t="n">
        <v>46134</v>
      </c>
      <c r="M836" s="7" t="inlineStr"/>
      <c r="N836" s="7" t="inlineStr"/>
      <c r="O836" s="9" t="n">
        <v>46138</v>
      </c>
      <c r="P836" s="9" t="n">
        <v>46156</v>
      </c>
      <c r="Q836" s="9" t="n">
        <v>46156</v>
      </c>
      <c r="R836" s="7" t="inlineStr">
        <is>
          <t>Concluído Campo</t>
        </is>
      </c>
      <c r="S836" s="9" t="n">
        <v>46138</v>
      </c>
      <c r="T836" s="10" t="inlineStr"/>
      <c r="U836" s="7" t="inlineStr"/>
      <c r="V836" s="7" t="inlineStr"/>
      <c r="W836" s="7" t="inlineStr"/>
      <c r="X836" s="7" t="inlineStr">
        <is>
          <t>MEDIÇÃO CONCLUÍDA</t>
        </is>
      </c>
      <c r="Y836" s="11">
        <f>IF(AND(L836&lt;&gt;"", S836&lt;&gt;""), S836-L836, IF(L836&lt;&gt;"", TODAY()-L836, ""))</f>
        <v/>
      </c>
      <c r="Z836" s="7">
        <f>IF(Y836="", "", IF(Y836&lt;=3, "NO PRAZO", "ATRASADO"))</f>
        <v/>
      </c>
      <c r="AA836" s="8" t="inlineStr"/>
    </row>
    <row r="837" ht="20" customHeight="1">
      <c r="A837" s="7" t="inlineStr">
        <is>
          <t>RSCLER0832</t>
        </is>
      </c>
      <c r="B837" s="8" t="inlineStr">
        <is>
          <t>PORTO ALEGRE</t>
        </is>
      </c>
      <c r="C837" s="7" t="inlineStr">
        <is>
          <t>RBTAB</t>
        </is>
      </c>
      <c r="D837" s="7" t="inlineStr"/>
      <c r="E837" s="7" t="inlineStr"/>
      <c r="F837" s="8" t="inlineStr">
        <is>
          <t>Cond. Praia Areia Preta</t>
        </is>
      </c>
      <c r="G837" s="8" t="inlineStr">
        <is>
          <t>AV. BALTAZAR DE OLIVEIRA GARCIA 3447 E 3457</t>
        </is>
      </c>
      <c r="H837" s="7" t="inlineStr">
        <is>
          <t>RBTAB.013.M010</t>
        </is>
      </c>
      <c r="I837" s="8" t="inlineStr">
        <is>
          <t>2  ABERTURA E FECHAMENTO, 3 FUSÕES, 2 TESTES, 1 TESTE OTDR</t>
        </is>
      </c>
      <c r="J837" s="8" t="inlineStr"/>
      <c r="K837" s="8" t="inlineStr">
        <is>
          <t>CATIA</t>
        </is>
      </c>
      <c r="L837" s="9" t="n">
        <v>46134</v>
      </c>
      <c r="M837" s="7" t="inlineStr"/>
      <c r="N837" s="7" t="inlineStr"/>
      <c r="O837" s="9" t="n">
        <v>46138</v>
      </c>
      <c r="P837" s="9" t="n">
        <v>46156</v>
      </c>
      <c r="Q837" s="9" t="n">
        <v>46156</v>
      </c>
      <c r="R837" s="7" t="inlineStr">
        <is>
          <t>Concluído Campo</t>
        </is>
      </c>
      <c r="S837" s="9" t="n">
        <v>46138</v>
      </c>
      <c r="T837" s="10" t="inlineStr"/>
      <c r="U837" s="7" t="inlineStr">
        <is>
          <t>5514741</t>
        </is>
      </c>
      <c r="V837" s="7" t="inlineStr">
        <is>
          <t>FINALIZADO</t>
        </is>
      </c>
      <c r="W837" s="7" t="inlineStr"/>
      <c r="X837" s="7" t="inlineStr">
        <is>
          <t>MEDIÇÃO CONCLUÍDA</t>
        </is>
      </c>
      <c r="Y837" s="11">
        <f>IF(AND(L837&lt;&gt;"", S837&lt;&gt;""), S837-L837, IF(L837&lt;&gt;"", TODAY()-L837, ""))</f>
        <v/>
      </c>
      <c r="Z837" s="7">
        <f>IF(Y837="", "", IF(Y837&lt;=3, "NO PRAZO", "ATRASADO"))</f>
        <v/>
      </c>
      <c r="AA837" s="8" t="inlineStr"/>
    </row>
    <row r="838" ht="20" customHeight="1">
      <c r="A838" s="7" t="inlineStr">
        <is>
          <t>RSCLER0833</t>
        </is>
      </c>
      <c r="B838" s="8" t="inlineStr">
        <is>
          <t>PORTO ALEGRE</t>
        </is>
      </c>
      <c r="C838" s="7" t="inlineStr">
        <is>
          <t>HPCAA</t>
        </is>
      </c>
      <c r="D838" s="7" t="inlineStr"/>
      <c r="E838" s="7" t="inlineStr">
        <is>
          <t>RSPSU90</t>
        </is>
      </c>
      <c r="F838" s="8" t="inlineStr">
        <is>
          <t>Cond Res Das Espatódeas</t>
        </is>
      </c>
      <c r="G838" s="8" t="inlineStr">
        <is>
          <t>R. das Espatódeas, 170</t>
        </is>
      </c>
      <c r="H838" s="7" t="inlineStr">
        <is>
          <t>HPCAA.212</t>
        </is>
      </c>
      <c r="I838" s="8" t="inlineStr">
        <is>
          <t>FOI LANÇADO 1705 METROS DE CABO DE 12FO E 99 METROS DE CABO DE 24FO, 600 METROS DE CORDOALHA, 4 ABERTURA E FECHAMENTO, 1 CX NOVA, 12 NAP NOVA, 2 DERIVAÇÃO, 59 FUSÕES, 54 TESTES.</t>
        </is>
      </c>
      <c r="J838" s="8" t="inlineStr">
        <is>
          <t>ADRIANO</t>
        </is>
      </c>
      <c r="K838" s="8" t="inlineStr">
        <is>
          <t>AFONSO</t>
        </is>
      </c>
      <c r="L838" s="9" t="n">
        <v>46127</v>
      </c>
      <c r="M838" s="7" t="inlineStr"/>
      <c r="N838" s="7" t="inlineStr"/>
      <c r="O838" s="9" t="n">
        <v>46130</v>
      </c>
      <c r="P838" s="9" t="n">
        <v>46246</v>
      </c>
      <c r="Q838" s="9" t="n">
        <v>46246</v>
      </c>
      <c r="R838" s="7" t="inlineStr">
        <is>
          <t>Concluído Campo</t>
        </is>
      </c>
      <c r="S838" s="7" t="inlineStr"/>
      <c r="T838" s="10" t="inlineStr"/>
      <c r="U838" s="7" t="inlineStr"/>
      <c r="V838" s="7" t="inlineStr"/>
      <c r="W838" s="7" t="inlineStr"/>
      <c r="X838" s="7" t="inlineStr">
        <is>
          <t>AG. MEDIÇÃO</t>
        </is>
      </c>
      <c r="Y838" s="11">
        <f>IF(AND(L838&lt;&gt;"", S838&lt;&gt;""), S838-L838, IF(L838&lt;&gt;"", TODAY()-L838, ""))</f>
        <v/>
      </c>
      <c r="Z838" s="7">
        <f>IF(Y838="", "", IF(Y838&lt;=3, "NO PRAZO", "ATRASADO"))</f>
        <v/>
      </c>
      <c r="AA838" s="8" t="inlineStr"/>
    </row>
    <row r="839" ht="20" customHeight="1">
      <c r="A839" s="7" t="inlineStr">
        <is>
          <t>RSCLER0834</t>
        </is>
      </c>
      <c r="B839" s="8" t="inlineStr">
        <is>
          <t>PORTO ALEGRE</t>
        </is>
      </c>
      <c r="C839" s="7" t="inlineStr">
        <is>
          <t>NAVAA</t>
        </is>
      </c>
      <c r="D839" s="7" t="inlineStr"/>
      <c r="E839" s="7" t="inlineStr"/>
      <c r="F839" s="8" t="inlineStr"/>
      <c r="G839" s="8" t="inlineStr">
        <is>
          <t>R CARLOS VON KOSERITZ 334</t>
        </is>
      </c>
      <c r="H839" s="7" t="inlineStr">
        <is>
          <t>NAVAA.034.M020</t>
        </is>
      </c>
      <c r="I839" s="8" t="inlineStr">
        <is>
          <t>2 ABERTURA E FECHAMENTO, 1 FUSÃO, 1 TESTE</t>
        </is>
      </c>
      <c r="J839" s="8" t="inlineStr"/>
      <c r="K839" s="8" t="inlineStr">
        <is>
          <t>CATIA</t>
        </is>
      </c>
      <c r="L839" s="9" t="n">
        <v>46135</v>
      </c>
      <c r="M839" s="7" t="inlineStr"/>
      <c r="N839" s="7" t="inlineStr"/>
      <c r="O839" s="9" t="n">
        <v>46138</v>
      </c>
      <c r="P839" s="9" t="n">
        <v>46157</v>
      </c>
      <c r="Q839" s="9" t="n">
        <v>46157</v>
      </c>
      <c r="R839" s="7" t="inlineStr">
        <is>
          <t>Concluído Campo</t>
        </is>
      </c>
      <c r="S839" s="9" t="n">
        <v>46138</v>
      </c>
      <c r="T839" s="10" t="inlineStr"/>
      <c r="U839" s="7" t="inlineStr"/>
      <c r="V839" s="7" t="inlineStr"/>
      <c r="W839" s="7" t="inlineStr"/>
      <c r="X839" s="7" t="inlineStr">
        <is>
          <t>MEDIÇÃO CONCLUÍDA</t>
        </is>
      </c>
      <c r="Y839" s="11">
        <f>IF(AND(L839&lt;&gt;"", S839&lt;&gt;""), S839-L839, IF(L839&lt;&gt;"", TODAY()-L839, ""))</f>
        <v/>
      </c>
      <c r="Z839" s="7">
        <f>IF(Y839="", "", IF(Y839&lt;=3, "NO PRAZO", "ATRASADO"))</f>
        <v/>
      </c>
      <c r="AA839" s="8" t="inlineStr"/>
    </row>
    <row r="840" ht="20" customHeight="1">
      <c r="A840" s="7" t="inlineStr">
        <is>
          <t>RSCLER0835</t>
        </is>
      </c>
      <c r="B840" s="8" t="inlineStr">
        <is>
          <t>PORTO ALEGRE</t>
        </is>
      </c>
      <c r="C840" s="7" t="inlineStr">
        <is>
          <t>JBOAA</t>
        </is>
      </c>
      <c r="D840" s="7" t="inlineStr">
        <is>
          <t>PETAE</t>
        </is>
      </c>
      <c r="E840" s="7" t="inlineStr">
        <is>
          <t>RSPLE18</t>
        </is>
      </c>
      <c r="F840" s="8" t="inlineStr"/>
      <c r="G840" s="8" t="inlineStr">
        <is>
          <t>R ITABORAI 154</t>
        </is>
      </c>
      <c r="H840" s="7" t="inlineStr">
        <is>
          <t>JBOAA.102.M020</t>
        </is>
      </c>
      <c r="I840" s="8" t="inlineStr">
        <is>
          <t>2 ABERTURA E FECHAMENTO, 1 FUSÕES, 1 TESTE</t>
        </is>
      </c>
      <c r="J840" s="8" t="inlineStr"/>
      <c r="K840" s="8" t="inlineStr">
        <is>
          <t>CLEVERSON</t>
        </is>
      </c>
      <c r="L840" s="9" t="n">
        <v>46136</v>
      </c>
      <c r="M840" s="7" t="inlineStr"/>
      <c r="N840" s="7" t="inlineStr"/>
      <c r="O840" s="9" t="n">
        <v>46137</v>
      </c>
      <c r="P840" s="9" t="n">
        <v>46147</v>
      </c>
      <c r="Q840" s="9" t="n">
        <v>46147</v>
      </c>
      <c r="R840" s="7" t="inlineStr">
        <is>
          <t>Concluído Campo</t>
        </is>
      </c>
      <c r="S840" s="9" t="n">
        <v>46136</v>
      </c>
      <c r="T840" s="10" t="inlineStr"/>
      <c r="U840" s="7" t="inlineStr">
        <is>
          <t>5497551</t>
        </is>
      </c>
      <c r="V840" s="7" t="inlineStr">
        <is>
          <t>FINALIZADO</t>
        </is>
      </c>
      <c r="W840" s="7" t="inlineStr"/>
      <c r="X840" s="7" t="inlineStr">
        <is>
          <t>MEDIÇÃO CONCLUÍDA</t>
        </is>
      </c>
      <c r="Y840" s="11">
        <f>IF(AND(L840&lt;&gt;"", S840&lt;&gt;""), S840-L840, IF(L840&lt;&gt;"", TODAY()-L840, ""))</f>
        <v/>
      </c>
      <c r="Z840" s="7">
        <f>IF(Y840="", "", IF(Y840&lt;=3, "NO PRAZO", "ATRASADO"))</f>
        <v/>
      </c>
      <c r="AA840" s="8" t="inlineStr"/>
    </row>
    <row r="841" ht="20" customHeight="1">
      <c r="A841" s="7" t="inlineStr">
        <is>
          <t>RSCLER0836</t>
        </is>
      </c>
      <c r="B841" s="8" t="inlineStr">
        <is>
          <t>PORTO ALEGRE</t>
        </is>
      </c>
      <c r="C841" s="7" t="inlineStr">
        <is>
          <t>RBTAB</t>
        </is>
      </c>
      <c r="D841" s="7" t="inlineStr">
        <is>
          <t>RBTAD</t>
        </is>
      </c>
      <c r="E841" s="7" t="inlineStr">
        <is>
          <t>RSPNO22</t>
        </is>
      </c>
      <c r="F841" s="8" t="inlineStr">
        <is>
          <t>Cond Praia dos Artistas</t>
        </is>
      </c>
      <c r="G841" s="8" t="inlineStr">
        <is>
          <t>R CARLOS ESTEVÃO 620</t>
        </is>
      </c>
      <c r="H841" s="7" t="inlineStr">
        <is>
          <t>RBTAB.034.M020</t>
        </is>
      </c>
      <c r="I841" s="8" t="inlineStr">
        <is>
          <t>3 ABERTURA E FECHAMENTO, 8 FUSÕES, 5 TESTES, 1 TESTE OTDR</t>
        </is>
      </c>
      <c r="J841" s="8" t="inlineStr"/>
      <c r="K841" s="8" t="inlineStr">
        <is>
          <t>CATIA</t>
        </is>
      </c>
      <c r="L841" s="9" t="n">
        <v>46136</v>
      </c>
      <c r="M841" s="7" t="inlineStr"/>
      <c r="N841" s="7" t="inlineStr"/>
      <c r="O841" s="9" t="n">
        <v>46139</v>
      </c>
      <c r="P841" s="9" t="n">
        <v>46161</v>
      </c>
      <c r="Q841" s="9" t="n">
        <v>46161</v>
      </c>
      <c r="R841" s="7" t="inlineStr">
        <is>
          <t>Concluído Campo</t>
        </is>
      </c>
      <c r="S841" s="9" t="n">
        <v>46139</v>
      </c>
      <c r="T841" s="10" t="inlineStr"/>
      <c r="U841" s="7" t="inlineStr">
        <is>
          <t>5536131</t>
        </is>
      </c>
      <c r="V841" s="7" t="inlineStr">
        <is>
          <t>FINALIZADO</t>
        </is>
      </c>
      <c r="W841" s="7" t="inlineStr"/>
      <c r="X841" s="7" t="inlineStr">
        <is>
          <t>MEDIÇÃO CONCLUÍDA</t>
        </is>
      </c>
      <c r="Y841" s="11">
        <f>IF(AND(L841&lt;&gt;"", S841&lt;&gt;""), S841-L841, IF(L841&lt;&gt;"", TODAY()-L841, ""))</f>
        <v/>
      </c>
      <c r="Z841" s="7">
        <f>IF(Y841="", "", IF(Y841&lt;=3, "NO PRAZO", "ATRASADO"))</f>
        <v/>
      </c>
      <c r="AA841" s="8" t="inlineStr"/>
    </row>
    <row r="842" ht="20" customHeight="1">
      <c r="A842" s="7" t="inlineStr">
        <is>
          <t>RSCLER0837</t>
        </is>
      </c>
      <c r="B842" s="8" t="inlineStr">
        <is>
          <t>PORTO ALEGRE</t>
        </is>
      </c>
      <c r="C842" s="7" t="inlineStr">
        <is>
          <t>RBTAB</t>
        </is>
      </c>
      <c r="D842" s="7" t="inlineStr">
        <is>
          <t>RBTAE</t>
        </is>
      </c>
      <c r="E842" s="7" t="inlineStr">
        <is>
          <t>RSPNO22</t>
        </is>
      </c>
      <c r="F842" s="8" t="inlineStr"/>
      <c r="G842" s="8" t="inlineStr">
        <is>
          <t>Av. Baltazar de Oliveira Garcia, nº 3221, 3219 e 3275 / Rua Doutor Romaguera da Cunha Corrêa, nº 85 e 35</t>
        </is>
      </c>
      <c r="H842" s="7" t="inlineStr">
        <is>
          <t>RBTAB.011.M010</t>
        </is>
      </c>
      <c r="I842" s="8" t="inlineStr">
        <is>
          <t>FOI LANÇADO 91 METROS DE CABO DE 24FO, 5 ABERTURA E FECHAMENTO, 2 DERIVAÇÕES, 30 FUSÕES, 3 TESTES OTDR E 20 TESTES</t>
        </is>
      </c>
      <c r="J842" s="8" t="inlineStr">
        <is>
          <t>CATIA</t>
        </is>
      </c>
      <c r="K842" s="8" t="inlineStr">
        <is>
          <t>CATIA</t>
        </is>
      </c>
      <c r="L842" s="9" t="n">
        <v>46120</v>
      </c>
      <c r="M842" s="7" t="inlineStr"/>
      <c r="N842" s="7" t="inlineStr"/>
      <c r="O842" s="9" t="n">
        <v>46122</v>
      </c>
      <c r="P842" s="9" t="n">
        <v>46202</v>
      </c>
      <c r="Q842" s="9" t="n">
        <v>46202</v>
      </c>
      <c r="R842" s="7" t="inlineStr">
        <is>
          <t>Concluído Campo</t>
        </is>
      </c>
      <c r="S842" s="9" t="n">
        <v>46122</v>
      </c>
      <c r="T842" s="10" t="inlineStr"/>
      <c r="U842" s="7" t="inlineStr">
        <is>
          <t>5514886</t>
        </is>
      </c>
      <c r="V842" s="7" t="inlineStr">
        <is>
          <t>FINALIZADO</t>
        </is>
      </c>
      <c r="W842" s="7" t="inlineStr"/>
      <c r="X842" s="7" t="inlineStr">
        <is>
          <t>MEDIÇÃO CONCLUÍDA</t>
        </is>
      </c>
      <c r="Y842" s="11">
        <f>IF(AND(L842&lt;&gt;"", S842&lt;&gt;""), S842-L842, IF(L842&lt;&gt;"", TODAY()-L842, ""))</f>
        <v/>
      </c>
      <c r="Z842" s="7">
        <f>IF(Y842="", "", IF(Y842&lt;=3, "NO PRAZO", "ATRASADO"))</f>
        <v/>
      </c>
      <c r="AA842" s="8" t="inlineStr"/>
    </row>
    <row r="843" ht="20" customHeight="1">
      <c r="A843" s="7" t="inlineStr">
        <is>
          <t>RSCLER0838</t>
        </is>
      </c>
      <c r="B843" s="8" t="inlineStr">
        <is>
          <t>PORTO ALEGRE</t>
        </is>
      </c>
      <c r="C843" s="7" t="inlineStr">
        <is>
          <t>TRZAA</t>
        </is>
      </c>
      <c r="D843" s="7" t="inlineStr">
        <is>
          <t>TRZAM</t>
        </is>
      </c>
      <c r="E843" s="7" t="inlineStr">
        <is>
          <t>RSPSU11</t>
        </is>
      </c>
      <c r="F843" s="8" t="inlineStr">
        <is>
          <t>(COND COMODORO)</t>
        </is>
      </c>
      <c r="G843" s="8" t="inlineStr">
        <is>
          <t>R DR ARMANDO BARBEDO 876</t>
        </is>
      </c>
      <c r="H843" s="7" t="inlineStr">
        <is>
          <t>TRZAA.113.M010</t>
        </is>
      </c>
      <c r="I843" s="8" t="inlineStr">
        <is>
          <t>4 ABERTURA E FECHAMENTO, 11 FUSÕES, 5 TETSTES, 3 TESTES OTDR.</t>
        </is>
      </c>
      <c r="J843" s="8" t="inlineStr"/>
      <c r="K843" s="8" t="inlineStr">
        <is>
          <t>CATIA</t>
        </is>
      </c>
      <c r="L843" s="9" t="n">
        <v>46137</v>
      </c>
      <c r="M843" s="7" t="inlineStr"/>
      <c r="N843" s="7" t="inlineStr"/>
      <c r="O843" s="9" t="n">
        <v>46140</v>
      </c>
      <c r="P843" s="9" t="n">
        <v>46209</v>
      </c>
      <c r="Q843" s="9" t="n">
        <v>46209</v>
      </c>
      <c r="R843" s="7" t="inlineStr">
        <is>
          <t>Concluído Campo</t>
        </is>
      </c>
      <c r="S843" s="7" t="inlineStr"/>
      <c r="T843" s="10" t="inlineStr"/>
      <c r="U843" s="7" t="inlineStr"/>
      <c r="V843" s="7" t="inlineStr"/>
      <c r="W843" s="7" t="inlineStr"/>
      <c r="X843" s="7" t="inlineStr">
        <is>
          <t>AG. MEDIÇÃO</t>
        </is>
      </c>
      <c r="Y843" s="11">
        <f>IF(AND(L843&lt;&gt;"", S843&lt;&gt;""), S843-L843, IF(L843&lt;&gt;"", TODAY()-L843, ""))</f>
        <v/>
      </c>
      <c r="Z843" s="7">
        <f>IF(Y843="", "", IF(Y843&lt;=3, "NO PRAZO", "ATRASADO"))</f>
        <v/>
      </c>
      <c r="AA843" s="8" t="inlineStr"/>
    </row>
    <row r="844" ht="20" customHeight="1">
      <c r="A844" s="7" t="inlineStr">
        <is>
          <t>RSCLER0839</t>
        </is>
      </c>
      <c r="B844" s="8" t="inlineStr">
        <is>
          <t>IVOTI</t>
        </is>
      </c>
      <c r="C844" s="7" t="inlineStr">
        <is>
          <t>VGR</t>
        </is>
      </c>
      <c r="D844" s="7" t="inlineStr"/>
      <c r="E844" s="7" t="inlineStr">
        <is>
          <t>RSIVI01</t>
        </is>
      </c>
      <c r="F844" s="8" t="inlineStr">
        <is>
          <t>OESA COMERCIO E REPRESENTACOES S A</t>
        </is>
      </c>
      <c r="G844" s="8" t="inlineStr">
        <is>
          <t>AV BOM JARDIM, 2772</t>
        </is>
      </c>
      <c r="H844" s="7" t="inlineStr">
        <is>
          <t>VGR.008.05.02</t>
        </is>
      </c>
      <c r="I844" s="8" t="inlineStr">
        <is>
          <t>FOI LANÇADO 171 METROS DE CABO DE 24FO, 1 ABERTURA E FECHAMENTO, 1 NAP NOVA, 2 FUSÕES, 1 TESTE.</t>
        </is>
      </c>
      <c r="J844" s="8" t="inlineStr"/>
      <c r="K844" s="8" t="inlineStr">
        <is>
          <t>AIRTON</t>
        </is>
      </c>
      <c r="L844" s="9" t="n">
        <v>46136</v>
      </c>
      <c r="M844" s="7" t="inlineStr"/>
      <c r="N844" s="7" t="inlineStr"/>
      <c r="O844" s="9" t="n">
        <v>46139</v>
      </c>
      <c r="P844" s="9" t="n">
        <v>46241</v>
      </c>
      <c r="Q844" s="9" t="n">
        <v>46241</v>
      </c>
      <c r="R844" s="7" t="inlineStr">
        <is>
          <t>Concluído Campo</t>
        </is>
      </c>
      <c r="S844" s="7" t="inlineStr"/>
      <c r="T844" s="10" t="inlineStr"/>
      <c r="U844" s="7" t="inlineStr"/>
      <c r="V844" s="7" t="inlineStr"/>
      <c r="W844" s="7" t="inlineStr"/>
      <c r="X844" s="7" t="inlineStr">
        <is>
          <t>AG. MEDIÇÃO</t>
        </is>
      </c>
      <c r="Y844" s="11">
        <f>IF(AND(L844&lt;&gt;"", S844&lt;&gt;""), S844-L844, IF(L844&lt;&gt;"", TODAY()-L844, ""))</f>
        <v/>
      </c>
      <c r="Z844" s="7">
        <f>IF(Y844="", "", IF(Y844&lt;=3, "NO PRAZO", "ATRASADO"))</f>
        <v/>
      </c>
      <c r="AA844" s="8" t="inlineStr"/>
    </row>
    <row r="845" ht="20" customHeight="1">
      <c r="A845" s="7" t="inlineStr">
        <is>
          <t>RSCLER0840</t>
        </is>
      </c>
      <c r="B845" s="8" t="inlineStr">
        <is>
          <t>PORTO ALEGRE</t>
        </is>
      </c>
      <c r="C845" s="7" t="inlineStr">
        <is>
          <t>SRDAA</t>
        </is>
      </c>
      <c r="D845" s="7" t="inlineStr"/>
      <c r="E845" s="7" t="inlineStr">
        <is>
          <t>RSPNO08</t>
        </is>
      </c>
      <c r="F845" s="8" t="inlineStr">
        <is>
          <t>PAMPAS I</t>
        </is>
      </c>
      <c r="G845" s="8" t="inlineStr">
        <is>
          <t>AV SOUZA MELO 1084</t>
        </is>
      </c>
      <c r="H845" s="7" t="inlineStr">
        <is>
          <t>SRDAA.085.M020</t>
        </is>
      </c>
      <c r="I845" s="8" t="inlineStr">
        <is>
          <t>2 ABERTURA E FECHAMENTO, 11 FUSÕES, 2 TESTES OTDR, 1 DERIVAÇÃO</t>
        </is>
      </c>
      <c r="J845" s="8" t="inlineStr"/>
      <c r="K845" s="8" t="inlineStr">
        <is>
          <t>CATIA</t>
        </is>
      </c>
      <c r="L845" s="9" t="n">
        <v>46129</v>
      </c>
      <c r="M845" s="7" t="inlineStr"/>
      <c r="N845" s="7" t="inlineStr"/>
      <c r="O845" s="9" t="n">
        <v>46134</v>
      </c>
      <c r="P845" s="9" t="n">
        <v>46163</v>
      </c>
      <c r="Q845" s="9" t="n">
        <v>46163</v>
      </c>
      <c r="R845" s="7" t="inlineStr">
        <is>
          <t>Concluído Campo</t>
        </is>
      </c>
      <c r="S845" s="9" t="n">
        <v>46134</v>
      </c>
      <c r="T845" s="10" t="inlineStr"/>
      <c r="U845" s="7" t="inlineStr">
        <is>
          <t>5536196</t>
        </is>
      </c>
      <c r="V845" s="7" t="inlineStr">
        <is>
          <t>FINALIZADO</t>
        </is>
      </c>
      <c r="W845" s="7" t="inlineStr"/>
      <c r="X845" s="7" t="inlineStr">
        <is>
          <t>MEDIÇÃO CONCLUÍDA</t>
        </is>
      </c>
      <c r="Y845" s="11">
        <f>IF(AND(L845&lt;&gt;"", S845&lt;&gt;""), S845-L845, IF(L845&lt;&gt;"", TODAY()-L845, ""))</f>
        <v/>
      </c>
      <c r="Z845" s="7">
        <f>IF(Y845="", "", IF(Y845&lt;=3, "NO PRAZO", "ATRASADO"))</f>
        <v/>
      </c>
      <c r="AA845" s="8" t="inlineStr"/>
    </row>
    <row r="846" ht="20" customHeight="1">
      <c r="A846" s="7" t="inlineStr">
        <is>
          <t>RSCLER0841</t>
        </is>
      </c>
      <c r="B846" s="8" t="inlineStr">
        <is>
          <t>PORTO ALEGRE</t>
        </is>
      </c>
      <c r="C846" s="7" t="inlineStr">
        <is>
          <t>JITAB</t>
        </is>
      </c>
      <c r="D846" s="7" t="inlineStr">
        <is>
          <t>JITAIA</t>
        </is>
      </c>
      <c r="E846" s="7" t="inlineStr">
        <is>
          <t>RSPNO75</t>
        </is>
      </c>
      <c r="F846" s="8" t="inlineStr"/>
      <c r="G846" s="8" t="inlineStr">
        <is>
          <t>R JOAQUIM G. DE CAMPOS NETTO 91</t>
        </is>
      </c>
      <c r="H846" s="7" t="inlineStr">
        <is>
          <t>JITAB.153.M070</t>
        </is>
      </c>
      <c r="I846" s="8" t="inlineStr">
        <is>
          <t>FOI LANÇADO 154 METROS DE CABO DE 24FO, 4 ABERTURA E FECHAMENTO, 4 FUSÕES, 2 DERIVAÇÕES, 1 TESTES</t>
        </is>
      </c>
      <c r="J846" s="8" t="inlineStr">
        <is>
          <t>AFONSO</t>
        </is>
      </c>
      <c r="K846" s="8" t="inlineStr">
        <is>
          <t>AFONSO</t>
        </is>
      </c>
      <c r="L846" s="9" t="n">
        <v>46139</v>
      </c>
      <c r="M846" s="9" t="n">
        <v>46140</v>
      </c>
      <c r="N846" s="9" t="n">
        <v>46142</v>
      </c>
      <c r="O846" s="9" t="n">
        <v>46142</v>
      </c>
      <c r="P846" s="9" t="n">
        <v>46191</v>
      </c>
      <c r="Q846" s="9" t="n">
        <v>46191</v>
      </c>
      <c r="R846" s="7" t="inlineStr">
        <is>
          <t>Concluído Campo</t>
        </is>
      </c>
      <c r="S846" s="9" t="n">
        <v>46233</v>
      </c>
      <c r="T846" s="10" t="inlineStr"/>
      <c r="U846" s="7" t="inlineStr">
        <is>
          <t>5588116</t>
        </is>
      </c>
      <c r="V846" s="7" t="inlineStr">
        <is>
          <t>FINALIZADO</t>
        </is>
      </c>
      <c r="W846" s="7" t="inlineStr"/>
      <c r="X846" s="7" t="inlineStr">
        <is>
          <t>MEDIÇÃO CONCLUÍDA</t>
        </is>
      </c>
      <c r="Y846" s="11">
        <f>IF(AND(L846&lt;&gt;"", S846&lt;&gt;""), S846-L846, IF(L846&lt;&gt;"", TODAY()-L846, ""))</f>
        <v/>
      </c>
      <c r="Z846" s="7">
        <f>IF(Y846="", "", IF(Y846&lt;=3, "NO PRAZO", "ATRASADO"))</f>
        <v/>
      </c>
      <c r="AA846" s="8" t="inlineStr"/>
    </row>
    <row r="847" ht="20" customHeight="1">
      <c r="A847" s="7" t="inlineStr">
        <is>
          <t>RSCLER0842</t>
        </is>
      </c>
      <c r="B847" s="8" t="inlineStr">
        <is>
          <t>PORTO ALEGRE</t>
        </is>
      </c>
      <c r="C847" s="7" t="inlineStr">
        <is>
          <t>FLOAA</t>
        </is>
      </c>
      <c r="D847" s="7" t="inlineStr"/>
      <c r="E847" s="7" t="inlineStr"/>
      <c r="F847" s="8" t="inlineStr"/>
      <c r="G847" s="8" t="inlineStr">
        <is>
          <t>AV CRISTOVÃO COLOMBO 2144</t>
        </is>
      </c>
      <c r="H847" s="7" t="inlineStr">
        <is>
          <t>FLOAA.034.M020</t>
        </is>
      </c>
      <c r="I847" s="8" t="inlineStr">
        <is>
          <t>4 ABERTURA E FECHAMENTO, 7 FUSÕES, 4 TESTES</t>
        </is>
      </c>
      <c r="J847" s="8" t="inlineStr"/>
      <c r="K847" s="8" t="inlineStr">
        <is>
          <t>AFONSO</t>
        </is>
      </c>
      <c r="L847" s="9" t="n">
        <v>46140</v>
      </c>
      <c r="M847" s="7" t="inlineStr"/>
      <c r="N847" s="7" t="inlineStr"/>
      <c r="O847" s="9" t="n">
        <v>46140</v>
      </c>
      <c r="P847" s="9" t="n">
        <v>46161</v>
      </c>
      <c r="Q847" s="9" t="n">
        <v>46161</v>
      </c>
      <c r="R847" s="7" t="inlineStr">
        <is>
          <t>Concluído Campo</t>
        </is>
      </c>
      <c r="S847" s="9" t="n">
        <v>46140</v>
      </c>
      <c r="T847" s="10" t="inlineStr"/>
      <c r="U847" s="7" t="inlineStr"/>
      <c r="V847" s="7" t="inlineStr"/>
      <c r="W847" s="7" t="inlineStr"/>
      <c r="X847" s="7" t="inlineStr">
        <is>
          <t>MEDIÇÃO CONCLUÍDA</t>
        </is>
      </c>
      <c r="Y847" s="11">
        <f>IF(AND(L847&lt;&gt;"", S847&lt;&gt;""), S847-L847, IF(L847&lt;&gt;"", TODAY()-L847, ""))</f>
        <v/>
      </c>
      <c r="Z847" s="7">
        <f>IF(Y847="", "", IF(Y847&lt;=3, "NO PRAZO", "ATRASADO"))</f>
        <v/>
      </c>
      <c r="AA847" s="8" t="inlineStr"/>
    </row>
    <row r="848" ht="20" customHeight="1">
      <c r="A848" s="7" t="inlineStr">
        <is>
          <t>RSCLER0843</t>
        </is>
      </c>
      <c r="B848" s="8" t="inlineStr">
        <is>
          <t>PORTO ALEGRE</t>
        </is>
      </c>
      <c r="C848" s="7" t="inlineStr">
        <is>
          <t>MNDAA</t>
        </is>
      </c>
      <c r="D848" s="7" t="inlineStr">
        <is>
          <t>MNDAF</t>
        </is>
      </c>
      <c r="E848" s="7" t="inlineStr">
        <is>
          <t>RSPCE41</t>
        </is>
      </c>
      <c r="F848" s="8" t="inlineStr">
        <is>
          <t>Edifício Visconde</t>
        </is>
      </c>
      <c r="G848" s="8" t="inlineStr">
        <is>
          <t>R VISC. DO HERVAL 533</t>
        </is>
      </c>
      <c r="H848" s="7" t="inlineStr">
        <is>
          <t>MNDAA.111.M020</t>
        </is>
      </c>
      <c r="I848" s="8" t="inlineStr">
        <is>
          <t>3 ABERTURA E FECHAMENTO, 7 FUSÕES, 2 TESTES, 1 TESTE OTDR</t>
        </is>
      </c>
      <c r="J848" s="8" t="inlineStr"/>
      <c r="K848" s="8" t="inlineStr">
        <is>
          <t>CATIA</t>
        </is>
      </c>
      <c r="L848" s="9" t="n">
        <v>46140</v>
      </c>
      <c r="M848" s="7" t="inlineStr"/>
      <c r="N848" s="7" t="inlineStr"/>
      <c r="O848" s="9" t="n">
        <v>46142</v>
      </c>
      <c r="P848" s="9" t="n">
        <v>46147</v>
      </c>
      <c r="Q848" s="9" t="n">
        <v>46147</v>
      </c>
      <c r="R848" s="7" t="inlineStr">
        <is>
          <t>Concluído Campo</t>
        </is>
      </c>
      <c r="S848" s="9" t="n">
        <v>46142</v>
      </c>
      <c r="T848" s="10" t="inlineStr"/>
      <c r="U848" s="7" t="inlineStr">
        <is>
          <t>5497857</t>
        </is>
      </c>
      <c r="V848" s="7" t="inlineStr">
        <is>
          <t>FINALIZADO</t>
        </is>
      </c>
      <c r="W848" s="7" t="inlineStr"/>
      <c r="X848" s="7" t="inlineStr">
        <is>
          <t>MEDIÇÃO CONCLUÍDA</t>
        </is>
      </c>
      <c r="Y848" s="11">
        <f>IF(AND(L848&lt;&gt;"", S848&lt;&gt;""), S848-L848, IF(L848&lt;&gt;"", TODAY()-L848, ""))</f>
        <v/>
      </c>
      <c r="Z848" s="7">
        <f>IF(Y848="", "", IF(Y848&lt;=3, "NO PRAZO", "ATRASADO"))</f>
        <v/>
      </c>
      <c r="AA848" s="8" t="inlineStr"/>
    </row>
    <row r="849" ht="20" customHeight="1">
      <c r="A849" s="7" t="inlineStr">
        <is>
          <t>RSCLER0844</t>
        </is>
      </c>
      <c r="B849" s="8" t="inlineStr">
        <is>
          <t>PORTO ALEGRE</t>
        </is>
      </c>
      <c r="C849" s="7" t="inlineStr">
        <is>
          <t>MTSAA</t>
        </is>
      </c>
      <c r="D849" s="7" t="inlineStr">
        <is>
          <t>MTSAA</t>
        </is>
      </c>
      <c r="E849" s="7" t="inlineStr">
        <is>
          <t>PAE BV</t>
        </is>
      </c>
      <c r="F849" s="8" t="inlineStr">
        <is>
          <t>Condomínio Edifício Leticia</t>
        </is>
      </c>
      <c r="G849" s="8" t="inlineStr">
        <is>
          <t>R. Felicissimo de Azevedo, 1225</t>
        </is>
      </c>
      <c r="H849" s="7" t="inlineStr">
        <is>
          <t>MTSAA.004.M020</t>
        </is>
      </c>
      <c r="I849" s="8" t="inlineStr">
        <is>
          <t>3 ABERTURA E FECHAMENTO, 2 FUSÕES, 1 TESTE</t>
        </is>
      </c>
      <c r="J849" s="8" t="inlineStr"/>
      <c r="K849" s="8" t="inlineStr">
        <is>
          <t>AFONSO</t>
        </is>
      </c>
      <c r="L849" s="9" t="n">
        <v>46141</v>
      </c>
      <c r="M849" s="7" t="inlineStr"/>
      <c r="N849" s="7" t="inlineStr"/>
      <c r="O849" s="9" t="n">
        <v>46142</v>
      </c>
      <c r="P849" s="9" t="n">
        <v>46147</v>
      </c>
      <c r="Q849" s="9" t="n">
        <v>46147</v>
      </c>
      <c r="R849" s="7" t="inlineStr">
        <is>
          <t>Concluído Campo</t>
        </is>
      </c>
      <c r="S849" s="9" t="n">
        <v>46142</v>
      </c>
      <c r="T849" s="10" t="inlineStr"/>
      <c r="U849" s="7" t="inlineStr">
        <is>
          <t>5497042</t>
        </is>
      </c>
      <c r="V849" s="7" t="inlineStr">
        <is>
          <t>FINALIZADO</t>
        </is>
      </c>
      <c r="W849" s="7" t="inlineStr"/>
      <c r="X849" s="7" t="inlineStr">
        <is>
          <t>MEDIÇÃO CONCLUÍDA</t>
        </is>
      </c>
      <c r="Y849" s="11">
        <f>IF(AND(L849&lt;&gt;"", S849&lt;&gt;""), S849-L849, IF(L849&lt;&gt;"", TODAY()-L849, ""))</f>
        <v/>
      </c>
      <c r="Z849" s="7">
        <f>IF(Y849="", "", IF(Y849&lt;=3, "NO PRAZO", "ATRASADO"))</f>
        <v/>
      </c>
      <c r="AA849" s="8" t="inlineStr"/>
    </row>
    <row r="850" ht="20" customHeight="1">
      <c r="A850" s="7" t="inlineStr">
        <is>
          <t>RSCLER0845</t>
        </is>
      </c>
      <c r="B850" s="8" t="inlineStr">
        <is>
          <t>PORTO ALEGRE</t>
        </is>
      </c>
      <c r="C850" s="7" t="inlineStr">
        <is>
          <t>PRTAA</t>
        </is>
      </c>
      <c r="D850" s="7" t="inlineStr"/>
      <c r="E850" s="7" t="inlineStr"/>
      <c r="F850" s="8" t="inlineStr">
        <is>
          <t>Cond. Jardim Guanabara</t>
        </is>
      </c>
      <c r="G850" s="8" t="inlineStr">
        <is>
          <t>R MARCONE 250</t>
        </is>
      </c>
      <c r="H850" s="7" t="inlineStr">
        <is>
          <t>PRTAA.051.M010</t>
        </is>
      </c>
      <c r="I850" s="8" t="inlineStr">
        <is>
          <t>FOI LANÇADO 313 METROS DE CABO DE 12FO, 2 ABERTURA E FECHAMENTO, 4 FUSÕES, 2 DERIVAÇÃO, 2 TESTES</t>
        </is>
      </c>
      <c r="J850" s="8" t="inlineStr"/>
      <c r="K850" s="8" t="inlineStr">
        <is>
          <t>AFONSO</t>
        </is>
      </c>
      <c r="L850" s="9" t="n">
        <v>46142</v>
      </c>
      <c r="M850" s="7" t="inlineStr"/>
      <c r="N850" s="7" t="inlineStr"/>
      <c r="O850" s="9" t="n">
        <v>46143</v>
      </c>
      <c r="P850" s="9" t="n">
        <v>46164</v>
      </c>
      <c r="Q850" s="9" t="n">
        <v>46164</v>
      </c>
      <c r="R850" s="7" t="inlineStr">
        <is>
          <t>Concluído Campo</t>
        </is>
      </c>
      <c r="S850" s="7" t="inlineStr"/>
      <c r="T850" s="10" t="inlineStr"/>
      <c r="U850" s="7" t="inlineStr"/>
      <c r="V850" s="7" t="inlineStr"/>
      <c r="W850" s="7" t="inlineStr"/>
      <c r="X850" s="7" t="inlineStr">
        <is>
          <t>AG. MEDIÇÃO</t>
        </is>
      </c>
      <c r="Y850" s="11">
        <f>IF(AND(L850&lt;&gt;"", S850&lt;&gt;""), S850-L850, IF(L850&lt;&gt;"", TODAY()-L850, ""))</f>
        <v/>
      </c>
      <c r="Z850" s="7">
        <f>IF(Y850="", "", IF(Y850&lt;=3, "NO PRAZO", "ATRASADO"))</f>
        <v/>
      </c>
      <c r="AA850" s="8" t="inlineStr"/>
    </row>
    <row r="851" ht="20" customHeight="1">
      <c r="A851" s="7" t="inlineStr">
        <is>
          <t>RSCLER0846</t>
        </is>
      </c>
      <c r="B851" s="8" t="inlineStr">
        <is>
          <t>PORTO ALEGRE</t>
        </is>
      </c>
      <c r="C851" s="7" t="inlineStr">
        <is>
          <t>MNDAB</t>
        </is>
      </c>
      <c r="D851" s="7" t="inlineStr"/>
      <c r="E851" s="7" t="inlineStr"/>
      <c r="F851" s="8" t="inlineStr">
        <is>
          <t>ED BELA</t>
        </is>
      </c>
      <c r="G851" s="8" t="inlineStr">
        <is>
          <t>R JOAO ALFREDO 235</t>
        </is>
      </c>
      <c r="H851" s="7" t="inlineStr">
        <is>
          <t>MNDAB.001.M010</t>
        </is>
      </c>
      <c r="I851" s="8" t="inlineStr">
        <is>
          <t>4 ABERTURAR E FECHAMENTO, 6 FUSÕES, 2 TESTES</t>
        </is>
      </c>
      <c r="J851" s="8" t="inlineStr"/>
      <c r="K851" s="8" t="inlineStr">
        <is>
          <t>AFONSO</t>
        </is>
      </c>
      <c r="L851" s="9" t="n">
        <v>46144</v>
      </c>
      <c r="M851" s="7" t="inlineStr"/>
      <c r="N851" s="7" t="inlineStr"/>
      <c r="O851" s="9" t="n">
        <v>46146</v>
      </c>
      <c r="P851" s="9" t="n">
        <v>46164</v>
      </c>
      <c r="Q851" s="9" t="n">
        <v>46164</v>
      </c>
      <c r="R851" s="7" t="inlineStr">
        <is>
          <t>Concluído Campo</t>
        </is>
      </c>
      <c r="S851" s="7" t="inlineStr"/>
      <c r="T851" s="10" t="inlineStr"/>
      <c r="U851" s="7" t="inlineStr"/>
      <c r="V851" s="7" t="inlineStr"/>
      <c r="W851" s="7" t="inlineStr"/>
      <c r="X851" s="7" t="inlineStr">
        <is>
          <t>AG. MEDIÇÃO</t>
        </is>
      </c>
      <c r="Y851" s="11">
        <f>IF(AND(L851&lt;&gt;"", S851&lt;&gt;""), S851-L851, IF(L851&lt;&gt;"", TODAY()-L851, ""))</f>
        <v/>
      </c>
      <c r="Z851" s="7">
        <f>IF(Y851="", "", IF(Y851&lt;=3, "NO PRAZO", "ATRASADO"))</f>
        <v/>
      </c>
      <c r="AA851" s="8" t="inlineStr"/>
    </row>
    <row r="852" ht="20" customHeight="1">
      <c r="A852" s="7" t="inlineStr">
        <is>
          <t>RSCLER0847</t>
        </is>
      </c>
      <c r="B852" s="8" t="inlineStr">
        <is>
          <t>PORTO ALEGRE</t>
        </is>
      </c>
      <c r="C852" s="7" t="inlineStr">
        <is>
          <t>CNTAB</t>
        </is>
      </c>
      <c r="D852" s="7" t="inlineStr">
        <is>
          <t>CNTAG</t>
        </is>
      </c>
      <c r="E852" s="7" t="inlineStr">
        <is>
          <t>RSPCE14</t>
        </is>
      </c>
      <c r="F852" s="8" t="inlineStr">
        <is>
          <t>ED MAL FLORIANO</t>
        </is>
      </c>
      <c r="G852" s="8" t="inlineStr">
        <is>
          <t>R MAL FLORIANO PEIXOTO 589</t>
        </is>
      </c>
      <c r="H852" s="7" t="inlineStr">
        <is>
          <t>CNTAB.071.M060</t>
        </is>
      </c>
      <c r="I852" s="8" t="inlineStr">
        <is>
          <t>4 ABERTURA E FECHAMENTO, 5 FUSÕES, 1 TESTE</t>
        </is>
      </c>
      <c r="J852" s="8" t="inlineStr"/>
      <c r="K852" s="8" t="inlineStr">
        <is>
          <t>AFONSO</t>
        </is>
      </c>
      <c r="L852" s="9" t="n">
        <v>46144</v>
      </c>
      <c r="M852" s="7" t="inlineStr"/>
      <c r="N852" s="7" t="inlineStr"/>
      <c r="O852" s="9" t="n">
        <v>46130</v>
      </c>
      <c r="P852" s="9" t="n">
        <v>46191</v>
      </c>
      <c r="Q852" s="9" t="n">
        <v>46191</v>
      </c>
      <c r="R852" s="7" t="inlineStr">
        <is>
          <t>Concluído Campo</t>
        </is>
      </c>
      <c r="S852" s="9" t="n">
        <v>46233</v>
      </c>
      <c r="T852" s="10" t="inlineStr"/>
      <c r="U852" s="7" t="inlineStr">
        <is>
          <t>5588745</t>
        </is>
      </c>
      <c r="V852" s="7" t="inlineStr">
        <is>
          <t>FINALIZADO</t>
        </is>
      </c>
      <c r="W852" s="7" t="inlineStr"/>
      <c r="X852" s="7" t="inlineStr">
        <is>
          <t>MEDIÇÃO CONCLUÍDA</t>
        </is>
      </c>
      <c r="Y852" s="11">
        <f>IF(AND(L852&lt;&gt;"", S852&lt;&gt;""), S852-L852, IF(L852&lt;&gt;"", TODAY()-L852, ""))</f>
        <v/>
      </c>
      <c r="Z852" s="7">
        <f>IF(Y852="", "", IF(Y852&lt;=3, "NO PRAZO", "ATRASADO"))</f>
        <v/>
      </c>
      <c r="AA852" s="8" t="inlineStr"/>
    </row>
    <row r="853" ht="20" customHeight="1">
      <c r="A853" s="7" t="inlineStr">
        <is>
          <t>RSCLER0848</t>
        </is>
      </c>
      <c r="B853" s="8" t="inlineStr">
        <is>
          <t>NOVO HAMBURGO</t>
        </is>
      </c>
      <c r="C853" s="7" t="inlineStr">
        <is>
          <t>CNUAA</t>
        </is>
      </c>
      <c r="D853" s="7" t="inlineStr"/>
      <c r="E853" s="7" t="inlineStr"/>
      <c r="F853" s="8" t="inlineStr"/>
      <c r="G853" s="8" t="inlineStr">
        <is>
          <t>Rua Sílvio Gilberto Christmann 158</t>
        </is>
      </c>
      <c r="H853" s="7" t="inlineStr">
        <is>
          <t>CNUAA.072.05.01</t>
        </is>
      </c>
      <c r="I853" s="8" t="inlineStr">
        <is>
          <t>FOI LANÇADO 699 METROS DE CABO DE 12FO, 3 ABERTURA E FECHAMENTO, 3 SUSÕES, 1 NAP NOVA, 1 DERIVAÇÃO, 3 TESTE, COBRAR AS BUILTS</t>
        </is>
      </c>
      <c r="J853" s="8" t="inlineStr">
        <is>
          <t>TIAGO FERREIRA</t>
        </is>
      </c>
      <c r="K853" s="8" t="inlineStr">
        <is>
          <t>VICTOR</t>
        </is>
      </c>
      <c r="L853" s="9" t="n">
        <v>46146</v>
      </c>
      <c r="M853" s="7" t="inlineStr"/>
      <c r="N853" s="7" t="inlineStr"/>
      <c r="O853" s="9" t="n">
        <v>46147</v>
      </c>
      <c r="P853" s="9" t="n">
        <v>46149</v>
      </c>
      <c r="Q853" s="9" t="n">
        <v>46149</v>
      </c>
      <c r="R853" s="7" t="inlineStr">
        <is>
          <t>Concluído Campo</t>
        </is>
      </c>
      <c r="S853" s="7" t="inlineStr"/>
      <c r="T853" s="10" t="inlineStr"/>
      <c r="U853" s="7" t="inlineStr"/>
      <c r="V853" s="7" t="inlineStr"/>
      <c r="W853" s="7" t="inlineStr"/>
      <c r="X853" s="7" t="inlineStr">
        <is>
          <t>AG. MEDIÇÃO</t>
        </is>
      </c>
      <c r="Y853" s="11">
        <f>IF(AND(L853&lt;&gt;"", S853&lt;&gt;""), S853-L853, IF(L853&lt;&gt;"", TODAY()-L853, ""))</f>
        <v/>
      </c>
      <c r="Z853" s="7">
        <f>IF(Y853="", "", IF(Y853&lt;=3, "NO PRAZO", "ATRASADO"))</f>
        <v/>
      </c>
      <c r="AA853" s="8" t="inlineStr"/>
    </row>
    <row r="854" ht="20" customHeight="1">
      <c r="A854" s="7" t="inlineStr">
        <is>
          <t>RSCLER0849</t>
        </is>
      </c>
      <c r="B854" s="8" t="inlineStr">
        <is>
          <t>PORTO ALEGRE</t>
        </is>
      </c>
      <c r="C854" s="7" t="inlineStr">
        <is>
          <t>BVSAB</t>
        </is>
      </c>
      <c r="D854" s="7" t="inlineStr"/>
      <c r="E854" s="7" t="inlineStr"/>
      <c r="F854" s="8" t="inlineStr">
        <is>
          <t>Condomínio Edificio Elfrida</t>
        </is>
      </c>
      <c r="G854" s="8" t="inlineStr">
        <is>
          <t>Av. Protásio Alves, 2631</t>
        </is>
      </c>
      <c r="H854" s="7" t="inlineStr">
        <is>
          <t>BVSAB.111.M070</t>
        </is>
      </c>
      <c r="I854" s="8" t="inlineStr">
        <is>
          <t>3 ABERTURA E FECHAMENTO, 2 FUSÕES, 1 TESTE</t>
        </is>
      </c>
      <c r="J854" s="8" t="inlineStr"/>
      <c r="K854" s="8" t="inlineStr">
        <is>
          <t>CATIA</t>
        </is>
      </c>
      <c r="L854" s="9" t="n">
        <v>46147</v>
      </c>
      <c r="M854" s="7" t="inlineStr"/>
      <c r="N854" s="7" t="inlineStr"/>
      <c r="O854" s="9" t="n">
        <v>46148</v>
      </c>
      <c r="P854" s="9" t="n">
        <v>46149</v>
      </c>
      <c r="Q854" s="9" t="n">
        <v>46149</v>
      </c>
      <c r="R854" s="7" t="inlineStr">
        <is>
          <t>Concluído Campo</t>
        </is>
      </c>
      <c r="S854" s="9" t="n">
        <v>46148</v>
      </c>
      <c r="T854" s="10" t="inlineStr"/>
      <c r="U854" s="7" t="inlineStr">
        <is>
          <t>5498008</t>
        </is>
      </c>
      <c r="V854" s="7" t="inlineStr">
        <is>
          <t>FINALIZADO</t>
        </is>
      </c>
      <c r="W854" s="7" t="inlineStr"/>
      <c r="X854" s="7" t="inlineStr">
        <is>
          <t>MEDIÇÃO CONCLUÍDA</t>
        </is>
      </c>
      <c r="Y854" s="11">
        <f>IF(AND(L854&lt;&gt;"", S854&lt;&gt;""), S854-L854, IF(L854&lt;&gt;"", TODAY()-L854, ""))</f>
        <v/>
      </c>
      <c r="Z854" s="7">
        <f>IF(Y854="", "", IF(Y854&lt;=3, "NO PRAZO", "ATRASADO"))</f>
        <v/>
      </c>
      <c r="AA854" s="8" t="inlineStr"/>
    </row>
    <row r="855" ht="20" customHeight="1">
      <c r="A855" s="7" t="inlineStr">
        <is>
          <t>RSCLER0850</t>
        </is>
      </c>
      <c r="B855" s="8" t="inlineStr">
        <is>
          <t>PORTO ALEGRE</t>
        </is>
      </c>
      <c r="C855" s="7" t="inlineStr">
        <is>
          <t>MTSAA</t>
        </is>
      </c>
      <c r="D855" s="7" t="inlineStr">
        <is>
          <t>MSTAI</t>
        </is>
      </c>
      <c r="E855" s="7" t="inlineStr">
        <is>
          <t>RSPNO26</t>
        </is>
      </c>
      <c r="F855" s="8" t="inlineStr">
        <is>
          <t>RESID DON MANOEL</t>
        </is>
      </c>
      <c r="G855" s="8" t="inlineStr">
        <is>
          <t>AV MANOEL ELIAS 2200</t>
        </is>
      </c>
      <c r="H855" s="7" t="inlineStr">
        <is>
          <t>MSTAA.032.M010</t>
        </is>
      </c>
      <c r="I855" s="8" t="inlineStr">
        <is>
          <t>FOI LANÇADO 144 METROS DE CABO DE 12FO, 5 ABERTURA E FECHAMENTO, 1 DERIVAÇÃO, 1 CX NOVA, 30 FUSÕES, 6 TESTES, 2 TESTE OTDR</t>
        </is>
      </c>
      <c r="J855" s="8" t="inlineStr">
        <is>
          <t>TIAGO FERREIRA</t>
        </is>
      </c>
      <c r="K855" s="8" t="inlineStr">
        <is>
          <t>CATIA</t>
        </is>
      </c>
      <c r="L855" s="9" t="n">
        <v>46147</v>
      </c>
      <c r="M855" s="7" t="inlineStr"/>
      <c r="N855" s="7" t="inlineStr"/>
      <c r="O855" s="9" t="n">
        <v>46154</v>
      </c>
      <c r="P855" s="9" t="n">
        <v>46160</v>
      </c>
      <c r="Q855" s="9" t="n">
        <v>46160</v>
      </c>
      <c r="R855" s="7" t="inlineStr">
        <is>
          <t>Concluído Campo</t>
        </is>
      </c>
      <c r="S855" s="9" t="n">
        <v>46154</v>
      </c>
      <c r="T855" s="10" t="inlineStr"/>
      <c r="U855" s="7" t="inlineStr">
        <is>
          <t>5553596</t>
        </is>
      </c>
      <c r="V855" s="7" t="inlineStr">
        <is>
          <t>FINALIZADO</t>
        </is>
      </c>
      <c r="W855" s="7" t="inlineStr"/>
      <c r="X855" s="7" t="inlineStr">
        <is>
          <t>MEDIÇÃO CONCLUÍDA</t>
        </is>
      </c>
      <c r="Y855" s="11">
        <f>IF(AND(L855&lt;&gt;"", S855&lt;&gt;""), S855-L855, IF(L855&lt;&gt;"", TODAY()-L855, ""))</f>
        <v/>
      </c>
      <c r="Z855" s="7">
        <f>IF(Y855="", "", IF(Y855&lt;=3, "NO PRAZO", "ATRASADO"))</f>
        <v/>
      </c>
      <c r="AA855" s="8" t="inlineStr"/>
    </row>
    <row r="856" ht="20" customHeight="1">
      <c r="A856" s="7" t="inlineStr">
        <is>
          <t>RSCLER0851</t>
        </is>
      </c>
      <c r="B856" s="8" t="inlineStr">
        <is>
          <t>PORTO ALEGRE</t>
        </is>
      </c>
      <c r="C856" s="7" t="inlineStr">
        <is>
          <t>VJDAB</t>
        </is>
      </c>
      <c r="D856" s="7" t="inlineStr">
        <is>
          <t>MSTAE</t>
        </is>
      </c>
      <c r="E856" s="7" t="inlineStr">
        <is>
          <t>RSPNO21</t>
        </is>
      </c>
      <c r="F856" s="8" t="inlineStr">
        <is>
          <t>Cond. Alto Petrópolis</t>
        </is>
      </c>
      <c r="G856" s="8" t="inlineStr">
        <is>
          <t>AV. ARY TARRAGO 340</t>
        </is>
      </c>
      <c r="H856" s="7" t="inlineStr">
        <is>
          <t>VJDAB.123.M010</t>
        </is>
      </c>
      <c r="I856" s="8" t="inlineStr">
        <is>
          <t>FOI LANÇADO 119 METROS DE CABO DE 36FO E 112 METROS DE CABO DE 24FO, 6 ABERTURA E FECHAMENTO, 2 CX NOVA, 40 FUSÕES, 1 DERIVAÇÃO, 10 TESTES</t>
        </is>
      </c>
      <c r="J856" s="8" t="inlineStr">
        <is>
          <t>TIAGO FERREIRA</t>
        </is>
      </c>
      <c r="K856" s="8" t="inlineStr">
        <is>
          <t>AFONSO</t>
        </is>
      </c>
      <c r="L856" s="9" t="n">
        <v>46147</v>
      </c>
      <c r="M856" s="7" t="inlineStr"/>
      <c r="N856" s="7" t="inlineStr"/>
      <c r="O856" s="9" t="n">
        <v>46153</v>
      </c>
      <c r="P856" s="9" t="n">
        <v>46202</v>
      </c>
      <c r="Q856" s="9" t="n">
        <v>46202</v>
      </c>
      <c r="R856" s="7" t="inlineStr">
        <is>
          <t>Concluído Campo</t>
        </is>
      </c>
      <c r="S856" s="9" t="n">
        <v>46153</v>
      </c>
      <c r="T856" s="10" t="inlineStr"/>
      <c r="U856" s="7" t="inlineStr">
        <is>
          <t>5514860</t>
        </is>
      </c>
      <c r="V856" s="7" t="inlineStr">
        <is>
          <t>FINALIZADO</t>
        </is>
      </c>
      <c r="W856" s="7" t="inlineStr"/>
      <c r="X856" s="7" t="inlineStr">
        <is>
          <t>MEDIÇÃO CONCLUÍDA</t>
        </is>
      </c>
      <c r="Y856" s="11">
        <f>IF(AND(L856&lt;&gt;"", S856&lt;&gt;""), S856-L856, IF(L856&lt;&gt;"", TODAY()-L856, ""))</f>
        <v/>
      </c>
      <c r="Z856" s="7">
        <f>IF(Y856="", "", IF(Y856&lt;=3, "NO PRAZO", "ATRASADO"))</f>
        <v/>
      </c>
      <c r="AA856" s="8" t="inlineStr"/>
    </row>
    <row r="857" ht="20" customHeight="1">
      <c r="A857" s="7" t="inlineStr">
        <is>
          <t>RSCLER0852</t>
        </is>
      </c>
      <c r="B857" s="8" t="inlineStr">
        <is>
          <t>PORTO ALEGRE</t>
        </is>
      </c>
      <c r="C857" s="7" t="inlineStr">
        <is>
          <t>CNTAA</t>
        </is>
      </c>
      <c r="D857" s="7" t="inlineStr"/>
      <c r="E857" s="7" t="inlineStr"/>
      <c r="F857" s="8" t="inlineStr">
        <is>
          <t>ED MARIA CARVALHO</t>
        </is>
      </c>
      <c r="G857" s="8" t="inlineStr">
        <is>
          <t>AV DES ANDRE DA ROCHA 217</t>
        </is>
      </c>
      <c r="H857" s="7" t="inlineStr">
        <is>
          <t>CNTAA.133.M020</t>
        </is>
      </c>
      <c r="I857" s="8" t="inlineStr">
        <is>
          <t>2 ABERTURA E FECHAMENTO, 4 FUSÕES, 3 TESTES, 1 TESTE OTDR</t>
        </is>
      </c>
      <c r="J857" s="8" t="inlineStr"/>
      <c r="K857" s="8" t="inlineStr">
        <is>
          <t>CATIA</t>
        </is>
      </c>
      <c r="L857" s="9" t="n">
        <v>46150</v>
      </c>
      <c r="M857" s="7" t="inlineStr"/>
      <c r="N857" s="7" t="inlineStr"/>
      <c r="O857" s="9" t="n">
        <v>46151</v>
      </c>
      <c r="P857" s="9" t="n">
        <v>46163</v>
      </c>
      <c r="Q857" s="9" t="n">
        <v>46163</v>
      </c>
      <c r="R857" s="7" t="inlineStr">
        <is>
          <t>Concluído Campo</t>
        </is>
      </c>
      <c r="S857" s="7" t="inlineStr"/>
      <c r="T857" s="10" t="inlineStr"/>
      <c r="U857" s="7" t="inlineStr"/>
      <c r="V857" s="7" t="inlineStr"/>
      <c r="W857" s="7" t="inlineStr"/>
      <c r="X857" s="7" t="inlineStr">
        <is>
          <t>AG. MEDIÇÃO</t>
        </is>
      </c>
      <c r="Y857" s="11">
        <f>IF(AND(L857&lt;&gt;"", S857&lt;&gt;""), S857-L857, IF(L857&lt;&gt;"", TODAY()-L857, ""))</f>
        <v/>
      </c>
      <c r="Z857" s="7">
        <f>IF(Y857="", "", IF(Y857&lt;=3, "NO PRAZO", "ATRASADO"))</f>
        <v/>
      </c>
      <c r="AA857" s="8" t="inlineStr"/>
    </row>
    <row r="858" ht="20" customHeight="1">
      <c r="A858" s="7" t="inlineStr">
        <is>
          <t>RSCLER0853</t>
        </is>
      </c>
      <c r="B858" s="8" t="inlineStr">
        <is>
          <t>PORTO ALEGRE</t>
        </is>
      </c>
      <c r="C858" s="7" t="inlineStr">
        <is>
          <t>SANAA</t>
        </is>
      </c>
      <c r="D858" s="7" t="inlineStr"/>
      <c r="E858" s="7" t="inlineStr"/>
      <c r="F858" s="8" t="inlineStr">
        <is>
          <t>COND. O TEMPO EO VENTO</t>
        </is>
      </c>
      <c r="G858" s="8" t="inlineStr">
        <is>
          <t>R OCTAVIO CORREA,60</t>
        </is>
      </c>
      <c r="H858" s="7" t="inlineStr">
        <is>
          <t>SANAA.363.M020</t>
        </is>
      </c>
      <c r="I858" s="8" t="inlineStr">
        <is>
          <t>4 ABERTURA E FECHAMENTO, 11 FUSÕES, 4 TESTES; 4 TESTE OTDR.</t>
        </is>
      </c>
      <c r="J858" s="8" t="inlineStr"/>
      <c r="K858" s="8" t="inlineStr">
        <is>
          <t>CATIA</t>
        </is>
      </c>
      <c r="L858" s="9" t="n">
        <v>46150</v>
      </c>
      <c r="M858" s="7" t="inlineStr"/>
      <c r="N858" s="7" t="inlineStr"/>
      <c r="O858" s="9" t="n">
        <v>46151</v>
      </c>
      <c r="P858" s="9" t="n">
        <v>46163</v>
      </c>
      <c r="Q858" s="9" t="n">
        <v>46163</v>
      </c>
      <c r="R858" s="7" t="inlineStr">
        <is>
          <t>Concluído Campo</t>
        </is>
      </c>
      <c r="S858" s="7" t="inlineStr"/>
      <c r="T858" s="10" t="inlineStr"/>
      <c r="U858" s="7" t="inlineStr"/>
      <c r="V858" s="7" t="inlineStr"/>
      <c r="W858" s="7" t="inlineStr"/>
      <c r="X858" s="7" t="inlineStr">
        <is>
          <t>AG. MEDIÇÃO</t>
        </is>
      </c>
      <c r="Y858" s="11">
        <f>IF(AND(L858&lt;&gt;"", S858&lt;&gt;""), S858-L858, IF(L858&lt;&gt;"", TODAY()-L858, ""))</f>
        <v/>
      </c>
      <c r="Z858" s="7">
        <f>IF(Y858="", "", IF(Y858&lt;=3, "NO PRAZO", "ATRASADO"))</f>
        <v/>
      </c>
      <c r="AA858" s="8" t="inlineStr"/>
    </row>
    <row r="859" ht="20" customHeight="1">
      <c r="A859" s="7" t="inlineStr">
        <is>
          <t>RSCLER0854</t>
        </is>
      </c>
      <c r="B859" s="8" t="inlineStr">
        <is>
          <t>PORTO ALEGRE</t>
        </is>
      </c>
      <c r="C859" s="7" t="inlineStr">
        <is>
          <t>PETAA</t>
        </is>
      </c>
      <c r="D859" s="7" t="inlineStr"/>
      <c r="E859" s="7" t="inlineStr"/>
      <c r="F859" s="8" t="inlineStr">
        <is>
          <t>Cond.KLIMT</t>
        </is>
      </c>
      <c r="G859" s="8" t="inlineStr">
        <is>
          <t>R JOAO CAETANO,58</t>
        </is>
      </c>
      <c r="H859" s="7" t="inlineStr">
        <is>
          <t>PETAA.042.M030</t>
        </is>
      </c>
      <c r="I859" s="8" t="inlineStr">
        <is>
          <t>2 ABERTURA E FECHAMENTO, 2 FUSÕES, 2 TESTES</t>
        </is>
      </c>
      <c r="J859" s="8" t="inlineStr"/>
      <c r="K859" s="8" t="inlineStr">
        <is>
          <t>AFONSO</t>
        </is>
      </c>
      <c r="L859" s="9" t="n">
        <v>46150</v>
      </c>
      <c r="M859" s="7" t="inlineStr"/>
      <c r="N859" s="7" t="inlineStr"/>
      <c r="O859" s="9" t="n">
        <v>46151</v>
      </c>
      <c r="P859" s="9" t="n">
        <v>46161</v>
      </c>
      <c r="Q859" s="9" t="n">
        <v>46161</v>
      </c>
      <c r="R859" s="7" t="inlineStr">
        <is>
          <t>Concluído Campo</t>
        </is>
      </c>
      <c r="S859" s="9" t="n">
        <v>46151</v>
      </c>
      <c r="T859" s="10" t="inlineStr"/>
      <c r="U859" s="7" t="inlineStr">
        <is>
          <t>5553527</t>
        </is>
      </c>
      <c r="V859" s="7" t="inlineStr">
        <is>
          <t>FINALIZADO</t>
        </is>
      </c>
      <c r="W859" s="7" t="inlineStr"/>
      <c r="X859" s="7" t="inlineStr">
        <is>
          <t>MEDIÇÃO CONCLUÍDA</t>
        </is>
      </c>
      <c r="Y859" s="11">
        <f>IF(AND(L859&lt;&gt;"", S859&lt;&gt;""), S859-L859, IF(L859&lt;&gt;"", TODAY()-L859, ""))</f>
        <v/>
      </c>
      <c r="Z859" s="7">
        <f>IF(Y859="", "", IF(Y859&lt;=3, "NO PRAZO", "ATRASADO"))</f>
        <v/>
      </c>
      <c r="AA859" s="8" t="inlineStr"/>
    </row>
    <row r="860" ht="20" customHeight="1">
      <c r="A860" s="7" t="inlineStr">
        <is>
          <t>RSCLER0855</t>
        </is>
      </c>
      <c r="B860" s="8" t="inlineStr">
        <is>
          <t>PORTO ALEGRE</t>
        </is>
      </c>
      <c r="C860" s="7" t="inlineStr">
        <is>
          <t>CNTAA</t>
        </is>
      </c>
      <c r="D860" s="7" t="inlineStr"/>
      <c r="E860" s="7" t="inlineStr"/>
      <c r="F860" s="8" t="inlineStr">
        <is>
          <t>Cond. DUMOS</t>
        </is>
      </c>
      <c r="G860" s="8" t="inlineStr">
        <is>
          <t>AV DES ANDRE DA ROCHA 158</t>
        </is>
      </c>
      <c r="H860" s="7" t="inlineStr">
        <is>
          <t>CNTAA.134.M010</t>
        </is>
      </c>
      <c r="I860" s="8" t="inlineStr">
        <is>
          <t>2 ABERTURA E FECHAMENTO, 4 FUSÕES, 3 TESTES, 1 TESTE OTDR</t>
        </is>
      </c>
      <c r="J860" s="8" t="inlineStr"/>
      <c r="K860" s="8" t="inlineStr">
        <is>
          <t>CATIA</t>
        </is>
      </c>
      <c r="L860" s="9" t="n">
        <v>46150</v>
      </c>
      <c r="M860" s="7" t="inlineStr"/>
      <c r="N860" s="7" t="inlineStr"/>
      <c r="O860" s="9" t="n">
        <v>46151</v>
      </c>
      <c r="P860" s="9" t="n">
        <v>46160</v>
      </c>
      <c r="Q860" s="9" t="n">
        <v>46160</v>
      </c>
      <c r="R860" s="7" t="inlineStr">
        <is>
          <t>Concluído Campo</t>
        </is>
      </c>
      <c r="S860" s="9" t="n">
        <v>46151</v>
      </c>
      <c r="T860" s="10" t="inlineStr"/>
      <c r="U860" s="7" t="inlineStr">
        <is>
          <t>5553570</t>
        </is>
      </c>
      <c r="V860" s="7" t="inlineStr">
        <is>
          <t>FINALIZADO</t>
        </is>
      </c>
      <c r="W860" s="7" t="inlineStr"/>
      <c r="X860" s="7" t="inlineStr">
        <is>
          <t>MEDIÇÃO CONCLUÍDA</t>
        </is>
      </c>
      <c r="Y860" s="11">
        <f>IF(AND(L860&lt;&gt;"", S860&lt;&gt;""), S860-L860, IF(L860&lt;&gt;"", TODAY()-L860, ""))</f>
        <v/>
      </c>
      <c r="Z860" s="7">
        <f>IF(Y860="", "", IF(Y860&lt;=3, "NO PRAZO", "ATRASADO"))</f>
        <v/>
      </c>
      <c r="AA860" s="8" t="inlineStr"/>
    </row>
    <row r="861" ht="20" customHeight="1">
      <c r="A861" s="7" t="inlineStr">
        <is>
          <t>RSCLER0856</t>
        </is>
      </c>
      <c r="B861" s="8" t="inlineStr">
        <is>
          <t>CANOAS</t>
        </is>
      </c>
      <c r="C861" s="7" t="inlineStr">
        <is>
          <t>CNTAB</t>
        </is>
      </c>
      <c r="D861" s="7" t="inlineStr"/>
      <c r="E861" s="7" t="inlineStr">
        <is>
          <t>RSCAN03</t>
        </is>
      </c>
      <c r="F861" s="8" t="inlineStr">
        <is>
          <t>Residencial Santo Antonio</t>
        </is>
      </c>
      <c r="G861" s="8" t="inlineStr">
        <is>
          <t>R. República, 2708</t>
        </is>
      </c>
      <c r="H861" s="7" t="inlineStr">
        <is>
          <t>CNTAB.401</t>
        </is>
      </c>
      <c r="I861" s="8" t="inlineStr">
        <is>
          <t>FOI LANÇADO 1726 METROS DE CABO DE 12FO, 2 ABERTURA E FECHAMENTO, 3 CX NOVA, 7 FUSÕES, 1 DERIVAÇÃO.</t>
        </is>
      </c>
      <c r="J861" s="8" t="inlineStr">
        <is>
          <t>TIAGO FERREIRA</t>
        </is>
      </c>
      <c r="K861" s="8" t="inlineStr">
        <is>
          <t>AFONSO</t>
        </is>
      </c>
      <c r="L861" s="9" t="n">
        <v>46153</v>
      </c>
      <c r="M861" s="7" t="inlineStr"/>
      <c r="N861" s="7" t="inlineStr"/>
      <c r="O861" s="9" t="n">
        <v>46158</v>
      </c>
      <c r="P861" s="9" t="n">
        <v>46246</v>
      </c>
      <c r="Q861" s="9" t="n">
        <v>46246</v>
      </c>
      <c r="R861" s="7" t="inlineStr">
        <is>
          <t>Concluído Campo</t>
        </is>
      </c>
      <c r="S861" s="7" t="inlineStr"/>
      <c r="T861" s="10" t="inlineStr"/>
      <c r="U861" s="7" t="inlineStr"/>
      <c r="V861" s="7" t="inlineStr"/>
      <c r="W861" s="7" t="inlineStr"/>
      <c r="X861" s="7" t="inlineStr">
        <is>
          <t>AG. MEDIÇÃO</t>
        </is>
      </c>
      <c r="Y861" s="11">
        <f>IF(AND(L861&lt;&gt;"", S861&lt;&gt;""), S861-L861, IF(L861&lt;&gt;"", TODAY()-L861, ""))</f>
        <v/>
      </c>
      <c r="Z861" s="7">
        <f>IF(Y861="", "", IF(Y861&lt;=3, "NO PRAZO", "ATRASADO"))</f>
        <v/>
      </c>
      <c r="AA861" s="8" t="inlineStr"/>
    </row>
    <row r="862" ht="20" customHeight="1">
      <c r="A862" s="7" t="inlineStr">
        <is>
          <t>RSCLER0857</t>
        </is>
      </c>
      <c r="B862" s="8" t="inlineStr">
        <is>
          <t>PORTO ALEGRE</t>
        </is>
      </c>
      <c r="C862" s="7" t="inlineStr">
        <is>
          <t>PETAA</t>
        </is>
      </c>
      <c r="D862" s="7" t="inlineStr">
        <is>
          <t>PETAPB</t>
        </is>
      </c>
      <c r="E862" s="7" t="inlineStr">
        <is>
          <t>RSPLE11</t>
        </is>
      </c>
      <c r="F862" s="8" t="inlineStr">
        <is>
          <t>Condomínio Solar da Praça</t>
        </is>
      </c>
      <c r="G862" s="8" t="inlineStr">
        <is>
          <t>Av. Ijuí, 652</t>
        </is>
      </c>
      <c r="H862" s="7" t="inlineStr">
        <is>
          <t>PETAA.091.M020</t>
        </is>
      </c>
      <c r="I862" s="8" t="inlineStr">
        <is>
          <t>3 ABERTURA E FECHAMENTO, 4 FUSÕES, 2 TESTES</t>
        </is>
      </c>
      <c r="J862" s="8" t="inlineStr"/>
      <c r="K862" s="8" t="inlineStr">
        <is>
          <t>AFONSO</t>
        </is>
      </c>
      <c r="L862" s="9" t="n">
        <v>46154</v>
      </c>
      <c r="M862" s="7" t="inlineStr"/>
      <c r="N862" s="7" t="inlineStr"/>
      <c r="O862" s="9" t="n">
        <v>46154</v>
      </c>
      <c r="P862" s="9" t="n">
        <v>46160</v>
      </c>
      <c r="Q862" s="9" t="n">
        <v>46160</v>
      </c>
      <c r="R862" s="7" t="inlineStr">
        <is>
          <t>Concluído Campo</t>
        </is>
      </c>
      <c r="S862" s="9" t="n">
        <v>46154</v>
      </c>
      <c r="T862" s="10" t="inlineStr"/>
      <c r="U862" s="7" t="inlineStr">
        <is>
          <t>5562892</t>
        </is>
      </c>
      <c r="V862" s="7" t="inlineStr">
        <is>
          <t>FINALIZADO</t>
        </is>
      </c>
      <c r="W862" s="7" t="inlineStr"/>
      <c r="X862" s="7" t="inlineStr">
        <is>
          <t>MEDIÇÃO CONCLUÍDA</t>
        </is>
      </c>
      <c r="Y862" s="11">
        <f>IF(AND(L862&lt;&gt;"", S862&lt;&gt;""), S862-L862, IF(L862&lt;&gt;"", TODAY()-L862, ""))</f>
        <v/>
      </c>
      <c r="Z862" s="7">
        <f>IF(Y862="", "", IF(Y862&lt;=3, "NO PRAZO", "ATRASADO"))</f>
        <v/>
      </c>
      <c r="AA862" s="8" t="inlineStr"/>
    </row>
    <row r="863" ht="20" customHeight="1">
      <c r="A863" s="7" t="inlineStr">
        <is>
          <t>RSCLER0858</t>
        </is>
      </c>
      <c r="B863" s="8" t="inlineStr">
        <is>
          <t>PORTO ALEGRE</t>
        </is>
      </c>
      <c r="C863" s="7" t="inlineStr">
        <is>
          <t>TRLAA</t>
        </is>
      </c>
      <c r="D863" s="7" t="inlineStr"/>
      <c r="E863" s="7" t="inlineStr"/>
      <c r="F863" s="8" t="inlineStr">
        <is>
          <t>Cond. SY PRAÇA</t>
        </is>
      </c>
      <c r="G863" s="8" t="inlineStr">
        <is>
          <t>RUA DÁRIO TOTTA 215</t>
        </is>
      </c>
      <c r="H863" s="7" t="inlineStr">
        <is>
          <t>TRLAA.161.M030</t>
        </is>
      </c>
      <c r="I863" s="8" t="inlineStr">
        <is>
          <t>4 ABERTURA E FECHAMENTO, 6 FUSÕES, 2 TESTES</t>
        </is>
      </c>
      <c r="J863" s="8" t="inlineStr"/>
      <c r="K863" s="8" t="inlineStr">
        <is>
          <t>CATIA</t>
        </is>
      </c>
      <c r="L863" s="9" t="n">
        <v>46155</v>
      </c>
      <c r="M863" s="7" t="inlineStr"/>
      <c r="N863" s="7" t="inlineStr"/>
      <c r="O863" s="9" t="n">
        <v>46156</v>
      </c>
      <c r="P863" s="9" t="n">
        <v>46162</v>
      </c>
      <c r="Q863" s="9" t="n">
        <v>46162</v>
      </c>
      <c r="R863" s="7" t="inlineStr">
        <is>
          <t>Concluído Campo</t>
        </is>
      </c>
      <c r="S863" s="9" t="n">
        <v>46140</v>
      </c>
      <c r="T863" s="10" t="inlineStr"/>
      <c r="U863" s="7" t="inlineStr"/>
      <c r="V863" s="7" t="inlineStr"/>
      <c r="W863" s="7" t="inlineStr"/>
      <c r="X863" s="7" t="inlineStr">
        <is>
          <t>MEDIÇÃO CONCLUÍDA</t>
        </is>
      </c>
      <c r="Y863" s="11">
        <f>IF(AND(L863&lt;&gt;"", S863&lt;&gt;""), S863-L863, IF(L863&lt;&gt;"", TODAY()-L863, ""))</f>
        <v/>
      </c>
      <c r="Z863" s="7">
        <f>IF(Y863="", "", IF(Y863&lt;=3, "NO PRAZO", "ATRASADO"))</f>
        <v/>
      </c>
      <c r="AA863" s="8" t="inlineStr"/>
    </row>
    <row r="864" ht="20" customHeight="1">
      <c r="A864" s="7" t="inlineStr">
        <is>
          <t>RSCLER0859</t>
        </is>
      </c>
      <c r="B864" s="8" t="inlineStr">
        <is>
          <t>PORTO ALEGRE</t>
        </is>
      </c>
      <c r="C864" s="7" t="inlineStr">
        <is>
          <t>MNDAC</t>
        </is>
      </c>
      <c r="D864" s="7" t="inlineStr"/>
      <c r="E864" s="7" t="inlineStr"/>
      <c r="F864" s="8" t="inlineStr">
        <is>
          <t>Cond. ED. DNA ESTHER</t>
        </is>
      </c>
      <c r="G864" s="8" t="inlineStr">
        <is>
          <t>R BARBEDO,474</t>
        </is>
      </c>
      <c r="H864" s="7" t="inlineStr">
        <is>
          <t>MNDAC.133.M030</t>
        </is>
      </c>
      <c r="I864" s="8" t="inlineStr">
        <is>
          <t>2 ABERTURA E FECHAMENTO, 1 FUSÃO, 1 TESTE</t>
        </is>
      </c>
      <c r="J864" s="8" t="inlineStr"/>
      <c r="K864" s="8" t="inlineStr">
        <is>
          <t>CATIA</t>
        </is>
      </c>
      <c r="L864" s="9" t="n">
        <v>46155</v>
      </c>
      <c r="M864" s="7" t="inlineStr"/>
      <c r="N864" s="7" t="inlineStr"/>
      <c r="O864" s="9" t="n">
        <v>46156</v>
      </c>
      <c r="P864" s="9" t="n">
        <v>46160</v>
      </c>
      <c r="Q864" s="9" t="n">
        <v>46160</v>
      </c>
      <c r="R864" s="7" t="inlineStr">
        <is>
          <t>Concluído Campo</t>
        </is>
      </c>
      <c r="S864" s="9" t="n">
        <v>46156</v>
      </c>
      <c r="T864" s="10" t="inlineStr"/>
      <c r="U864" s="7" t="inlineStr">
        <is>
          <t>5553632</t>
        </is>
      </c>
      <c r="V864" s="7" t="inlineStr">
        <is>
          <t>FINALIZADO</t>
        </is>
      </c>
      <c r="W864" s="7" t="inlineStr"/>
      <c r="X864" s="7" t="inlineStr">
        <is>
          <t>MEDIÇÃO CONCLUÍDA</t>
        </is>
      </c>
      <c r="Y864" s="11">
        <f>IF(AND(L864&lt;&gt;"", S864&lt;&gt;""), S864-L864, IF(L864&lt;&gt;"", TODAY()-L864, ""))</f>
        <v/>
      </c>
      <c r="Z864" s="7">
        <f>IF(Y864="", "", IF(Y864&lt;=3, "NO PRAZO", "ATRASADO"))</f>
        <v/>
      </c>
      <c r="AA864" s="8" t="inlineStr"/>
    </row>
    <row r="865" ht="20" customHeight="1">
      <c r="A865" s="7" t="inlineStr">
        <is>
          <t>RSCLER0860</t>
        </is>
      </c>
      <c r="B865" s="8" t="inlineStr">
        <is>
          <t>PORTO ALEGRE</t>
        </is>
      </c>
      <c r="C865" s="7" t="inlineStr">
        <is>
          <t>BFMAA</t>
        </is>
      </c>
      <c r="D865" s="7" t="inlineStr"/>
      <c r="E865" s="7" t="inlineStr">
        <is>
          <t>PAE IND</t>
        </is>
      </c>
      <c r="F865" s="8" t="inlineStr">
        <is>
          <t>Cond Jardim Independencia</t>
        </is>
      </c>
      <c r="G865" s="8" t="inlineStr">
        <is>
          <t>AV INDEPENDENCIA 1138</t>
        </is>
      </c>
      <c r="H865" s="7" t="inlineStr">
        <is>
          <t>BFMAA.071.M010</t>
        </is>
      </c>
      <c r="I865" s="8" t="inlineStr">
        <is>
          <t>FOI LANÇADO 164 METROS DE CABO DE 12FO, 1 ABERTURA E FECHAMENTO, 2 CX NOVA, 1 DERIVAÇÃO, 5 FUSÕES, 2 TESTES.</t>
        </is>
      </c>
      <c r="J865" s="8" t="inlineStr">
        <is>
          <t>TIAGO FERREIRA</t>
        </is>
      </c>
      <c r="K865" s="8" t="inlineStr">
        <is>
          <t>CATIA</t>
        </is>
      </c>
      <c r="L865" s="9" t="n">
        <v>46155</v>
      </c>
      <c r="M865" s="7" t="inlineStr"/>
      <c r="N865" s="7" t="inlineStr"/>
      <c r="O865" s="9" t="n">
        <v>46162</v>
      </c>
      <c r="P865" s="9" t="n">
        <v>46218</v>
      </c>
      <c r="Q865" s="9" t="n">
        <v>46241</v>
      </c>
      <c r="R865" s="7" t="inlineStr">
        <is>
          <t>Concluído Campo</t>
        </is>
      </c>
      <c r="S865" s="7" t="inlineStr"/>
      <c r="T865" s="10" t="inlineStr"/>
      <c r="U865" s="7" t="inlineStr"/>
      <c r="V865" s="7" t="inlineStr"/>
      <c r="W865" s="7" t="inlineStr"/>
      <c r="X865" s="7" t="inlineStr">
        <is>
          <t>AG. MEDIÇÃO</t>
        </is>
      </c>
      <c r="Y865" s="11">
        <f>IF(AND(L865&lt;&gt;"", S865&lt;&gt;""), S865-L865, IF(L865&lt;&gt;"", TODAY()-L865, ""))</f>
        <v/>
      </c>
      <c r="Z865" s="7">
        <f>IF(Y865="", "", IF(Y865&lt;=3, "NO PRAZO", "ATRASADO"))</f>
        <v/>
      </c>
      <c r="AA865" s="8" t="inlineStr"/>
    </row>
    <row r="866" ht="20" customHeight="1">
      <c r="A866" s="7" t="inlineStr">
        <is>
          <t>RSCLER0861</t>
        </is>
      </c>
      <c r="B866" s="8" t="inlineStr">
        <is>
          <t>PORTO ALEGRE</t>
        </is>
      </c>
      <c r="C866" s="7" t="inlineStr">
        <is>
          <t>MTSAA</t>
        </is>
      </c>
      <c r="D866" s="7" t="inlineStr">
        <is>
          <t>MTSAA</t>
        </is>
      </c>
      <c r="E866" s="7" t="inlineStr">
        <is>
          <t>PAE BV</t>
        </is>
      </c>
      <c r="F866" s="8" t="inlineStr">
        <is>
          <t>Cond Ed Felicissimo</t>
        </is>
      </c>
      <c r="G866" s="8" t="inlineStr">
        <is>
          <t>R FELICISSIMO DE AZEVEDO 1257</t>
        </is>
      </c>
      <c r="H866" s="7" t="inlineStr">
        <is>
          <t>MTSAA.004.M020</t>
        </is>
      </c>
      <c r="I866" s="8" t="inlineStr">
        <is>
          <t>3 ABERTURA E FECHAMENTO, 4 FUSÕES, 2 TESTES</t>
        </is>
      </c>
      <c r="J866" s="8" t="inlineStr"/>
      <c r="K866" s="8" t="inlineStr">
        <is>
          <t>AFONSO</t>
        </is>
      </c>
      <c r="L866" s="9" t="n">
        <v>46161</v>
      </c>
      <c r="M866" s="7" t="inlineStr"/>
      <c r="N866" s="7" t="inlineStr"/>
      <c r="O866" s="9" t="n">
        <v>46161</v>
      </c>
      <c r="P866" s="9" t="n">
        <v>46192</v>
      </c>
      <c r="Q866" s="9" t="n">
        <v>46192</v>
      </c>
      <c r="R866" s="7" t="inlineStr">
        <is>
          <t>Concluído Campo</t>
        </is>
      </c>
      <c r="S866" s="7" t="inlineStr"/>
      <c r="T866" s="10" t="inlineStr"/>
      <c r="U866" s="7" t="inlineStr"/>
      <c r="V866" s="7" t="inlineStr"/>
      <c r="W866" s="7" t="inlineStr"/>
      <c r="X866" s="7" t="inlineStr">
        <is>
          <t>AG. MEDIÇÃO</t>
        </is>
      </c>
      <c r="Y866" s="11">
        <f>IF(AND(L866&lt;&gt;"", S866&lt;&gt;""), S866-L866, IF(L866&lt;&gt;"", TODAY()-L866, ""))</f>
        <v/>
      </c>
      <c r="Z866" s="7">
        <f>IF(Y866="", "", IF(Y866&lt;=3, "NO PRAZO", "ATRASADO"))</f>
        <v/>
      </c>
      <c r="AA866" s="8" t="inlineStr"/>
    </row>
    <row r="867" ht="20" customHeight="1">
      <c r="A867" s="7" t="inlineStr">
        <is>
          <t>RSCLER0862</t>
        </is>
      </c>
      <c r="B867" s="8" t="inlineStr">
        <is>
          <t>NOVO HAMBURGO</t>
        </is>
      </c>
      <c r="C867" s="7" t="inlineStr">
        <is>
          <t>CNTAA</t>
        </is>
      </c>
      <c r="D867" s="7" t="inlineStr"/>
      <c r="E867" s="7" t="inlineStr">
        <is>
          <t>RSNHOLO</t>
        </is>
      </c>
      <c r="F867" s="8" t="inlineStr">
        <is>
          <t>ATHENAS CENTER</t>
        </is>
      </c>
      <c r="G867" s="8" t="inlineStr">
        <is>
          <t>Rua Joaquim Pedro Soares, 317</t>
        </is>
      </c>
      <c r="H867" s="7" t="inlineStr">
        <is>
          <t>CNTAA.091.M010</t>
        </is>
      </c>
      <c r="I867" s="8" t="inlineStr">
        <is>
          <t>2 ABERTURA E FECHAMENTO, 1 FUSÃO, 1 TESTES</t>
        </is>
      </c>
      <c r="J867" s="8" t="inlineStr"/>
      <c r="K867" s="8" t="inlineStr">
        <is>
          <t>VINICIUS BRITO</t>
        </is>
      </c>
      <c r="L867" s="9" t="n">
        <v>46161</v>
      </c>
      <c r="M867" s="7" t="inlineStr"/>
      <c r="N867" s="7" t="inlineStr"/>
      <c r="O867" s="9" t="n">
        <v>46164</v>
      </c>
      <c r="P867" s="9" t="n">
        <v>46191</v>
      </c>
      <c r="Q867" s="9" t="n">
        <v>46191</v>
      </c>
      <c r="R867" s="7" t="inlineStr">
        <is>
          <t>Concluído Campo</t>
        </is>
      </c>
      <c r="S867" s="7" t="inlineStr"/>
      <c r="T867" s="10" t="inlineStr"/>
      <c r="U867" s="7" t="inlineStr"/>
      <c r="V867" s="7" t="inlineStr"/>
      <c r="W867" s="7" t="inlineStr"/>
      <c r="X867" s="7" t="inlineStr">
        <is>
          <t>AG. MEDIÇÃO</t>
        </is>
      </c>
      <c r="Y867" s="11">
        <f>IF(AND(L867&lt;&gt;"", S867&lt;&gt;""), S867-L867, IF(L867&lt;&gt;"", TODAY()-L867, ""))</f>
        <v/>
      </c>
      <c r="Z867" s="7">
        <f>IF(Y867="", "", IF(Y867&lt;=3, "NO PRAZO", "ATRASADO"))</f>
        <v/>
      </c>
      <c r="AA867" s="8" t="inlineStr"/>
    </row>
    <row r="868" ht="20" customHeight="1">
      <c r="A868" s="7" t="inlineStr">
        <is>
          <t>RSCLER0863</t>
        </is>
      </c>
      <c r="B868" s="8" t="inlineStr">
        <is>
          <t>PORTO ALEGRE</t>
        </is>
      </c>
      <c r="C868" s="7" t="inlineStr">
        <is>
          <t>FLOAA</t>
        </is>
      </c>
      <c r="D868" s="7" t="inlineStr">
        <is>
          <t>FLOAEA</t>
        </is>
      </c>
      <c r="E868" s="7" t="inlineStr">
        <is>
          <t>RSPNO11</t>
        </is>
      </c>
      <c r="F868" s="8" t="inlineStr">
        <is>
          <t>Cond Ed Tiaraju</t>
        </is>
      </c>
      <c r="G868" s="8" t="inlineStr">
        <is>
          <t>AV NOVA YORK 409</t>
        </is>
      </c>
      <c r="H868" s="7" t="inlineStr">
        <is>
          <t>FLOAA.042.M040</t>
        </is>
      </c>
      <c r="I868" s="8" t="inlineStr">
        <is>
          <t>3 ABERTURA E FECHAMENTO, 4 FUSÕES, 2 TESTES.</t>
        </is>
      </c>
      <c r="J868" s="8" t="inlineStr"/>
      <c r="K868" s="8" t="inlineStr">
        <is>
          <t>AFONSO</t>
        </is>
      </c>
      <c r="L868" s="9" t="n">
        <v>46163</v>
      </c>
      <c r="M868" s="7" t="inlineStr"/>
      <c r="N868" s="7" t="inlineStr"/>
      <c r="O868" s="9" t="n">
        <v>46163</v>
      </c>
      <c r="P868" s="9" t="n">
        <v>46191</v>
      </c>
      <c r="Q868" s="9" t="n">
        <v>46191</v>
      </c>
      <c r="R868" s="7" t="inlineStr">
        <is>
          <t>Concluído Campo</t>
        </is>
      </c>
      <c r="S868" s="9" t="n">
        <v>46233</v>
      </c>
      <c r="T868" s="10" t="inlineStr"/>
      <c r="U868" s="7" t="inlineStr">
        <is>
          <t>5588947</t>
        </is>
      </c>
      <c r="V868" s="7" t="inlineStr">
        <is>
          <t>FINALIZADO</t>
        </is>
      </c>
      <c r="W868" s="7" t="inlineStr"/>
      <c r="X868" s="7" t="inlineStr">
        <is>
          <t>MEDIÇÃO CONCLUÍDA</t>
        </is>
      </c>
      <c r="Y868" s="11">
        <f>IF(AND(L868&lt;&gt;"", S868&lt;&gt;""), S868-L868, IF(L868&lt;&gt;"", TODAY()-L868, ""))</f>
        <v/>
      </c>
      <c r="Z868" s="7">
        <f>IF(Y868="", "", IF(Y868&lt;=3, "NO PRAZO", "ATRASADO"))</f>
        <v/>
      </c>
      <c r="AA868" s="8" t="inlineStr"/>
    </row>
    <row r="869" ht="20" customHeight="1">
      <c r="A869" s="7" t="inlineStr">
        <is>
          <t>RSCLER0864</t>
        </is>
      </c>
      <c r="B869" s="8" t="inlineStr">
        <is>
          <t>PORTO ALEGRE</t>
        </is>
      </c>
      <c r="C869" s="7" t="inlineStr">
        <is>
          <t>BFMAA</t>
        </is>
      </c>
      <c r="D869" s="7" t="inlineStr"/>
      <c r="E869" s="7" t="inlineStr">
        <is>
          <t>PAE IND</t>
        </is>
      </c>
      <c r="F869" s="8" t="inlineStr"/>
      <c r="G869" s="8" t="inlineStr">
        <is>
          <t>RUA CRISTOVÃO COLOMBO, 260</t>
        </is>
      </c>
      <c r="H869" s="7" t="inlineStr">
        <is>
          <t>BFMAA.192.M030</t>
        </is>
      </c>
      <c r="I869" s="8" t="inlineStr">
        <is>
          <t>1 ABERTURA E FECHAMENTO, 1 DERIVAÇÃO, 2 FUSÕES</t>
        </is>
      </c>
      <c r="J869" s="8" t="inlineStr"/>
      <c r="K869" s="8" t="inlineStr">
        <is>
          <t>CATIA</t>
        </is>
      </c>
      <c r="L869" s="9" t="n">
        <v>46141</v>
      </c>
      <c r="M869" s="7" t="inlineStr"/>
      <c r="N869" s="7" t="inlineStr"/>
      <c r="O869" s="9" t="n">
        <v>46141</v>
      </c>
      <c r="P869" s="9" t="n">
        <v>46164</v>
      </c>
      <c r="Q869" s="9" t="n">
        <v>46164</v>
      </c>
      <c r="R869" s="7" t="inlineStr">
        <is>
          <t>Concluído Campo</t>
        </is>
      </c>
      <c r="S869" s="9" t="n">
        <v>46141</v>
      </c>
      <c r="T869" s="10" t="inlineStr"/>
      <c r="U869" s="7" t="inlineStr">
        <is>
          <t>5544383</t>
        </is>
      </c>
      <c r="V869" s="7" t="inlineStr">
        <is>
          <t>FINALIZADO</t>
        </is>
      </c>
      <c r="W869" s="7" t="inlineStr"/>
      <c r="X869" s="7" t="inlineStr">
        <is>
          <t>MEDIÇÃO CONCLUÍDA</t>
        </is>
      </c>
      <c r="Y869" s="11">
        <f>IF(AND(L869&lt;&gt;"", S869&lt;&gt;""), S869-L869, IF(L869&lt;&gt;"", TODAY()-L869, ""))</f>
        <v/>
      </c>
      <c r="Z869" s="7">
        <f>IF(Y869="", "", IF(Y869&lt;=3, "NO PRAZO", "ATRASADO"))</f>
        <v/>
      </c>
      <c r="AA869" s="8" t="inlineStr"/>
    </row>
    <row r="870" ht="20" customHeight="1">
      <c r="A870" s="7" t="inlineStr">
        <is>
          <t>RSCLER0865</t>
        </is>
      </c>
      <c r="B870" s="8" t="inlineStr">
        <is>
          <t>PORTO ALEGRE</t>
        </is>
      </c>
      <c r="C870" s="7" t="inlineStr">
        <is>
          <t>CNTAA</t>
        </is>
      </c>
      <c r="D870" s="7" t="inlineStr"/>
      <c r="E870" s="7" t="inlineStr"/>
      <c r="F870" s="8" t="inlineStr"/>
      <c r="G870" s="8" t="inlineStr">
        <is>
          <t>R GEN LIMA E SILVA 841</t>
        </is>
      </c>
      <c r="H870" s="7" t="inlineStr">
        <is>
          <t>CNTAA.367.M010</t>
        </is>
      </c>
      <c r="I870" s="8" t="inlineStr">
        <is>
          <t>8 ABERTURA E FECHAMENTO, 7 FUSÕES, 1 TESTE.</t>
        </is>
      </c>
      <c r="J870" s="8" t="inlineStr"/>
      <c r="K870" s="8" t="inlineStr">
        <is>
          <t>AFONSO</t>
        </is>
      </c>
      <c r="L870" s="9" t="n">
        <v>46164</v>
      </c>
      <c r="M870" s="7" t="inlineStr"/>
      <c r="N870" s="7" t="inlineStr"/>
      <c r="O870" s="9" t="n">
        <v>46164</v>
      </c>
      <c r="P870" s="9" t="n">
        <v>46168</v>
      </c>
      <c r="Q870" s="9" t="n">
        <v>46168</v>
      </c>
      <c r="R870" s="7" t="inlineStr">
        <is>
          <t>Concluído Campo</t>
        </is>
      </c>
      <c r="S870" s="7" t="inlineStr"/>
      <c r="T870" s="10" t="inlineStr"/>
      <c r="U870" s="7" t="inlineStr"/>
      <c r="V870" s="7" t="inlineStr"/>
      <c r="W870" s="7" t="inlineStr"/>
      <c r="X870" s="7" t="inlineStr">
        <is>
          <t>AG. MEDIÇÃO</t>
        </is>
      </c>
      <c r="Y870" s="11">
        <f>IF(AND(L870&lt;&gt;"", S870&lt;&gt;""), S870-L870, IF(L870&lt;&gt;"", TODAY()-L870, ""))</f>
        <v/>
      </c>
      <c r="Z870" s="7">
        <f>IF(Y870="", "", IF(Y870&lt;=3, "NO PRAZO", "ATRASADO"))</f>
        <v/>
      </c>
      <c r="AA870" s="8" t="inlineStr"/>
    </row>
    <row r="871" ht="20" customHeight="1">
      <c r="A871" s="7" t="inlineStr">
        <is>
          <t>RSCLER0866</t>
        </is>
      </c>
      <c r="B871" s="8" t="inlineStr">
        <is>
          <t>GUAÍBA</t>
        </is>
      </c>
      <c r="C871" s="7" t="inlineStr">
        <is>
          <t>CNT</t>
        </is>
      </c>
      <c r="D871" s="7" t="inlineStr"/>
      <c r="E871" s="7" t="inlineStr">
        <is>
          <t>GUBPP</t>
        </is>
      </c>
      <c r="F871" s="8" t="inlineStr"/>
      <c r="G871" s="8" t="inlineStr">
        <is>
          <t>RUA LAURO AZAMBUJA 118</t>
        </is>
      </c>
      <c r="H871" s="7" t="inlineStr">
        <is>
          <t>CNT.004.M030</t>
        </is>
      </c>
      <c r="I871" s="8" t="inlineStr">
        <is>
          <t>FOI LANÇADO 319 METROS DE CABO DE 48FO, 5 ABERTURA E FECHAMENTO, 89 FUSÕES, 1 CX NOVA, 1 DERIVAÇÃO, 11 TESTES</t>
        </is>
      </c>
      <c r="J871" s="8" t="inlineStr">
        <is>
          <t>ALAN VASCONCELOS</t>
        </is>
      </c>
      <c r="K871" s="8" t="inlineStr">
        <is>
          <t>CATIA</t>
        </is>
      </c>
      <c r="L871" s="7" t="inlineStr"/>
      <c r="M871" s="7" t="inlineStr"/>
      <c r="N871" s="7" t="inlineStr"/>
      <c r="O871" s="9" t="n">
        <v>46129</v>
      </c>
      <c r="P871" s="9" t="n">
        <v>46190</v>
      </c>
      <c r="Q871" s="9" t="n">
        <v>46190</v>
      </c>
      <c r="R871" s="7" t="inlineStr">
        <is>
          <t>Concluído Campo</t>
        </is>
      </c>
      <c r="S871" s="7" t="inlineStr"/>
      <c r="T871" s="10" t="inlineStr"/>
      <c r="U871" s="7" t="inlineStr"/>
      <c r="V871" s="7" t="inlineStr"/>
      <c r="W871" s="7" t="inlineStr"/>
      <c r="X871" s="7" t="inlineStr">
        <is>
          <t>AG. MEDIÇÃO</t>
        </is>
      </c>
      <c r="Y871" s="11">
        <f>IF(AND(L871&lt;&gt;"", S871&lt;&gt;""), S871-L871, IF(L871&lt;&gt;"", TODAY()-L871, ""))</f>
        <v/>
      </c>
      <c r="Z871" s="7">
        <f>IF(Y871="", "", IF(Y871&lt;=3, "NO PRAZO", "ATRASADO"))</f>
        <v/>
      </c>
      <c r="AA871" s="8" t="inlineStr"/>
    </row>
    <row r="872" ht="20" customHeight="1">
      <c r="A872" s="7" t="inlineStr">
        <is>
          <t>RSCLER0867</t>
        </is>
      </c>
      <c r="B872" s="8" t="inlineStr">
        <is>
          <t>PORTO ALEGRE</t>
        </is>
      </c>
      <c r="C872" s="7" t="inlineStr">
        <is>
          <t>JBOAA</t>
        </is>
      </c>
      <c r="D872" s="7" t="inlineStr"/>
      <c r="E872" s="7" t="inlineStr"/>
      <c r="F872" s="8" t="inlineStr"/>
      <c r="G872" s="8" t="inlineStr">
        <is>
          <t>R CHILE 902</t>
        </is>
      </c>
      <c r="H872" s="7" t="inlineStr">
        <is>
          <t>JBOAA.081.M040</t>
        </is>
      </c>
      <c r="I872" s="8" t="inlineStr">
        <is>
          <t>3 ABERTURA E FECHAMENTO, 5 FUSÕES, 2 TESTES</t>
        </is>
      </c>
      <c r="J872" s="8" t="inlineStr"/>
      <c r="K872" s="8" t="inlineStr">
        <is>
          <t>CATIA</t>
        </is>
      </c>
      <c r="L872" s="9" t="n">
        <v>46167</v>
      </c>
      <c r="M872" s="7" t="inlineStr"/>
      <c r="N872" s="7" t="inlineStr"/>
      <c r="O872" s="9" t="n">
        <v>46170</v>
      </c>
      <c r="P872" s="9" t="n">
        <v>46181</v>
      </c>
      <c r="Q872" s="9" t="n">
        <v>46181</v>
      </c>
      <c r="R872" s="7" t="inlineStr">
        <is>
          <t>Concluído Campo</t>
        </is>
      </c>
      <c r="S872" s="7" t="inlineStr"/>
      <c r="T872" s="10" t="inlineStr"/>
      <c r="U872" s="7" t="inlineStr"/>
      <c r="V872" s="7" t="inlineStr"/>
      <c r="W872" s="7" t="inlineStr"/>
      <c r="X872" s="7" t="inlineStr">
        <is>
          <t>AG. MEDIÇÃO</t>
        </is>
      </c>
      <c r="Y872" s="11">
        <f>IF(AND(L872&lt;&gt;"", S872&lt;&gt;""), S872-L872, IF(L872&lt;&gt;"", TODAY()-L872, ""))</f>
        <v/>
      </c>
      <c r="Z872" s="7">
        <f>IF(Y872="", "", IF(Y872&lt;=3, "NO PRAZO", "ATRASADO"))</f>
        <v/>
      </c>
      <c r="AA872" s="8" t="inlineStr"/>
    </row>
    <row r="873" ht="20" customHeight="1">
      <c r="A873" s="7" t="inlineStr">
        <is>
          <t>RSCLER0868</t>
        </is>
      </c>
      <c r="B873" s="8" t="inlineStr">
        <is>
          <t>PORTO ALEGRE</t>
        </is>
      </c>
      <c r="C873" s="7" t="inlineStr">
        <is>
          <t>MTSAA</t>
        </is>
      </c>
      <c r="D873" s="7" t="inlineStr"/>
      <c r="E873" s="7" t="inlineStr"/>
      <c r="F873" s="8" t="inlineStr"/>
      <c r="G873" s="8" t="inlineStr">
        <is>
          <t>R BR DE UBA,199</t>
        </is>
      </c>
      <c r="H873" s="7" t="inlineStr">
        <is>
          <t>MTSAA.305.M020</t>
        </is>
      </c>
      <c r="I873" s="8" t="inlineStr">
        <is>
          <t>2  ABERTURA E FECHAMENTO, 3 FUSÕES, 2 TESTES, 1 TESTE OTDR</t>
        </is>
      </c>
      <c r="J873" s="8" t="inlineStr"/>
      <c r="K873" s="8" t="inlineStr">
        <is>
          <t>CATIA</t>
        </is>
      </c>
      <c r="L873" s="9" t="n">
        <v>46158</v>
      </c>
      <c r="M873" s="7" t="inlineStr"/>
      <c r="N873" s="7" t="inlineStr"/>
      <c r="O873" s="9" t="n">
        <v>46157</v>
      </c>
      <c r="P873" s="9" t="n">
        <v>46162</v>
      </c>
      <c r="Q873" s="9" t="n">
        <v>46162</v>
      </c>
      <c r="R873" s="7" t="inlineStr">
        <is>
          <t>Concluído Campo</t>
        </is>
      </c>
      <c r="S873" s="9" t="n">
        <v>46210</v>
      </c>
      <c r="T873" s="10" t="inlineStr"/>
      <c r="U873" s="7" t="inlineStr"/>
      <c r="V873" s="7" t="inlineStr"/>
      <c r="W873" s="7" t="inlineStr"/>
      <c r="X873" s="7" t="inlineStr">
        <is>
          <t>MEDIÇÃO CONCLUÍDA</t>
        </is>
      </c>
      <c r="Y873" s="11">
        <f>IF(AND(L873&lt;&gt;"", S873&lt;&gt;""), S873-L873, IF(L873&lt;&gt;"", TODAY()-L873, ""))</f>
        <v/>
      </c>
      <c r="Z873" s="7">
        <f>IF(Y873="", "", IF(Y873&lt;=3, "NO PRAZO", "ATRASADO"))</f>
        <v/>
      </c>
      <c r="AA873" s="8" t="inlineStr"/>
    </row>
    <row r="874" ht="20" customHeight="1">
      <c r="A874" s="7" t="inlineStr">
        <is>
          <t>RSCLER0869</t>
        </is>
      </c>
      <c r="B874" s="8" t="inlineStr">
        <is>
          <t>NOVO HAMBURGO</t>
        </is>
      </c>
      <c r="C874" s="7" t="inlineStr">
        <is>
          <t>IDLAA</t>
        </is>
      </c>
      <c r="D874" s="7" t="inlineStr">
        <is>
          <t>IDLAH</t>
        </is>
      </c>
      <c r="E874" s="7" t="inlineStr">
        <is>
          <t>RSNHO11</t>
        </is>
      </c>
      <c r="F874" s="8" t="inlineStr">
        <is>
          <t>Residencial Império</t>
        </is>
      </c>
      <c r="G874" s="8" t="inlineStr">
        <is>
          <t>R. Marquês de Sapucaí, 50</t>
        </is>
      </c>
      <c r="H874" s="7" t="inlineStr">
        <is>
          <t>IDLAA.091.M010</t>
        </is>
      </c>
      <c r="I874" s="8" t="inlineStr">
        <is>
          <t>4 ABERTURA E FECHAMENTO, 3 FUSÕES, 1 TESTE.</t>
        </is>
      </c>
      <c r="J874" s="8" t="inlineStr"/>
      <c r="K874" s="8" t="inlineStr">
        <is>
          <t>AFONSO</t>
        </is>
      </c>
      <c r="L874" s="9" t="n">
        <v>46167</v>
      </c>
      <c r="M874" s="7" t="inlineStr"/>
      <c r="N874" s="7" t="inlineStr"/>
      <c r="O874" s="9" t="n">
        <v>46167</v>
      </c>
      <c r="P874" s="9" t="n">
        <v>46196</v>
      </c>
      <c r="Q874" s="9" t="n">
        <v>46196</v>
      </c>
      <c r="R874" s="7" t="inlineStr">
        <is>
          <t>Concluído Campo</t>
        </is>
      </c>
      <c r="S874" s="9" t="n">
        <v>46167</v>
      </c>
      <c r="T874" s="10" t="inlineStr"/>
      <c r="U874" s="7" t="inlineStr">
        <is>
          <t>5514307</t>
        </is>
      </c>
      <c r="V874" s="7" t="inlineStr">
        <is>
          <t>FINALIZADO</t>
        </is>
      </c>
      <c r="W874" s="7" t="inlineStr"/>
      <c r="X874" s="7" t="inlineStr">
        <is>
          <t>MEDIÇÃO CONCLUÍDA</t>
        </is>
      </c>
      <c r="Y874" s="11">
        <f>IF(AND(L874&lt;&gt;"", S874&lt;&gt;""), S874-L874, IF(L874&lt;&gt;"", TODAY()-L874, ""))</f>
        <v/>
      </c>
      <c r="Z874" s="7">
        <f>IF(Y874="", "", IF(Y874&lt;=3, "NO PRAZO", "ATRASADO"))</f>
        <v/>
      </c>
      <c r="AA874" s="8" t="inlineStr"/>
    </row>
    <row r="875" ht="20" customHeight="1">
      <c r="A875" s="7" t="inlineStr">
        <is>
          <t>RSCLER0870</t>
        </is>
      </c>
      <c r="B875" s="8" t="inlineStr">
        <is>
          <t>PORTO ALEGRE</t>
        </is>
      </c>
      <c r="C875" s="7" t="inlineStr">
        <is>
          <t>VIPAA</t>
        </is>
      </c>
      <c r="D875" s="7" t="inlineStr">
        <is>
          <t>SPEAH</t>
        </is>
      </c>
      <c r="E875" s="7" t="inlineStr">
        <is>
          <t>RSPNO19</t>
        </is>
      </c>
      <c r="F875" s="8" t="inlineStr">
        <is>
          <t>Cond Res Fernando Cortez</t>
        </is>
      </c>
      <c r="G875" s="8" t="inlineStr">
        <is>
          <t>Rua Fernando Cortez, 74</t>
        </is>
      </c>
      <c r="H875" s="7" t="inlineStr">
        <is>
          <t>VIPAA.021.M010</t>
        </is>
      </c>
      <c r="I875" s="8" t="inlineStr">
        <is>
          <t>FOI LANÇADO 361 METROS DE CABO DE 12FO, 2 ABERTURA E FECHAMENTO, 4 FUSÕES, 2 DERIVAÇÃO, 2 TESTE.</t>
        </is>
      </c>
      <c r="J875" s="8" t="inlineStr">
        <is>
          <t>TIAGO FERREIRA</t>
        </is>
      </c>
      <c r="K875" s="8" t="inlineStr">
        <is>
          <t>AFONSO</t>
        </is>
      </c>
      <c r="L875" s="9" t="n">
        <v>46152</v>
      </c>
      <c r="M875" s="7" t="inlineStr"/>
      <c r="N875" s="7" t="inlineStr"/>
      <c r="O875" s="9" t="n">
        <v>46153</v>
      </c>
      <c r="P875" s="9" t="n">
        <v>46218</v>
      </c>
      <c r="Q875" s="9" t="n">
        <v>46218</v>
      </c>
      <c r="R875" s="7" t="inlineStr">
        <is>
          <t>Concluído Campo</t>
        </is>
      </c>
      <c r="S875" s="7" t="inlineStr"/>
      <c r="T875" s="10" t="inlineStr"/>
      <c r="U875" s="7" t="inlineStr"/>
      <c r="V875" s="7" t="inlineStr"/>
      <c r="W875" s="7" t="inlineStr"/>
      <c r="X875" s="7" t="inlineStr">
        <is>
          <t>AG. MEDIÇÃO</t>
        </is>
      </c>
      <c r="Y875" s="11">
        <f>IF(AND(L875&lt;&gt;"", S875&lt;&gt;""), S875-L875, IF(L875&lt;&gt;"", TODAY()-L875, ""))</f>
        <v/>
      </c>
      <c r="Z875" s="7">
        <f>IF(Y875="", "", IF(Y875&lt;=3, "NO PRAZO", "ATRASADO"))</f>
        <v/>
      </c>
      <c r="AA875" s="8" t="inlineStr"/>
    </row>
    <row r="876" ht="20" customHeight="1">
      <c r="A876" s="7" t="inlineStr">
        <is>
          <t>RSCLER0871</t>
        </is>
      </c>
      <c r="B876" s="8" t="inlineStr">
        <is>
          <t>PORTO ALEGRE</t>
        </is>
      </c>
      <c r="C876" s="7" t="inlineStr">
        <is>
          <t>TRZAA</t>
        </is>
      </c>
      <c r="D876" s="7" t="inlineStr">
        <is>
          <t>TRZAAA</t>
        </is>
      </c>
      <c r="E876" s="7" t="inlineStr">
        <is>
          <t>RSPSU11</t>
        </is>
      </c>
      <c r="F876" s="8" t="inlineStr">
        <is>
          <t>Cond. Nardon Veneza</t>
        </is>
      </c>
      <c r="G876" s="8" t="inlineStr">
        <is>
          <t>R LANDEL DE MOURA 207</t>
        </is>
      </c>
      <c r="H876" s="7" t="inlineStr">
        <is>
          <t>TRZAA.082.M030</t>
        </is>
      </c>
      <c r="I876" s="8" t="inlineStr">
        <is>
          <t>FOI LANÇADO 425 METROS DE CABO DE 12FO, 4  ABERTURA E FECHAMENTO, 1 CX NOVA, 6 FUSÕES, 1 DERIVAÇÃO, 6 TESTES.</t>
        </is>
      </c>
      <c r="J876" s="8" t="inlineStr">
        <is>
          <t>TIAGO FERREIRA</t>
        </is>
      </c>
      <c r="K876" s="8" t="inlineStr">
        <is>
          <t>AFONSO</t>
        </is>
      </c>
      <c r="L876" s="9" t="n">
        <v>46162</v>
      </c>
      <c r="M876" s="7" t="inlineStr"/>
      <c r="N876" s="7" t="inlineStr"/>
      <c r="O876" s="9" t="n">
        <v>46183</v>
      </c>
      <c r="P876" s="9" t="n">
        <v>46195</v>
      </c>
      <c r="Q876" s="9" t="n">
        <v>46195</v>
      </c>
      <c r="R876" s="7" t="inlineStr">
        <is>
          <t>Concluído Campo</t>
        </is>
      </c>
      <c r="S876" s="9" t="n">
        <v>46183</v>
      </c>
      <c r="T876" s="10" t="inlineStr"/>
      <c r="U876" s="7" t="inlineStr">
        <is>
          <t>5499370</t>
        </is>
      </c>
      <c r="V876" s="7" t="inlineStr">
        <is>
          <t>FINALIZADO</t>
        </is>
      </c>
      <c r="W876" s="7" t="inlineStr"/>
      <c r="X876" s="7" t="inlineStr">
        <is>
          <t>MEDIÇÃO CONCLUÍDA</t>
        </is>
      </c>
      <c r="Y876" s="11">
        <f>IF(AND(L876&lt;&gt;"", S876&lt;&gt;""), S876-L876, IF(L876&lt;&gt;"", TODAY()-L876, ""))</f>
        <v/>
      </c>
      <c r="Z876" s="7">
        <f>IF(Y876="", "", IF(Y876&lt;=3, "NO PRAZO", "ATRASADO"))</f>
        <v/>
      </c>
      <c r="AA876" s="8" t="inlineStr"/>
    </row>
    <row r="877" ht="20" customHeight="1">
      <c r="A877" s="7" t="inlineStr">
        <is>
          <t>RSCLER0872</t>
        </is>
      </c>
      <c r="B877" s="8" t="inlineStr">
        <is>
          <t>PORTO ALEGRE</t>
        </is>
      </c>
      <c r="C877" s="7" t="inlineStr">
        <is>
          <t>AZNAA</t>
        </is>
      </c>
      <c r="D877" s="7" t="inlineStr"/>
      <c r="E877" s="7" t="inlineStr"/>
      <c r="F877" s="8" t="inlineStr">
        <is>
          <t>Cond. JD AMÉRICA</t>
        </is>
      </c>
      <c r="G877" s="8" t="inlineStr">
        <is>
          <t>RUA ENG. FERNANDO MENDES RIBEIRO 30</t>
        </is>
      </c>
      <c r="H877" s="7" t="inlineStr">
        <is>
          <t>AZNAA.051.M030</t>
        </is>
      </c>
      <c r="I877" s="8" t="inlineStr">
        <is>
          <t>2 ABERTURA E FECHAMENTO, 4 FUSÕES, 1 TESTE OTDR, 3 TESTES</t>
        </is>
      </c>
      <c r="J877" s="8" t="inlineStr"/>
      <c r="K877" s="8" t="inlineStr">
        <is>
          <t>CATIA</t>
        </is>
      </c>
      <c r="L877" s="9" t="n">
        <v>46158</v>
      </c>
      <c r="M877" s="7" t="inlineStr"/>
      <c r="N877" s="7" t="inlineStr"/>
      <c r="O877" s="9" t="n">
        <v>46159</v>
      </c>
      <c r="P877" s="9" t="n">
        <v>46162</v>
      </c>
      <c r="Q877" s="9" t="n">
        <v>46162</v>
      </c>
      <c r="R877" s="7" t="inlineStr">
        <is>
          <t>Concluído Campo</t>
        </is>
      </c>
      <c r="S877" s="9" t="n">
        <v>46159</v>
      </c>
      <c r="T877" s="10" t="inlineStr"/>
      <c r="U877" s="7" t="inlineStr"/>
      <c r="V877" s="7" t="inlineStr"/>
      <c r="W877" s="7" t="inlineStr"/>
      <c r="X877" s="7" t="inlineStr">
        <is>
          <t>MEDIÇÃO CONCLUÍDA</t>
        </is>
      </c>
      <c r="Y877" s="11">
        <f>IF(AND(L877&lt;&gt;"", S877&lt;&gt;""), S877-L877, IF(L877&lt;&gt;"", TODAY()-L877, ""))</f>
        <v/>
      </c>
      <c r="Z877" s="7">
        <f>IF(Y877="", "", IF(Y877&lt;=3, "NO PRAZO", "ATRASADO"))</f>
        <v/>
      </c>
      <c r="AA877" s="8" t="inlineStr"/>
    </row>
    <row r="878" ht="20" customHeight="1">
      <c r="A878" s="7" t="inlineStr">
        <is>
          <t>RSCLER0873</t>
        </is>
      </c>
      <c r="B878" s="8" t="inlineStr">
        <is>
          <t>NOVO HAMBURGO</t>
        </is>
      </c>
      <c r="C878" s="7" t="inlineStr">
        <is>
          <t>IDLAA</t>
        </is>
      </c>
      <c r="D878" s="7" t="inlineStr"/>
      <c r="E878" s="7" t="inlineStr">
        <is>
          <t>RSNHO11</t>
        </is>
      </c>
      <c r="F878" s="8" t="inlineStr">
        <is>
          <t>Condomínio Dom Pedro II</t>
        </is>
      </c>
      <c r="G878" s="8" t="inlineStr">
        <is>
          <t>R. Marquês de Sapucaí, 100</t>
        </is>
      </c>
      <c r="H878" s="7" t="inlineStr">
        <is>
          <t>IDLAA.035.M040</t>
        </is>
      </c>
      <c r="I878" s="8" t="inlineStr">
        <is>
          <t>4 ABERTURA E FECHAMENTO, 4 FUSÕES, 2 TESTES.</t>
        </is>
      </c>
      <c r="J878" s="8" t="inlineStr"/>
      <c r="K878" s="8" t="inlineStr">
        <is>
          <t>AFONSO</t>
        </is>
      </c>
      <c r="L878" s="9" t="n">
        <v>46167</v>
      </c>
      <c r="M878" s="7" t="inlineStr"/>
      <c r="N878" s="7" t="inlineStr"/>
      <c r="O878" s="9" t="n">
        <v>46168</v>
      </c>
      <c r="P878" s="9" t="n">
        <v>46205</v>
      </c>
      <c r="Q878" s="9" t="n">
        <v>46254</v>
      </c>
      <c r="R878" s="7" t="inlineStr">
        <is>
          <t>Concluído Campo</t>
        </is>
      </c>
      <c r="S878" s="7" t="inlineStr"/>
      <c r="T878" s="10" t="inlineStr"/>
      <c r="U878" s="7" t="inlineStr"/>
      <c r="V878" s="7" t="inlineStr"/>
      <c r="W878" s="7" t="inlineStr"/>
      <c r="X878" s="7" t="inlineStr">
        <is>
          <t>AG. MEDIÇÃO</t>
        </is>
      </c>
      <c r="Y878" s="11">
        <f>IF(AND(L878&lt;&gt;"", S878&lt;&gt;""), S878-L878, IF(L878&lt;&gt;"", TODAY()-L878, ""))</f>
        <v/>
      </c>
      <c r="Z878" s="7">
        <f>IF(Y878="", "", IF(Y878&lt;=3, "NO PRAZO", "ATRASADO"))</f>
        <v/>
      </c>
      <c r="AA878" s="8" t="inlineStr"/>
    </row>
    <row r="879" ht="20" customHeight="1">
      <c r="A879" s="7" t="inlineStr">
        <is>
          <t>RSCLER0874</t>
        </is>
      </c>
      <c r="B879" s="8" t="inlineStr">
        <is>
          <t>PORTO ALEGRE</t>
        </is>
      </c>
      <c r="C879" s="7" t="inlineStr">
        <is>
          <t>JITAB</t>
        </is>
      </c>
      <c r="D879" s="7" t="inlineStr">
        <is>
          <t>JITAIA</t>
        </is>
      </c>
      <c r="E879" s="7" t="inlineStr">
        <is>
          <t>RSPNO75</t>
        </is>
      </c>
      <c r="F879" s="8" t="inlineStr"/>
      <c r="G879" s="8" t="inlineStr">
        <is>
          <t>R JALMAR AZAMBUJA DINIZ 222</t>
        </is>
      </c>
      <c r="H879" s="7" t="inlineStr">
        <is>
          <t>JITAB.152.M040</t>
        </is>
      </c>
      <c r="I879" s="8" t="inlineStr">
        <is>
          <t>2 ABERTURA E FECHAMENTO, 1 FUSÃO, 1 TESTE.</t>
        </is>
      </c>
      <c r="J879" s="8" t="inlineStr"/>
      <c r="K879" s="8" t="inlineStr">
        <is>
          <t>AFONSO</t>
        </is>
      </c>
      <c r="L879" s="9" t="n">
        <v>46162</v>
      </c>
      <c r="M879" s="7" t="inlineStr"/>
      <c r="N879" s="7" t="inlineStr"/>
      <c r="O879" s="9" t="n">
        <v>46162</v>
      </c>
      <c r="P879" s="9" t="n">
        <v>46167</v>
      </c>
      <c r="Q879" s="9" t="n">
        <v>46167</v>
      </c>
      <c r="R879" s="7" t="inlineStr">
        <is>
          <t>Concluído Campo</t>
        </is>
      </c>
      <c r="S879" s="7" t="inlineStr"/>
      <c r="T879" s="10" t="inlineStr"/>
      <c r="U879" s="7" t="inlineStr"/>
      <c r="V879" s="7" t="inlineStr"/>
      <c r="W879" s="7" t="inlineStr"/>
      <c r="X879" s="7" t="inlineStr">
        <is>
          <t>AG. MEDIÇÃO</t>
        </is>
      </c>
      <c r="Y879" s="11">
        <f>IF(AND(L879&lt;&gt;"", S879&lt;&gt;""), S879-L879, IF(L879&lt;&gt;"", TODAY()-L879, ""))</f>
        <v/>
      </c>
      <c r="Z879" s="7">
        <f>IF(Y879="", "", IF(Y879&lt;=3, "NO PRAZO", "ATRASADO"))</f>
        <v/>
      </c>
      <c r="AA879" s="8" t="inlineStr"/>
    </row>
    <row r="880" ht="20" customHeight="1">
      <c r="A880" s="7" t="inlineStr">
        <is>
          <t>RSCLER0875</t>
        </is>
      </c>
      <c r="B880" s="8" t="inlineStr">
        <is>
          <t>PORTO ALEGRE</t>
        </is>
      </c>
      <c r="C880" s="7" t="inlineStr">
        <is>
          <t>PETAA</t>
        </is>
      </c>
      <c r="D880" s="7" t="inlineStr"/>
      <c r="E880" s="7" t="inlineStr"/>
      <c r="F880" s="8" t="inlineStr"/>
      <c r="G880" s="8" t="inlineStr">
        <is>
          <t>R CARAZINHO ,145</t>
        </is>
      </c>
      <c r="H880" s="7" t="inlineStr">
        <is>
          <t>PETAA.154.M020</t>
        </is>
      </c>
      <c r="I880" s="8" t="inlineStr">
        <is>
          <t>2 ABERTURA E FECHAMENTO, 3 FUSÕES, 1 TESTE OTDR, 2 TESTES.</t>
        </is>
      </c>
      <c r="J880" s="8" t="inlineStr"/>
      <c r="K880" s="8" t="inlineStr">
        <is>
          <t>CATIA</t>
        </is>
      </c>
      <c r="L880" s="9" t="n">
        <v>46158</v>
      </c>
      <c r="M880" s="7" t="inlineStr"/>
      <c r="N880" s="7" t="inlineStr"/>
      <c r="O880" s="9" t="n">
        <v>46159</v>
      </c>
      <c r="P880" s="9" t="n">
        <v>46162</v>
      </c>
      <c r="Q880" s="9" t="n">
        <v>46162</v>
      </c>
      <c r="R880" s="7" t="inlineStr">
        <is>
          <t>Concluído Campo</t>
        </is>
      </c>
      <c r="S880" s="7" t="inlineStr"/>
      <c r="T880" s="10" t="inlineStr"/>
      <c r="U880" s="7" t="inlineStr"/>
      <c r="V880" s="7" t="inlineStr"/>
      <c r="W880" s="7" t="inlineStr"/>
      <c r="X880" s="7" t="inlineStr">
        <is>
          <t>AG. MEDIÇÃO</t>
        </is>
      </c>
      <c r="Y880" s="11">
        <f>IF(AND(L880&lt;&gt;"", S880&lt;&gt;""), S880-L880, IF(L880&lt;&gt;"", TODAY()-L880, ""))</f>
        <v/>
      </c>
      <c r="Z880" s="7">
        <f>IF(Y880="", "", IF(Y880&lt;=3, "NO PRAZO", "ATRASADO"))</f>
        <v/>
      </c>
      <c r="AA880" s="8" t="inlineStr"/>
    </row>
    <row r="881" ht="20" customHeight="1">
      <c r="A881" s="7" t="inlineStr">
        <is>
          <t>RSCLER0876</t>
        </is>
      </c>
      <c r="B881" s="8" t="inlineStr">
        <is>
          <t>ALVORADA</t>
        </is>
      </c>
      <c r="C881" s="7" t="inlineStr">
        <is>
          <t>UMBAA</t>
        </is>
      </c>
      <c r="D881" s="7" t="inlineStr"/>
      <c r="E881" s="7" t="inlineStr">
        <is>
          <t>RSAVA05</t>
        </is>
      </c>
      <c r="F881" s="8" t="inlineStr">
        <is>
          <t>Condomínio</t>
        </is>
      </c>
      <c r="G881" s="8" t="inlineStr">
        <is>
          <t>R Cento e Vinte e Um ,176</t>
        </is>
      </c>
      <c r="H881" s="7" t="inlineStr">
        <is>
          <t>UMBAA.029.M020</t>
        </is>
      </c>
      <c r="I881" s="8" t="inlineStr">
        <is>
          <t>2 ABERTURA E FECHAMENTO, 2 FUSÕES, 2 TESTES</t>
        </is>
      </c>
      <c r="J881" s="8" t="inlineStr"/>
      <c r="K881" s="8" t="inlineStr">
        <is>
          <t>AFONSO</t>
        </is>
      </c>
      <c r="L881" s="9" t="n">
        <v>46157</v>
      </c>
      <c r="M881" s="7" t="inlineStr"/>
      <c r="N881" s="7" t="inlineStr"/>
      <c r="O881" s="9" t="n">
        <v>46160</v>
      </c>
      <c r="P881" s="9" t="n">
        <v>46181</v>
      </c>
      <c r="Q881" s="9" t="n">
        <v>46181</v>
      </c>
      <c r="R881" s="7" t="inlineStr">
        <is>
          <t>Concluído Campo</t>
        </is>
      </c>
      <c r="S881" s="7" t="inlineStr"/>
      <c r="T881" s="10" t="inlineStr"/>
      <c r="U881" s="7" t="inlineStr"/>
      <c r="V881" s="7" t="inlineStr"/>
      <c r="W881" s="7" t="inlineStr"/>
      <c r="X881" s="7" t="inlineStr">
        <is>
          <t>AG. MEDIÇÃO</t>
        </is>
      </c>
      <c r="Y881" s="11">
        <f>IF(AND(L881&lt;&gt;"", S881&lt;&gt;""), S881-L881, IF(L881&lt;&gt;"", TODAY()-L881, ""))</f>
        <v/>
      </c>
      <c r="Z881" s="7">
        <f>IF(Y881="", "", IF(Y881&lt;=3, "NO PRAZO", "ATRASADO"))</f>
        <v/>
      </c>
      <c r="AA881" s="8" t="inlineStr"/>
    </row>
    <row r="882" ht="20" customHeight="1">
      <c r="A882" s="7" t="inlineStr">
        <is>
          <t>RSCLER0877</t>
        </is>
      </c>
      <c r="B882" s="8" t="inlineStr">
        <is>
          <t>PORTO ALEGRE</t>
        </is>
      </c>
      <c r="C882" s="7" t="inlineStr">
        <is>
          <t>RBTAB</t>
        </is>
      </c>
      <c r="D882" s="7" t="inlineStr">
        <is>
          <t>RBTAC</t>
        </is>
      </c>
      <c r="E882" s="7" t="inlineStr">
        <is>
          <t>RSPNO22</t>
        </is>
      </c>
      <c r="F882" s="8" t="inlineStr"/>
      <c r="G882" s="8" t="inlineStr">
        <is>
          <t>Rua Carlos Estevão 710</t>
        </is>
      </c>
      <c r="H882" s="7" t="inlineStr">
        <is>
          <t>RBTAB.041.M020</t>
        </is>
      </c>
      <c r="I882" s="8" t="inlineStr">
        <is>
          <t>2 ABERTURA E FECHAMENTO, 1 DERIVAÇÃO, 10 FUSÕES, 5 TESTES.</t>
        </is>
      </c>
      <c r="J882" s="8" t="inlineStr">
        <is>
          <t>AFONSO</t>
        </is>
      </c>
      <c r="K882" s="8" t="inlineStr">
        <is>
          <t>AFONSO</t>
        </is>
      </c>
      <c r="L882" s="9" t="n">
        <v>46143</v>
      </c>
      <c r="M882" s="7" t="inlineStr"/>
      <c r="N882" s="7" t="inlineStr"/>
      <c r="O882" s="9" t="n">
        <v>46147</v>
      </c>
      <c r="P882" s="9" t="n">
        <v>46226</v>
      </c>
      <c r="Q882" s="9" t="n">
        <v>46226</v>
      </c>
      <c r="R882" s="7" t="inlineStr">
        <is>
          <t>Concluído Campo</t>
        </is>
      </c>
      <c r="S882" s="7" t="inlineStr"/>
      <c r="T882" s="10" t="inlineStr"/>
      <c r="U882" s="7" t="inlineStr"/>
      <c r="V882" s="7" t="inlineStr"/>
      <c r="W882" s="7" t="inlineStr"/>
      <c r="X882" s="7" t="inlineStr">
        <is>
          <t>AG. MEDIÇÃO</t>
        </is>
      </c>
      <c r="Y882" s="11">
        <f>IF(AND(L882&lt;&gt;"", S882&lt;&gt;""), S882-L882, IF(L882&lt;&gt;"", TODAY()-L882, ""))</f>
        <v/>
      </c>
      <c r="Z882" s="7">
        <f>IF(Y882="", "", IF(Y882&lt;=3, "NO PRAZO", "ATRASADO"))</f>
        <v/>
      </c>
      <c r="AA882" s="8" t="inlineStr"/>
    </row>
    <row r="883" ht="20" customHeight="1">
      <c r="A883" s="7" t="inlineStr">
        <is>
          <t>RSCLER0878</t>
        </is>
      </c>
      <c r="B883" s="8" t="inlineStr">
        <is>
          <t>PORTO ALEGRE</t>
        </is>
      </c>
      <c r="C883" s="7" t="inlineStr">
        <is>
          <t>BFMAA</t>
        </is>
      </c>
      <c r="D883" s="7" t="inlineStr">
        <is>
          <t>FLOAJ</t>
        </is>
      </c>
      <c r="E883" s="7" t="inlineStr">
        <is>
          <t>PAE IND</t>
        </is>
      </c>
      <c r="F883" s="8" t="inlineStr">
        <is>
          <t>Condomínio Edificio Dona Olga</t>
        </is>
      </c>
      <c r="G883" s="8" t="inlineStr">
        <is>
          <t>R. Ramiro Barcelos, 488</t>
        </is>
      </c>
      <c r="H883" s="7" t="inlineStr">
        <is>
          <t>BFMAA.041.M020</t>
        </is>
      </c>
      <c r="I883" s="8" t="inlineStr">
        <is>
          <t>2 ABERTURA E FECHAMENTO, 1 FUSÃO, 1 TESTE.</t>
        </is>
      </c>
      <c r="J883" s="8" t="inlineStr"/>
      <c r="K883" s="8" t="inlineStr">
        <is>
          <t>AFONSO</t>
        </is>
      </c>
      <c r="L883" s="9" t="n">
        <v>46161</v>
      </c>
      <c r="M883" s="7" t="inlineStr"/>
      <c r="N883" s="7" t="inlineStr"/>
      <c r="O883" s="9" t="n">
        <v>46161</v>
      </c>
      <c r="P883" s="9" t="n">
        <v>46191</v>
      </c>
      <c r="Q883" s="9" t="n">
        <v>46191</v>
      </c>
      <c r="R883" s="7" t="inlineStr">
        <is>
          <t>Concluído Campo</t>
        </is>
      </c>
      <c r="S883" s="9" t="n">
        <v>46233</v>
      </c>
      <c r="T883" s="10" t="inlineStr"/>
      <c r="U883" s="7" t="inlineStr">
        <is>
          <t>5588406</t>
        </is>
      </c>
      <c r="V883" s="7" t="inlineStr">
        <is>
          <t>FINALIZADO</t>
        </is>
      </c>
      <c r="W883" s="7" t="inlineStr"/>
      <c r="X883" s="7" t="inlineStr">
        <is>
          <t>MEDIÇÃO CONCLUÍDA</t>
        </is>
      </c>
      <c r="Y883" s="11">
        <f>IF(AND(L883&lt;&gt;"", S883&lt;&gt;""), S883-L883, IF(L883&lt;&gt;"", TODAY()-L883, ""))</f>
        <v/>
      </c>
      <c r="Z883" s="7">
        <f>IF(Y883="", "", IF(Y883&lt;=3, "NO PRAZO", "ATRASADO"))</f>
        <v/>
      </c>
      <c r="AA883" s="8" t="inlineStr"/>
    </row>
    <row r="884" ht="20" customHeight="1">
      <c r="A884" s="7" t="inlineStr">
        <is>
          <t>RSCLER0879</t>
        </is>
      </c>
      <c r="B884" s="8" t="inlineStr">
        <is>
          <t>PORTO ALEGRE</t>
        </is>
      </c>
      <c r="C884" s="7" t="inlineStr">
        <is>
          <t>RBTAB</t>
        </is>
      </c>
      <c r="D884" s="7" t="inlineStr">
        <is>
          <t>RBTAAA</t>
        </is>
      </c>
      <c r="E884" s="7" t="inlineStr">
        <is>
          <t>RSPNO22</t>
        </is>
      </c>
      <c r="F884" s="8" t="inlineStr"/>
      <c r="G884" s="8" t="inlineStr">
        <is>
          <t>RUA PROFESSORA AMY HERVE RAMIRES 20 40 60 e 80</t>
        </is>
      </c>
      <c r="H884" s="7" t="inlineStr">
        <is>
          <t>RBTAB.053.M020</t>
        </is>
      </c>
      <c r="I884" s="8" t="inlineStr">
        <is>
          <t>FOI LANÇADO 180 METROS DE CABO DE 24FO, MAIS 64 METROS DE CABO DE 12FO, 5 ABERTURA E FECHAMENTO, 2 CX NOVA, 4 DERIVAÇÃO, 46 FUSÕES, 30 TESTES.</t>
        </is>
      </c>
      <c r="J884" s="8" t="inlineStr">
        <is>
          <t>AFONSO</t>
        </is>
      </c>
      <c r="K884" s="8" t="inlineStr">
        <is>
          <t>AFONSO</t>
        </is>
      </c>
      <c r="L884" s="9" t="n">
        <v>46149</v>
      </c>
      <c r="M884" s="7" t="inlineStr"/>
      <c r="N884" s="7" t="inlineStr"/>
      <c r="O884" s="9" t="n">
        <v>46150</v>
      </c>
      <c r="P884" s="9" t="n">
        <v>46226</v>
      </c>
      <c r="Q884" s="9" t="n">
        <v>46226</v>
      </c>
      <c r="R884" s="7" t="inlineStr">
        <is>
          <t>Concluído Campo</t>
        </is>
      </c>
      <c r="S884" s="7" t="inlineStr"/>
      <c r="T884" s="10" t="inlineStr"/>
      <c r="U884" s="7" t="inlineStr"/>
      <c r="V884" s="7" t="inlineStr"/>
      <c r="W884" s="7" t="inlineStr"/>
      <c r="X884" s="7" t="inlineStr">
        <is>
          <t>AG. MEDIÇÃO</t>
        </is>
      </c>
      <c r="Y884" s="11">
        <f>IF(AND(L884&lt;&gt;"", S884&lt;&gt;""), S884-L884, IF(L884&lt;&gt;"", TODAY()-L884, ""))</f>
        <v/>
      </c>
      <c r="Z884" s="7">
        <f>IF(Y884="", "", IF(Y884&lt;=3, "NO PRAZO", "ATRASADO"))</f>
        <v/>
      </c>
      <c r="AA884" s="8" t="inlineStr"/>
    </row>
    <row r="885" ht="20" customHeight="1">
      <c r="A885" s="7" t="inlineStr">
        <is>
          <t>RSCLER0880</t>
        </is>
      </c>
      <c r="B885" s="8" t="inlineStr">
        <is>
          <t>PORTO ALEGRE</t>
        </is>
      </c>
      <c r="C885" s="7" t="inlineStr">
        <is>
          <t>PDRAA</t>
        </is>
      </c>
      <c r="D885" s="7" t="inlineStr"/>
      <c r="E885" s="7" t="inlineStr"/>
      <c r="F885" s="8" t="inlineStr">
        <is>
          <t>Condomínio Plaza de Umbu</t>
        </is>
      </c>
      <c r="G885" s="8" t="inlineStr">
        <is>
          <t>R. Umbú, 45</t>
        </is>
      </c>
      <c r="H885" s="7" t="inlineStr">
        <is>
          <t>PDRAA.051.M010</t>
        </is>
      </c>
      <c r="I885" s="8" t="inlineStr">
        <is>
          <t>3 ABERTURA E FECHAMENTO, 6 FUSÕES, 3 TESTES</t>
        </is>
      </c>
      <c r="J885" s="8" t="inlineStr"/>
      <c r="K885" s="8" t="inlineStr">
        <is>
          <t>CATIA</t>
        </is>
      </c>
      <c r="L885" s="9" t="n">
        <v>46168</v>
      </c>
      <c r="M885" s="7" t="inlineStr"/>
      <c r="N885" s="7" t="inlineStr"/>
      <c r="O885" s="9" t="n">
        <v>46169</v>
      </c>
      <c r="P885" s="9" t="n">
        <v>46178</v>
      </c>
      <c r="Q885" s="9" t="n">
        <v>46178</v>
      </c>
      <c r="R885" s="7" t="inlineStr">
        <is>
          <t>Concluído Campo</t>
        </is>
      </c>
      <c r="S885" s="7" t="inlineStr"/>
      <c r="T885" s="10" t="inlineStr"/>
      <c r="U885" s="7" t="inlineStr"/>
      <c r="V885" s="7" t="inlineStr"/>
      <c r="W885" s="7" t="inlineStr"/>
      <c r="X885" s="7" t="inlineStr">
        <is>
          <t>AG. MEDIÇÃO</t>
        </is>
      </c>
      <c r="Y885" s="11">
        <f>IF(AND(L885&lt;&gt;"", S885&lt;&gt;""), S885-L885, IF(L885&lt;&gt;"", TODAY()-L885, ""))</f>
        <v/>
      </c>
      <c r="Z885" s="7">
        <f>IF(Y885="", "", IF(Y885&lt;=3, "NO PRAZO", "ATRASADO"))</f>
        <v/>
      </c>
      <c r="AA885" s="8" t="inlineStr"/>
    </row>
    <row r="886" ht="20" customHeight="1">
      <c r="A886" s="7" t="inlineStr">
        <is>
          <t>RSCLER0881</t>
        </is>
      </c>
      <c r="B886" s="8" t="inlineStr">
        <is>
          <t>GUAÍBA</t>
        </is>
      </c>
      <c r="C886" s="7" t="inlineStr">
        <is>
          <t>VLI</t>
        </is>
      </c>
      <c r="D886" s="7" t="inlineStr"/>
      <c r="E886" s="7" t="inlineStr">
        <is>
          <t>RSGUB07</t>
        </is>
      </c>
      <c r="F886" s="8" t="inlineStr"/>
      <c r="G886" s="8" t="inlineStr">
        <is>
          <t>R DONA ALAIDES LARRE PEREIRA 187</t>
        </is>
      </c>
      <c r="H886" s="7" t="inlineStr">
        <is>
          <t>VLI029M010</t>
        </is>
      </c>
      <c r="I886" s="8" t="inlineStr">
        <is>
          <t>FOI LANÇADO 153 METROS DE CABO DE 12FO, 1 ABERTURA E FECHAMENTO, 4 FUSÕES, 1 CX NOVA, 2 DERIVAÇÕES, 2 TESTES.</t>
        </is>
      </c>
      <c r="J886" s="8" t="inlineStr">
        <is>
          <t>CATIA</t>
        </is>
      </c>
      <c r="K886" s="8" t="inlineStr">
        <is>
          <t>CATIA</t>
        </is>
      </c>
      <c r="L886" s="9" t="n">
        <v>46168</v>
      </c>
      <c r="M886" s="7" t="inlineStr"/>
      <c r="N886" s="7" t="inlineStr"/>
      <c r="O886" s="9" t="n">
        <v>46172</v>
      </c>
      <c r="P886" s="9" t="n">
        <v>46241</v>
      </c>
      <c r="Q886" s="9" t="n">
        <v>46241</v>
      </c>
      <c r="R886" s="7" t="inlineStr">
        <is>
          <t>Concluído Campo</t>
        </is>
      </c>
      <c r="S886" s="7" t="inlineStr"/>
      <c r="T886" s="10" t="inlineStr"/>
      <c r="U886" s="7" t="inlineStr"/>
      <c r="V886" s="7" t="inlineStr"/>
      <c r="W886" s="7" t="inlineStr"/>
      <c r="X886" s="7" t="inlineStr">
        <is>
          <t>AG. MEDIÇÃO</t>
        </is>
      </c>
      <c r="Y886" s="11">
        <f>IF(AND(L886&lt;&gt;"", S886&lt;&gt;""), S886-L886, IF(L886&lt;&gt;"", TODAY()-L886, ""))</f>
        <v/>
      </c>
      <c r="Z886" s="7">
        <f>IF(Y886="", "", IF(Y886&lt;=3, "NO PRAZO", "ATRASADO"))</f>
        <v/>
      </c>
      <c r="AA886" s="8" t="inlineStr"/>
    </row>
    <row r="887" ht="20" customHeight="1">
      <c r="A887" s="7" t="inlineStr">
        <is>
          <t>RSCLER0882</t>
        </is>
      </c>
      <c r="B887" s="8" t="inlineStr">
        <is>
          <t>NOVO HAMBURGO</t>
        </is>
      </c>
      <c r="C887" s="7" t="inlineStr">
        <is>
          <t>RNDAA</t>
        </is>
      </c>
      <c r="D887" s="7" t="inlineStr">
        <is>
          <t>RNDAH</t>
        </is>
      </c>
      <c r="E887" s="7" t="inlineStr">
        <is>
          <t>RSNHO12</t>
        </is>
      </c>
      <c r="F887" s="8" t="inlineStr">
        <is>
          <t>Residencial Porto Baden</t>
        </is>
      </c>
      <c r="G887" s="8" t="inlineStr">
        <is>
          <t>R MARIA OLINDA TELLES 1222</t>
        </is>
      </c>
      <c r="H887" s="7" t="inlineStr">
        <is>
          <t>RNDAA.062.M010</t>
        </is>
      </c>
      <c r="I887" s="8" t="inlineStr">
        <is>
          <t>FOI LANÇADO 752 METROS DE CABO DE 12FO, 5 ABERTURA E FECHHAMENTO, 15 FUSÕES, 1 DERIVAÇÃO, 1 CX NOVA, 5 TESTES.</t>
        </is>
      </c>
      <c r="J887" s="8" t="inlineStr">
        <is>
          <t>TIAGO FERREIRA</t>
        </is>
      </c>
      <c r="K887" s="8" t="inlineStr">
        <is>
          <t>AFONSO</t>
        </is>
      </c>
      <c r="L887" s="9" t="n">
        <v>46168</v>
      </c>
      <c r="M887" s="7" t="inlineStr"/>
      <c r="N887" s="7" t="inlineStr"/>
      <c r="O887" s="9" t="n">
        <v>46171</v>
      </c>
      <c r="P887" s="9" t="n">
        <v>46217</v>
      </c>
      <c r="Q887" s="9" t="n">
        <v>46241</v>
      </c>
      <c r="R887" s="7" t="inlineStr">
        <is>
          <t>Concluído Campo</t>
        </is>
      </c>
      <c r="S887" s="7" t="inlineStr"/>
      <c r="T887" s="10" t="inlineStr"/>
      <c r="U887" s="7" t="inlineStr"/>
      <c r="V887" s="7" t="inlineStr"/>
      <c r="W887" s="7" t="inlineStr"/>
      <c r="X887" s="7" t="inlineStr">
        <is>
          <t>AG. MEDIÇÃO</t>
        </is>
      </c>
      <c r="Y887" s="11">
        <f>IF(AND(L887&lt;&gt;"", S887&lt;&gt;""), S887-L887, IF(L887&lt;&gt;"", TODAY()-L887, ""))</f>
        <v/>
      </c>
      <c r="Z887" s="7">
        <f>IF(Y887="", "", IF(Y887&lt;=3, "NO PRAZO", "ATRASADO"))</f>
        <v/>
      </c>
      <c r="AA887" s="8" t="inlineStr"/>
    </row>
    <row r="888" ht="20" customHeight="1">
      <c r="A888" s="7" t="inlineStr">
        <is>
          <t>RSCLER0883</t>
        </is>
      </c>
      <c r="B888" s="8" t="inlineStr">
        <is>
          <t>NOVO HAMBURGO</t>
        </is>
      </c>
      <c r="C888" s="7" t="inlineStr">
        <is>
          <t>CNUAB</t>
        </is>
      </c>
      <c r="D888" s="7" t="inlineStr">
        <is>
          <t>CNUAB</t>
        </is>
      </c>
      <c r="E888" s="7" t="inlineStr">
        <is>
          <t>RSNHO09</t>
        </is>
      </c>
      <c r="F888" s="8" t="inlineStr">
        <is>
          <t>Residencial Ícaro</t>
        </is>
      </c>
      <c r="G888" s="8" t="inlineStr">
        <is>
          <t>R FLAMARION 245</t>
        </is>
      </c>
      <c r="H888" s="7" t="inlineStr">
        <is>
          <t>CNUAB.061.M010</t>
        </is>
      </c>
      <c r="I888" s="8" t="inlineStr">
        <is>
          <t>FOI LANÇADO 825 METROS DE CABO DE 12FO, 2 ABERTURA E FECHAMENTO, 8 FUSÕES, 1 DERIVAÇÃO, 1 CX NOVA, 4 TESTES.</t>
        </is>
      </c>
      <c r="J888" s="8" t="inlineStr">
        <is>
          <t>TIAGO FERREIRA</t>
        </is>
      </c>
      <c r="K888" s="8" t="inlineStr">
        <is>
          <t>AFONSO</t>
        </is>
      </c>
      <c r="L888" s="9" t="n">
        <v>46168</v>
      </c>
      <c r="M888" s="7" t="inlineStr"/>
      <c r="N888" s="7" t="inlineStr"/>
      <c r="O888" s="9" t="n">
        <v>46169</v>
      </c>
      <c r="P888" s="9" t="n">
        <v>46217</v>
      </c>
      <c r="Q888" s="9" t="n">
        <v>46217</v>
      </c>
      <c r="R888" s="7" t="inlineStr">
        <is>
          <t>Concluído Campo</t>
        </is>
      </c>
      <c r="S888" s="7" t="inlineStr"/>
      <c r="T888" s="10" t="inlineStr"/>
      <c r="U888" s="7" t="inlineStr"/>
      <c r="V888" s="7" t="inlineStr"/>
      <c r="W888" s="7" t="inlineStr"/>
      <c r="X888" s="7" t="inlineStr">
        <is>
          <t>AG. MEDIÇÃO</t>
        </is>
      </c>
      <c r="Y888" s="11">
        <f>IF(AND(L888&lt;&gt;"", S888&lt;&gt;""), S888-L888, IF(L888&lt;&gt;"", TODAY()-L888, ""))</f>
        <v/>
      </c>
      <c r="Z888" s="7">
        <f>IF(Y888="", "", IF(Y888&lt;=3, "NO PRAZO", "ATRASADO"))</f>
        <v/>
      </c>
      <c r="AA888" s="8" t="inlineStr"/>
    </row>
    <row r="889" ht="20" customHeight="1">
      <c r="A889" s="7" t="inlineStr">
        <is>
          <t>RSCLER0884</t>
        </is>
      </c>
      <c r="B889" s="8" t="inlineStr">
        <is>
          <t>PORTO ALEGRE</t>
        </is>
      </c>
      <c r="C889" s="7" t="inlineStr">
        <is>
          <t>BFMAA</t>
        </is>
      </c>
      <c r="D889" s="7" t="inlineStr">
        <is>
          <t>FLOAM</t>
        </is>
      </c>
      <c r="E889" s="7" t="inlineStr">
        <is>
          <t>PAE IND</t>
        </is>
      </c>
      <c r="F889" s="8" t="inlineStr"/>
      <c r="G889" s="8" t="inlineStr">
        <is>
          <t>R GONÇALO DE CARVALHO, 439</t>
        </is>
      </c>
      <c r="H889" s="7" t="inlineStr">
        <is>
          <t>BFMAA.243.M020</t>
        </is>
      </c>
      <c r="I889" s="8" t="inlineStr">
        <is>
          <t>2 ABERTURA E FECHAMENTO, 1 FUSÃO, 1 TESTE.</t>
        </is>
      </c>
      <c r="J889" s="8" t="inlineStr"/>
      <c r="K889" s="8" t="inlineStr">
        <is>
          <t>CATIA</t>
        </is>
      </c>
      <c r="L889" s="9" t="n">
        <v>46169</v>
      </c>
      <c r="M889" s="7" t="inlineStr"/>
      <c r="N889" s="7" t="inlineStr"/>
      <c r="O889" s="9" t="n">
        <v>46170</v>
      </c>
      <c r="P889" s="9" t="n">
        <v>46191</v>
      </c>
      <c r="Q889" s="9" t="n">
        <v>46191</v>
      </c>
      <c r="R889" s="7" t="inlineStr">
        <is>
          <t>Concluído Campo</t>
        </is>
      </c>
      <c r="S889" s="9" t="n">
        <v>46233</v>
      </c>
      <c r="T889" s="10" t="inlineStr"/>
      <c r="U889" s="7" t="inlineStr">
        <is>
          <t>5588532</t>
        </is>
      </c>
      <c r="V889" s="7" t="inlineStr">
        <is>
          <t>FINALIZADO</t>
        </is>
      </c>
      <c r="W889" s="7" t="inlineStr"/>
      <c r="X889" s="7" t="inlineStr">
        <is>
          <t>MEDIÇÃO CONCLUÍDA</t>
        </is>
      </c>
      <c r="Y889" s="11">
        <f>IF(AND(L889&lt;&gt;"", S889&lt;&gt;""), S889-L889, IF(L889&lt;&gt;"", TODAY()-L889, ""))</f>
        <v/>
      </c>
      <c r="Z889" s="7">
        <f>IF(Y889="", "", IF(Y889&lt;=3, "NO PRAZO", "ATRASADO"))</f>
        <v/>
      </c>
      <c r="AA889" s="8" t="inlineStr"/>
    </row>
    <row r="890" ht="20" customHeight="1">
      <c r="A890" s="7" t="inlineStr">
        <is>
          <t>RSCLER0885</t>
        </is>
      </c>
      <c r="B890" s="8" t="inlineStr">
        <is>
          <t>PORTO ALEGRE</t>
        </is>
      </c>
      <c r="C890" s="7" t="inlineStr">
        <is>
          <t>NAVAA</t>
        </is>
      </c>
      <c r="D890" s="7" t="inlineStr"/>
      <c r="E890" s="7" t="inlineStr"/>
      <c r="F890" s="8" t="inlineStr">
        <is>
          <t>Cond.(ED POUSADA REAL)</t>
        </is>
      </c>
      <c r="G890" s="8" t="inlineStr">
        <is>
          <t>R FELICISSIMO DE AZEVEDO 658</t>
        </is>
      </c>
      <c r="H890" s="7" t="inlineStr">
        <is>
          <t>NAVAA.091M010</t>
        </is>
      </c>
      <c r="I890" s="8" t="inlineStr">
        <is>
          <t>2 ABERTURA E FECHAMENTO, 2 FUSÕES, 2 TESTES</t>
        </is>
      </c>
      <c r="J890" s="8" t="inlineStr"/>
      <c r="K890" s="8" t="inlineStr">
        <is>
          <t>CATIA</t>
        </is>
      </c>
      <c r="L890" s="9" t="n">
        <v>46169</v>
      </c>
      <c r="M890" s="7" t="inlineStr"/>
      <c r="N890" s="7" t="inlineStr"/>
      <c r="O890" s="9" t="n">
        <v>46169</v>
      </c>
      <c r="P890" s="9" t="n">
        <v>46192</v>
      </c>
      <c r="Q890" s="9" t="n">
        <v>46192</v>
      </c>
      <c r="R890" s="7" t="inlineStr">
        <is>
          <t>Concluído Campo</t>
        </is>
      </c>
      <c r="S890" s="9" t="n">
        <v>46237</v>
      </c>
      <c r="T890" s="10" t="inlineStr"/>
      <c r="U890" s="7" t="inlineStr">
        <is>
          <t>5593478</t>
        </is>
      </c>
      <c r="V890" s="7" t="inlineStr">
        <is>
          <t>FINALIZADO</t>
        </is>
      </c>
      <c r="W890" s="7" t="inlineStr"/>
      <c r="X890" s="7" t="inlineStr">
        <is>
          <t>MEDIÇÃO CONCLUÍDA</t>
        </is>
      </c>
      <c r="Y890" s="11">
        <f>IF(AND(L890&lt;&gt;"", S890&lt;&gt;""), S890-L890, IF(L890&lt;&gt;"", TODAY()-L890, ""))</f>
        <v/>
      </c>
      <c r="Z890" s="7">
        <f>IF(Y890="", "", IF(Y890&lt;=3, "NO PRAZO", "ATRASADO"))</f>
        <v/>
      </c>
      <c r="AA890" s="8" t="inlineStr"/>
    </row>
    <row r="891" ht="20" customHeight="1">
      <c r="A891" s="7" t="inlineStr">
        <is>
          <t>RSCLER0886</t>
        </is>
      </c>
      <c r="B891" s="8" t="inlineStr">
        <is>
          <t>PORTO ALEGRE</t>
        </is>
      </c>
      <c r="C891" s="7" t="inlineStr">
        <is>
          <t>MTSAA</t>
        </is>
      </c>
      <c r="D891" s="7" t="inlineStr">
        <is>
          <t>MTSACA</t>
        </is>
      </c>
      <c r="E891" s="7" t="inlineStr">
        <is>
          <t>PAE BV</t>
        </is>
      </c>
      <c r="F891" s="8" t="inlineStr">
        <is>
          <t>Cond Ed Jardim Mariland</t>
        </is>
      </c>
      <c r="G891" s="8" t="inlineStr">
        <is>
          <t>R MATA BACELAR 240</t>
        </is>
      </c>
      <c r="H891" s="7" t="inlineStr">
        <is>
          <t>MTSAA.262.M010</t>
        </is>
      </c>
      <c r="I891" s="8" t="inlineStr">
        <is>
          <t>2 ABERTURA E FECHAMENTO, 2 FUSÕES, 2 TESTES.</t>
        </is>
      </c>
      <c r="J891" s="8" t="inlineStr"/>
      <c r="K891" s="8" t="inlineStr">
        <is>
          <t>CATIA</t>
        </is>
      </c>
      <c r="L891" s="9" t="n">
        <v>46169</v>
      </c>
      <c r="M891" s="7" t="inlineStr"/>
      <c r="N891" s="7" t="inlineStr"/>
      <c r="O891" s="9" t="n">
        <v>46169</v>
      </c>
      <c r="P891" s="9" t="n">
        <v>46205</v>
      </c>
      <c r="Q891" s="9" t="n">
        <v>46205</v>
      </c>
      <c r="R891" s="7" t="inlineStr">
        <is>
          <t>Concluído Campo</t>
        </is>
      </c>
      <c r="S891" s="9" t="n">
        <v>46238</v>
      </c>
      <c r="T891" s="10" t="inlineStr"/>
      <c r="U891" s="7" t="inlineStr">
        <is>
          <t>5596478</t>
        </is>
      </c>
      <c r="V891" s="7" t="inlineStr">
        <is>
          <t>FINALIZADO</t>
        </is>
      </c>
      <c r="W891" s="7" t="inlineStr"/>
      <c r="X891" s="7" t="inlineStr">
        <is>
          <t>MEDIÇÃO CONCLUÍDA</t>
        </is>
      </c>
      <c r="Y891" s="11">
        <f>IF(AND(L891&lt;&gt;"", S891&lt;&gt;""), S891-L891, IF(L891&lt;&gt;"", TODAY()-L891, ""))</f>
        <v/>
      </c>
      <c r="Z891" s="7">
        <f>IF(Y891="", "", IF(Y891&lt;=3, "NO PRAZO", "ATRASADO"))</f>
        <v/>
      </c>
      <c r="AA891" s="8" t="inlineStr"/>
    </row>
    <row r="892" ht="20" customHeight="1">
      <c r="A892" s="7" t="inlineStr">
        <is>
          <t>RSCLER0887</t>
        </is>
      </c>
      <c r="B892" s="8" t="inlineStr">
        <is>
          <t>PORTO ALEGRE</t>
        </is>
      </c>
      <c r="C892" s="7" t="inlineStr">
        <is>
          <t>RBTAB</t>
        </is>
      </c>
      <c r="D892" s="7" t="inlineStr"/>
      <c r="E892" s="7" t="inlineStr"/>
      <c r="F892" s="8" t="inlineStr"/>
      <c r="G892" s="8" t="inlineStr">
        <is>
          <t>R CARLOS ESTEVAO 740</t>
        </is>
      </c>
      <c r="H892" s="7" t="inlineStr">
        <is>
          <t>RBTAB.041.M020</t>
        </is>
      </c>
      <c r="I892" s="8" t="inlineStr">
        <is>
          <t>FOI LANÇADO 161 METROS DE CABO DE 12FO, 3 ABERTURA E FECHAMENTO, 5 FUSÕES, 2 DERIVAÇÕES, 2 TESTES.</t>
        </is>
      </c>
      <c r="J892" s="8" t="inlineStr">
        <is>
          <t>TIAGO FERREIRA</t>
        </is>
      </c>
      <c r="K892" s="8" t="inlineStr">
        <is>
          <t>CATIA</t>
        </is>
      </c>
      <c r="L892" s="9" t="n">
        <v>46170</v>
      </c>
      <c r="M892" s="7" t="inlineStr"/>
      <c r="N892" s="7" t="inlineStr"/>
      <c r="O892" s="9" t="n">
        <v>46172</v>
      </c>
      <c r="P892" s="9" t="n">
        <v>46241</v>
      </c>
      <c r="Q892" s="9" t="n">
        <v>46244</v>
      </c>
      <c r="R892" s="7" t="inlineStr">
        <is>
          <t>Concluído Campo</t>
        </is>
      </c>
      <c r="S892" s="7" t="inlineStr"/>
      <c r="T892" s="10" t="inlineStr"/>
      <c r="U892" s="7" t="inlineStr"/>
      <c r="V892" s="7" t="inlineStr"/>
      <c r="W892" s="7" t="inlineStr"/>
      <c r="X892" s="7" t="inlineStr">
        <is>
          <t>AG. MEDIÇÃO</t>
        </is>
      </c>
      <c r="Y892" s="11">
        <f>IF(AND(L892&lt;&gt;"", S892&lt;&gt;""), S892-L892, IF(L892&lt;&gt;"", TODAY()-L892, ""))</f>
        <v/>
      </c>
      <c r="Z892" s="7">
        <f>IF(Y892="", "", IF(Y892&lt;=3, "NO PRAZO", "ATRASADO"))</f>
        <v/>
      </c>
      <c r="AA892" s="8" t="inlineStr"/>
    </row>
    <row r="893" ht="20" customHeight="1">
      <c r="A893" s="7" t="inlineStr">
        <is>
          <t>RSCLER0888</t>
        </is>
      </c>
      <c r="B893" s="8" t="inlineStr">
        <is>
          <t>PORTO ALEGRE</t>
        </is>
      </c>
      <c r="C893" s="7" t="inlineStr">
        <is>
          <t>HMTAA</t>
        </is>
      </c>
      <c r="D893" s="7" t="inlineStr">
        <is>
          <t>NAVAGA</t>
        </is>
      </c>
      <c r="E893" s="7" t="inlineStr">
        <is>
          <t>RSPNO02</t>
        </is>
      </c>
      <c r="F893" s="8" t="inlineStr">
        <is>
          <t>COND (GARDEN PARK HUMAITÁ)</t>
        </is>
      </c>
      <c r="G893" s="8" t="inlineStr">
        <is>
          <t>R PROF JOÃO DE SOUZA RIBEIRO 271</t>
        </is>
      </c>
      <c r="H893" s="7" t="inlineStr">
        <is>
          <t>HMTAA.022.M020</t>
        </is>
      </c>
      <c r="I893" s="8" t="inlineStr">
        <is>
          <t>FOI LANÇADO 378 METROS DE CABO DE 12FO, 1 ABERTURA E FECHAMENTO, 1 CX NOVA, 1 DERIVAÇÕA, 4 FUSÕES, 4 TESTES.</t>
        </is>
      </c>
      <c r="J893" s="8" t="inlineStr">
        <is>
          <t>TIAGO FERREIRA</t>
        </is>
      </c>
      <c r="K893" s="8" t="inlineStr">
        <is>
          <t>CATIA</t>
        </is>
      </c>
      <c r="L893" s="9" t="n">
        <v>46170</v>
      </c>
      <c r="M893" s="7" t="inlineStr"/>
      <c r="N893" s="7" t="inlineStr"/>
      <c r="O893" s="9" t="n">
        <v>46172</v>
      </c>
      <c r="P893" s="9" t="n">
        <v>46245</v>
      </c>
      <c r="Q893" s="9" t="n">
        <v>46245</v>
      </c>
      <c r="R893" s="7" t="inlineStr">
        <is>
          <t>Concluído Campo</t>
        </is>
      </c>
      <c r="S893" s="7" t="inlineStr"/>
      <c r="T893" s="10" t="inlineStr"/>
      <c r="U893" s="7" t="inlineStr"/>
      <c r="V893" s="7" t="inlineStr"/>
      <c r="W893" s="7" t="inlineStr"/>
      <c r="X893" s="7" t="inlineStr">
        <is>
          <t>AG. MEDIÇÃO</t>
        </is>
      </c>
      <c r="Y893" s="11">
        <f>IF(AND(L893&lt;&gt;"", S893&lt;&gt;""), S893-L893, IF(L893&lt;&gt;"", TODAY()-L893, ""))</f>
        <v/>
      </c>
      <c r="Z893" s="7">
        <f>IF(Y893="", "", IF(Y893&lt;=3, "NO PRAZO", "ATRASADO"))</f>
        <v/>
      </c>
      <c r="AA893" s="8" t="inlineStr"/>
    </row>
    <row r="894" ht="20" customHeight="1">
      <c r="A894" s="7" t="inlineStr">
        <is>
          <t>RSCLER0889</t>
        </is>
      </c>
      <c r="B894" s="8" t="inlineStr">
        <is>
          <t>NOVO HAMBURGO</t>
        </is>
      </c>
      <c r="C894" s="7" t="inlineStr">
        <is>
          <t>RNDAA</t>
        </is>
      </c>
      <c r="D894" s="7" t="inlineStr">
        <is>
          <t>RNDAH</t>
        </is>
      </c>
      <c r="E894" s="7" t="inlineStr">
        <is>
          <t>RSNHO12</t>
        </is>
      </c>
      <c r="F894" s="8" t="inlineStr"/>
      <c r="G894" s="8" t="inlineStr">
        <is>
          <t>AV Guia Lopes 3070</t>
        </is>
      </c>
      <c r="H894" s="7" t="inlineStr">
        <is>
          <t>RNDAA.063.M010</t>
        </is>
      </c>
      <c r="I894" s="8" t="inlineStr">
        <is>
          <t>5 ABERTURA E FECHAMENTO, 8 FUSÕES, 2 TESTES.</t>
        </is>
      </c>
      <c r="J894" s="8" t="inlineStr"/>
      <c r="K894" s="8" t="inlineStr">
        <is>
          <t>AFONSO</t>
        </is>
      </c>
      <c r="L894" s="9" t="n">
        <v>46170</v>
      </c>
      <c r="M894" s="7" t="inlineStr"/>
      <c r="N894" s="7" t="inlineStr"/>
      <c r="O894" s="9" t="n">
        <v>46171</v>
      </c>
      <c r="P894" s="9" t="n">
        <v>46205</v>
      </c>
      <c r="Q894" s="9" t="n">
        <v>46205</v>
      </c>
      <c r="R894" s="7" t="inlineStr">
        <is>
          <t>Concluído Campo</t>
        </is>
      </c>
      <c r="S894" s="9" t="n">
        <v>46238</v>
      </c>
      <c r="T894" s="10" t="inlineStr"/>
      <c r="U894" s="7" t="inlineStr">
        <is>
          <t>5596545</t>
        </is>
      </c>
      <c r="V894" s="7" t="inlineStr">
        <is>
          <t>FINALIZADO</t>
        </is>
      </c>
      <c r="W894" s="7" t="inlineStr"/>
      <c r="X894" s="7" t="inlineStr">
        <is>
          <t>MEDIÇÃO CONCLUÍDA</t>
        </is>
      </c>
      <c r="Y894" s="11">
        <f>IF(AND(L894&lt;&gt;"", S894&lt;&gt;""), S894-L894, IF(L894&lt;&gt;"", TODAY()-L894, ""))</f>
        <v/>
      </c>
      <c r="Z894" s="7">
        <f>IF(Y894="", "", IF(Y894&lt;=3, "NO PRAZO", "ATRASADO"))</f>
        <v/>
      </c>
      <c r="AA894" s="8" t="inlineStr"/>
    </row>
    <row r="895" ht="20" customHeight="1">
      <c r="A895" s="7" t="inlineStr">
        <is>
          <t>RSCLER0890</t>
        </is>
      </c>
      <c r="B895" s="8" t="inlineStr">
        <is>
          <t>CANOAS</t>
        </is>
      </c>
      <c r="C895" s="7" t="inlineStr">
        <is>
          <t>MRDAA</t>
        </is>
      </c>
      <c r="D895" s="7" t="inlineStr">
        <is>
          <t>NSG13A</t>
        </is>
      </c>
      <c r="E895" s="7" t="inlineStr">
        <is>
          <t>RSCAN01</t>
        </is>
      </c>
      <c r="F895" s="8" t="inlineStr">
        <is>
          <t>COND. CAZA LINCK</t>
        </is>
      </c>
      <c r="G895" s="8" t="inlineStr">
        <is>
          <t>R EMBOADAS 20</t>
        </is>
      </c>
      <c r="H895" s="7" t="inlineStr">
        <is>
          <t>MRDAA.081.M020</t>
        </is>
      </c>
      <c r="I895" s="8" t="inlineStr">
        <is>
          <t>FOI LANÇADO 589 METROS DE CABO DE 12FO, 3 ABERTURA E FECHAMENTO, 2 CX NOVA, 1 DERIVAÇÃO, 23 FUSÕES, 8 TESTES.</t>
        </is>
      </c>
      <c r="J895" s="8" t="inlineStr">
        <is>
          <t>TIAGO FERREIRA</t>
        </is>
      </c>
      <c r="K895" s="8" t="inlineStr">
        <is>
          <t>CATIA</t>
        </is>
      </c>
      <c r="L895" s="9" t="n">
        <v>46174</v>
      </c>
      <c r="M895" s="7" t="inlineStr"/>
      <c r="N895" s="7" t="inlineStr"/>
      <c r="O895" s="9" t="n">
        <v>46178</v>
      </c>
      <c r="P895" s="9" t="n">
        <v>46217</v>
      </c>
      <c r="Q895" s="9" t="n">
        <v>46217</v>
      </c>
      <c r="R895" s="7" t="inlineStr">
        <is>
          <t>Concluído Campo</t>
        </is>
      </c>
      <c r="S895" s="7" t="inlineStr"/>
      <c r="T895" s="10" t="inlineStr"/>
      <c r="U895" s="7" t="inlineStr"/>
      <c r="V895" s="7" t="inlineStr"/>
      <c r="W895" s="7" t="inlineStr"/>
      <c r="X895" s="7" t="inlineStr">
        <is>
          <t>AG. MEDIÇÃO</t>
        </is>
      </c>
      <c r="Y895" s="11">
        <f>IF(AND(L895&lt;&gt;"", S895&lt;&gt;""), S895-L895, IF(L895&lt;&gt;"", TODAY()-L895, ""))</f>
        <v/>
      </c>
      <c r="Z895" s="7">
        <f>IF(Y895="", "", IF(Y895&lt;=3, "NO PRAZO", "ATRASADO"))</f>
        <v/>
      </c>
      <c r="AA895" s="8" t="inlineStr"/>
    </row>
    <row r="896" ht="20" customHeight="1">
      <c r="A896" s="7" t="inlineStr">
        <is>
          <t>RSCLER0891</t>
        </is>
      </c>
      <c r="B896" s="8" t="inlineStr">
        <is>
          <t>PORTO ALEGRE</t>
        </is>
      </c>
      <c r="C896" s="7" t="inlineStr">
        <is>
          <t>BFMAA</t>
        </is>
      </c>
      <c r="D896" s="7" t="inlineStr">
        <is>
          <t>RBRAFA</t>
        </is>
      </c>
      <c r="E896" s="7" t="inlineStr">
        <is>
          <t>PAE IND</t>
        </is>
      </c>
      <c r="F896" s="8" t="inlineStr">
        <is>
          <t>Cond Edifício Rio Guaira</t>
        </is>
      </c>
      <c r="G896" s="8" t="inlineStr">
        <is>
          <t>R FELIPE CAMARÃO 200</t>
        </is>
      </c>
      <c r="H896" s="7" t="inlineStr">
        <is>
          <t>BFMAA.092.M030</t>
        </is>
      </c>
      <c r="I896" s="8" t="inlineStr">
        <is>
          <t>5 ABERTURA E FECHAMENTO, 13 FUSÕES, 3 TESTES, 4 TESTES OTDR</t>
        </is>
      </c>
      <c r="J896" s="8" t="inlineStr"/>
      <c r="K896" s="8" t="inlineStr">
        <is>
          <t>CATIA</t>
        </is>
      </c>
      <c r="L896" s="9" t="n">
        <v>46212</v>
      </c>
      <c r="M896" s="7" t="inlineStr"/>
      <c r="N896" s="7" t="inlineStr"/>
      <c r="O896" s="9" t="n">
        <v>46212</v>
      </c>
      <c r="P896" s="9" t="n">
        <v>46247</v>
      </c>
      <c r="Q896" s="9" t="n">
        <v>46247</v>
      </c>
      <c r="R896" s="7" t="inlineStr">
        <is>
          <t>Concluído Campo</t>
        </is>
      </c>
      <c r="S896" s="7" t="inlineStr"/>
      <c r="T896" s="10" t="inlineStr"/>
      <c r="U896" s="7" t="inlineStr"/>
      <c r="V896" s="7" t="inlineStr"/>
      <c r="W896" s="7" t="inlineStr"/>
      <c r="X896" s="7" t="inlineStr">
        <is>
          <t>AG. MEDIÇÃO</t>
        </is>
      </c>
      <c r="Y896" s="11">
        <f>IF(AND(L896&lt;&gt;"", S896&lt;&gt;""), S896-L896, IF(L896&lt;&gt;"", TODAY()-L896, ""))</f>
        <v/>
      </c>
      <c r="Z896" s="7">
        <f>IF(Y896="", "", IF(Y896&lt;=3, "NO PRAZO", "ATRASADO"))</f>
        <v/>
      </c>
      <c r="AA896" s="8" t="inlineStr"/>
    </row>
    <row r="897" ht="20" customHeight="1">
      <c r="A897" s="7" t="inlineStr">
        <is>
          <t>RSCLER0892</t>
        </is>
      </c>
      <c r="B897" s="8" t="inlineStr">
        <is>
          <t>PORTO ALEGRE</t>
        </is>
      </c>
      <c r="C897" s="7" t="inlineStr">
        <is>
          <t>BFMAB</t>
        </is>
      </c>
      <c r="D897" s="7" t="inlineStr"/>
      <c r="E897" s="7" t="inlineStr">
        <is>
          <t>RSPCE13</t>
        </is>
      </c>
      <c r="F897" s="8" t="inlineStr"/>
      <c r="G897" s="8" t="inlineStr">
        <is>
          <t>CORREÇÃO ETIQUETAS TRONCAIS</t>
        </is>
      </c>
      <c r="H897" s="7" t="inlineStr"/>
      <c r="I897" s="8" t="inlineStr"/>
      <c r="J897" s="8" t="inlineStr"/>
      <c r="K897" s="8" t="inlineStr">
        <is>
          <t>GEOVANI</t>
        </is>
      </c>
      <c r="L897" s="9" t="n">
        <v>46180</v>
      </c>
      <c r="M897" s="7" t="inlineStr"/>
      <c r="N897" s="7" t="inlineStr"/>
      <c r="O897" s="9" t="n">
        <v>46183</v>
      </c>
      <c r="P897" s="7" t="inlineStr">
        <is>
          <t>Não Precisa</t>
        </is>
      </c>
      <c r="Q897" s="7" t="inlineStr"/>
      <c r="R897" s="7" t="inlineStr">
        <is>
          <t>Concluído Campo</t>
        </is>
      </c>
      <c r="S897" s="7" t="inlineStr"/>
      <c r="T897" s="10" t="inlineStr"/>
      <c r="U897" s="7" t="inlineStr"/>
      <c r="V897" s="7" t="inlineStr"/>
      <c r="W897" s="7" t="inlineStr"/>
      <c r="X897" s="7" t="inlineStr">
        <is>
          <t>AG. RELATÓRIO</t>
        </is>
      </c>
      <c r="Y897" s="11">
        <f>IF(AND(L897&lt;&gt;"", S897&lt;&gt;""), S897-L897, IF(L897&lt;&gt;"", TODAY()-L897, ""))</f>
        <v/>
      </c>
      <c r="Z897" s="7">
        <f>IF(Y897="", "", IF(Y897&lt;=3, "NO PRAZO", "ATRASADO"))</f>
        <v/>
      </c>
      <c r="AA897" s="8" t="inlineStr"/>
    </row>
    <row r="898" ht="20" customHeight="1">
      <c r="A898" s="7" t="inlineStr">
        <is>
          <t>RSCLER0893</t>
        </is>
      </c>
      <c r="B898" s="8" t="inlineStr">
        <is>
          <t>PORTO ALEGRE</t>
        </is>
      </c>
      <c r="C898" s="7" t="inlineStr">
        <is>
          <t>VIPAA</t>
        </is>
      </c>
      <c r="D898" s="7" t="inlineStr">
        <is>
          <t>SPEAH</t>
        </is>
      </c>
      <c r="E898" s="7" t="inlineStr">
        <is>
          <t>RSPNO19</t>
        </is>
      </c>
      <c r="F898" s="8" t="inlineStr">
        <is>
          <t>Cond Ed Sheldon Center</t>
        </is>
      </c>
      <c r="G898" s="8" t="inlineStr">
        <is>
          <t>R ÁLVARES CABRAL 164</t>
        </is>
      </c>
      <c r="H898" s="7" t="inlineStr">
        <is>
          <t>VIPAA.021.M030</t>
        </is>
      </c>
      <c r="I898" s="8" t="inlineStr">
        <is>
          <t>2 ABERTURA E FECHAMENTO, 1 FUSÃO, 1 TESTE.</t>
        </is>
      </c>
      <c r="J898" s="8" t="inlineStr"/>
      <c r="K898" s="8" t="inlineStr">
        <is>
          <t>CATIA</t>
        </is>
      </c>
      <c r="L898" s="9" t="n">
        <v>46174</v>
      </c>
      <c r="M898" s="7" t="inlineStr"/>
      <c r="N898" s="7" t="inlineStr"/>
      <c r="O898" s="9" t="n">
        <v>46176</v>
      </c>
      <c r="P898" s="9" t="n">
        <v>46205</v>
      </c>
      <c r="Q898" s="9" t="n">
        <v>46205</v>
      </c>
      <c r="R898" s="7" t="inlineStr">
        <is>
          <t>Concluído Campo</t>
        </is>
      </c>
      <c r="S898" s="9" t="n">
        <v>46238</v>
      </c>
      <c r="T898" s="10" t="inlineStr"/>
      <c r="U898" s="7" t="inlineStr">
        <is>
          <t>5593619</t>
        </is>
      </c>
      <c r="V898" s="7" t="inlineStr">
        <is>
          <t>FINALIZADO</t>
        </is>
      </c>
      <c r="W898" s="7" t="inlineStr"/>
      <c r="X898" s="7" t="inlineStr">
        <is>
          <t>MEDIÇÃO CONCLUÍDA</t>
        </is>
      </c>
      <c r="Y898" s="11">
        <f>IF(AND(L898&lt;&gt;"", S898&lt;&gt;""), S898-L898, IF(L898&lt;&gt;"", TODAY()-L898, ""))</f>
        <v/>
      </c>
      <c r="Z898" s="7">
        <f>IF(Y898="", "", IF(Y898&lt;=3, "NO PRAZO", "ATRASADO"))</f>
        <v/>
      </c>
      <c r="AA898" s="8" t="inlineStr"/>
    </row>
    <row r="899" ht="20" customHeight="1">
      <c r="A899" s="7" t="inlineStr">
        <is>
          <t>RSCLER0894</t>
        </is>
      </c>
      <c r="B899" s="8" t="inlineStr">
        <is>
          <t>PORTO ALEGRE</t>
        </is>
      </c>
      <c r="C899" s="7" t="inlineStr">
        <is>
          <t>CNTAB</t>
        </is>
      </c>
      <c r="D899" s="7" t="inlineStr">
        <is>
          <t>CNTAU</t>
        </is>
      </c>
      <c r="E899" s="7" t="inlineStr">
        <is>
          <t>RPCE14</t>
        </is>
      </c>
      <c r="F899" s="8" t="inlineStr"/>
      <c r="G899" s="8" t="inlineStr">
        <is>
          <t>R JERONIMO COELHO,59</t>
        </is>
      </c>
      <c r="H899" s="7" t="inlineStr">
        <is>
          <t>CNTAB.061.M510</t>
        </is>
      </c>
      <c r="I899" s="8" t="inlineStr">
        <is>
          <t>FOI LANÇADO 95 METROS DE CABO, 2 ABERTURA E FECHAMENTO, 3 DERIVAÇÃO, 1 CX NOVA, 6 FUSÕES, 3 TESTES</t>
        </is>
      </c>
      <c r="J899" s="8" t="inlineStr"/>
      <c r="K899" s="8" t="inlineStr">
        <is>
          <t>JUNIOR</t>
        </is>
      </c>
      <c r="L899" s="9" t="n">
        <v>46178</v>
      </c>
      <c r="M899" s="7" t="inlineStr"/>
      <c r="N899" s="7" t="inlineStr"/>
      <c r="O899" s="9" t="n">
        <v>46184</v>
      </c>
      <c r="P899" s="9" t="n">
        <v>46205</v>
      </c>
      <c r="Q899" s="9" t="n">
        <v>46227</v>
      </c>
      <c r="R899" s="7" t="inlineStr">
        <is>
          <t>Concluído Campo</t>
        </is>
      </c>
      <c r="S899" s="7" t="inlineStr"/>
      <c r="T899" s="10" t="inlineStr"/>
      <c r="U899" s="7" t="inlineStr"/>
      <c r="V899" s="7" t="inlineStr"/>
      <c r="W899" s="7" t="inlineStr"/>
      <c r="X899" s="7" t="inlineStr">
        <is>
          <t>AG. MEDIÇÃO</t>
        </is>
      </c>
      <c r="Y899" s="11">
        <f>IF(AND(L899&lt;&gt;"", S899&lt;&gt;""), S899-L899, IF(L899&lt;&gt;"", TODAY()-L899, ""))</f>
        <v/>
      </c>
      <c r="Z899" s="7">
        <f>IF(Y899="", "", IF(Y899&lt;=3, "NO PRAZO", "ATRASADO"))</f>
        <v/>
      </c>
      <c r="AA899" s="8" t="inlineStr"/>
    </row>
    <row r="900" ht="20" customHeight="1">
      <c r="A900" s="7" t="inlineStr">
        <is>
          <t>RSCLER0895</t>
        </is>
      </c>
      <c r="B900" s="8" t="inlineStr">
        <is>
          <t>PORTO ALEGRE</t>
        </is>
      </c>
      <c r="C900" s="7" t="inlineStr">
        <is>
          <t>VIPAA</t>
        </is>
      </c>
      <c r="D900" s="7" t="inlineStr">
        <is>
          <t>PETAX</t>
        </is>
      </c>
      <c r="E900" s="7" t="inlineStr">
        <is>
          <t>RSPLE11</t>
        </is>
      </c>
      <c r="F900" s="8" t="inlineStr">
        <is>
          <t>Condomínio Edificio Indiana</t>
        </is>
      </c>
      <c r="G900" s="8" t="inlineStr">
        <is>
          <t>R DR DÁRIO DE BITTENCOURT 225</t>
        </is>
      </c>
      <c r="H900" s="7" t="inlineStr">
        <is>
          <t>VIPAA.102.M050</t>
        </is>
      </c>
      <c r="I900" s="8" t="inlineStr">
        <is>
          <t>6 ABERTURA E FECHAMENTO, 10 FUSÕES, 2 TESTES.</t>
        </is>
      </c>
      <c r="J900" s="8" t="inlineStr"/>
      <c r="K900" s="8" t="inlineStr">
        <is>
          <t>CATIA</t>
        </is>
      </c>
      <c r="L900" s="9" t="n">
        <v>46178</v>
      </c>
      <c r="M900" s="7" t="inlineStr"/>
      <c r="N900" s="7" t="inlineStr"/>
      <c r="O900" s="9" t="n">
        <v>46183</v>
      </c>
      <c r="P900" s="9" t="n">
        <v>46205</v>
      </c>
      <c r="Q900" s="9" t="n">
        <v>46205</v>
      </c>
      <c r="R900" s="7" t="inlineStr">
        <is>
          <t>Concluído Campo</t>
        </is>
      </c>
      <c r="S900" s="7" t="inlineStr"/>
      <c r="T900" s="10" t="inlineStr"/>
      <c r="U900" s="7" t="inlineStr"/>
      <c r="V900" s="7" t="inlineStr"/>
      <c r="W900" s="7" t="inlineStr"/>
      <c r="X900" s="7" t="inlineStr">
        <is>
          <t>AG. MEDIÇÃO</t>
        </is>
      </c>
      <c r="Y900" s="11">
        <f>IF(AND(L900&lt;&gt;"", S900&lt;&gt;""), S900-L900, IF(L900&lt;&gt;"", TODAY()-L900, ""))</f>
        <v/>
      </c>
      <c r="Z900" s="7">
        <f>IF(Y900="", "", IF(Y900&lt;=3, "NO PRAZO", "ATRASADO"))</f>
        <v/>
      </c>
      <c r="AA900" s="8" t="inlineStr"/>
    </row>
    <row r="901" ht="20" customHeight="1">
      <c r="A901" s="7" t="inlineStr">
        <is>
          <t>RSCLER0896</t>
        </is>
      </c>
      <c r="B901" s="8" t="inlineStr">
        <is>
          <t>PORTO ALEGRE</t>
        </is>
      </c>
      <c r="C901" s="7" t="inlineStr">
        <is>
          <t>RBRAA</t>
        </is>
      </c>
      <c r="D901" s="7" t="inlineStr">
        <is>
          <t>RBRAGA</t>
        </is>
      </c>
      <c r="E901" s="7" t="inlineStr">
        <is>
          <t>RSPLE08</t>
        </is>
      </c>
      <c r="F901" s="8" t="inlineStr">
        <is>
          <t>Cond Edificio Aspen Suites</t>
        </is>
      </c>
      <c r="G901" s="8" t="inlineStr">
        <is>
          <t>R. Ramiro Barcelos, 1393</t>
        </is>
      </c>
      <c r="H901" s="7" t="inlineStr">
        <is>
          <t>RBRAA.013.M060</t>
        </is>
      </c>
      <c r="I901" s="8" t="inlineStr">
        <is>
          <t>FOI LANÇADO 90 METROS DE CABO DE 12FO, 7 ABERTURA E FECHAMENTO, 11 FUSÕES, 2 DERIVAÇÕES, 3 TESTES</t>
        </is>
      </c>
      <c r="J901" s="8" t="inlineStr"/>
      <c r="K901" s="8" t="inlineStr">
        <is>
          <t>CATIA</t>
        </is>
      </c>
      <c r="L901" s="9" t="n">
        <v>46178</v>
      </c>
      <c r="M901" s="7" t="inlineStr"/>
      <c r="N901" s="7" t="inlineStr"/>
      <c r="O901" s="9" t="n">
        <v>46186</v>
      </c>
      <c r="P901" s="9" t="n">
        <v>46246</v>
      </c>
      <c r="Q901" s="9" t="n">
        <v>46246</v>
      </c>
      <c r="R901" s="7" t="inlineStr">
        <is>
          <t>Concluído Campo</t>
        </is>
      </c>
      <c r="S901" s="7" t="inlineStr"/>
      <c r="T901" s="10" t="inlineStr"/>
      <c r="U901" s="7" t="inlineStr"/>
      <c r="V901" s="7" t="inlineStr"/>
      <c r="W901" s="7" t="inlineStr"/>
      <c r="X901" s="7" t="inlineStr">
        <is>
          <t>AG. MEDIÇÃO</t>
        </is>
      </c>
      <c r="Y901" s="11">
        <f>IF(AND(L901&lt;&gt;"", S901&lt;&gt;""), S901-L901, IF(L901&lt;&gt;"", TODAY()-L901, ""))</f>
        <v/>
      </c>
      <c r="Z901" s="7">
        <f>IF(Y901="", "", IF(Y901&lt;=3, "NO PRAZO", "ATRASADO"))</f>
        <v/>
      </c>
      <c r="AA901" s="8" t="inlineStr"/>
    </row>
    <row r="902" ht="20" customHeight="1">
      <c r="A902" s="7" t="inlineStr">
        <is>
          <t>RSCLER0897</t>
        </is>
      </c>
      <c r="B902" s="8" t="inlineStr">
        <is>
          <t>PORTO ALEGRE</t>
        </is>
      </c>
      <c r="C902" s="7" t="inlineStr">
        <is>
          <t>PETAA</t>
        </is>
      </c>
      <c r="D902" s="7" t="inlineStr">
        <is>
          <t>PETATB</t>
        </is>
      </c>
      <c r="E902" s="7" t="inlineStr">
        <is>
          <t>RSPLE11</t>
        </is>
      </c>
      <c r="F902" s="8" t="inlineStr"/>
      <c r="G902" s="8" t="inlineStr">
        <is>
          <t>Av. Iguassu, 41</t>
        </is>
      </c>
      <c r="H902" s="7" t="inlineStr">
        <is>
          <t>PETAA.181.M040</t>
        </is>
      </c>
      <c r="I902" s="8" t="inlineStr">
        <is>
          <t>2 ABERTURA E FECHAMENTO, 2 FUSÕES, 1 TESTE.</t>
        </is>
      </c>
      <c r="J902" s="8" t="inlineStr"/>
      <c r="K902" s="8" t="inlineStr">
        <is>
          <t>CATIA</t>
        </is>
      </c>
      <c r="L902" s="9" t="n">
        <v>46178</v>
      </c>
      <c r="M902" s="7" t="inlineStr"/>
      <c r="N902" s="7" t="inlineStr"/>
      <c r="O902" s="9" t="n">
        <v>46182</v>
      </c>
      <c r="P902" s="9" t="n">
        <v>46205</v>
      </c>
      <c r="Q902" s="9" t="n">
        <v>46205</v>
      </c>
      <c r="R902" s="7" t="inlineStr">
        <is>
          <t>Concluído Campo</t>
        </is>
      </c>
      <c r="S902" s="7" t="inlineStr"/>
      <c r="T902" s="10" t="inlineStr"/>
      <c r="U902" s="7" t="inlineStr"/>
      <c r="V902" s="7" t="inlineStr"/>
      <c r="W902" s="7" t="inlineStr"/>
      <c r="X902" s="7" t="inlineStr">
        <is>
          <t>AG. MEDIÇÃO</t>
        </is>
      </c>
      <c r="Y902" s="11">
        <f>IF(AND(L902&lt;&gt;"", S902&lt;&gt;""), S902-L902, IF(L902&lt;&gt;"", TODAY()-L902, ""))</f>
        <v/>
      </c>
      <c r="Z902" s="7">
        <f>IF(Y902="", "", IF(Y902&lt;=3, "NO PRAZO", "ATRASADO"))</f>
        <v/>
      </c>
      <c r="AA902" s="8" t="inlineStr"/>
    </row>
    <row r="903" ht="20" customHeight="1">
      <c r="A903" s="7" t="inlineStr">
        <is>
          <t>RSCLER0898</t>
        </is>
      </c>
      <c r="B903" s="8" t="inlineStr">
        <is>
          <t>PORTO ALEGRE</t>
        </is>
      </c>
      <c r="C903" s="7" t="inlineStr">
        <is>
          <t>SPEAA</t>
        </is>
      </c>
      <c r="D903" s="7" t="inlineStr">
        <is>
          <t>PDRACB</t>
        </is>
      </c>
      <c r="E903" s="7" t="inlineStr">
        <is>
          <t>PAE DAM</t>
        </is>
      </c>
      <c r="F903" s="8" t="inlineStr"/>
      <c r="G903" s="8" t="inlineStr">
        <is>
          <t>VIELA TREZE 450, 458, 442, 434, 426</t>
        </is>
      </c>
      <c r="H903" s="7" t="inlineStr">
        <is>
          <t>SPEAA.031.M040</t>
        </is>
      </c>
      <c r="I903" s="8" t="inlineStr">
        <is>
          <t>FOI LANÇADO 200 METROS DE CABO DE 12FO, 19 ABERTURA E FECHAMENTO, 35 FUSÕES, 2 DERIVAÇÕES, 9 TESTES.</t>
        </is>
      </c>
      <c r="J903" s="8" t="inlineStr">
        <is>
          <t>TIAGO FERREIRA</t>
        </is>
      </c>
      <c r="K903" s="8" t="inlineStr">
        <is>
          <t>AFONSO</t>
        </is>
      </c>
      <c r="L903" s="9" t="n">
        <v>46178</v>
      </c>
      <c r="M903" s="7" t="inlineStr"/>
      <c r="N903" s="7" t="inlineStr"/>
      <c r="O903" s="9" t="n">
        <v>46186</v>
      </c>
      <c r="P903" s="9" t="n">
        <v>46209</v>
      </c>
      <c r="Q903" s="9" t="n">
        <v>46209</v>
      </c>
      <c r="R903" s="7" t="inlineStr">
        <is>
          <t>Concluído Campo</t>
        </is>
      </c>
      <c r="S903" s="7" t="inlineStr"/>
      <c r="T903" s="10" t="inlineStr"/>
      <c r="U903" s="7" t="inlineStr"/>
      <c r="V903" s="7" t="inlineStr"/>
      <c r="W903" s="7" t="inlineStr"/>
      <c r="X903" s="7" t="inlineStr">
        <is>
          <t>AG. MEDIÇÃO</t>
        </is>
      </c>
      <c r="Y903" s="11">
        <f>IF(AND(L903&lt;&gt;"", S903&lt;&gt;""), S903-L903, IF(L903&lt;&gt;"", TODAY()-L903, ""))</f>
        <v/>
      </c>
      <c r="Z903" s="7">
        <f>IF(Y903="", "", IF(Y903&lt;=3, "NO PRAZO", "ATRASADO"))</f>
        <v/>
      </c>
      <c r="AA903" s="8" t="inlineStr"/>
    </row>
    <row r="904" ht="20" customHeight="1">
      <c r="A904" s="7" t="inlineStr">
        <is>
          <t>RSCLER0899</t>
        </is>
      </c>
      <c r="B904" s="8" t="inlineStr">
        <is>
          <t>PORTO ALEGRE</t>
        </is>
      </c>
      <c r="C904" s="7" t="inlineStr">
        <is>
          <t>PETAA</t>
        </is>
      </c>
      <c r="D904" s="7" t="inlineStr">
        <is>
          <t>MTSAU</t>
        </is>
      </c>
      <c r="E904" s="7" t="inlineStr">
        <is>
          <t>RSPLE11</t>
        </is>
      </c>
      <c r="F904" s="8" t="inlineStr">
        <is>
          <t>Edifício Lageado</t>
        </is>
      </c>
      <c r="G904" s="8" t="inlineStr">
        <is>
          <t>Av. Lageado, 1360</t>
        </is>
      </c>
      <c r="H904" s="7" t="inlineStr">
        <is>
          <t>PETAA.013.M020</t>
        </is>
      </c>
      <c r="I904" s="8" t="inlineStr">
        <is>
          <t>2 ABERTURA E FECHAMENTO, 2 FUSÕES, 2 TESTES</t>
        </is>
      </c>
      <c r="J904" s="8" t="inlineStr"/>
      <c r="K904" s="8" t="inlineStr">
        <is>
          <t>ANDERSON</t>
        </is>
      </c>
      <c r="L904" s="9" t="n">
        <v>46178</v>
      </c>
      <c r="M904" s="7" t="inlineStr"/>
      <c r="N904" s="7" t="inlineStr"/>
      <c r="O904" s="9" t="n">
        <v>46183</v>
      </c>
      <c r="P904" s="9" t="n">
        <v>46205</v>
      </c>
      <c r="Q904" s="9" t="n">
        <v>46205</v>
      </c>
      <c r="R904" s="7" t="inlineStr">
        <is>
          <t>Concluído Campo</t>
        </is>
      </c>
      <c r="S904" s="9" t="n">
        <v>46238</v>
      </c>
      <c r="T904" s="10" t="inlineStr"/>
      <c r="U904" s="7" t="inlineStr">
        <is>
          <t>5595119</t>
        </is>
      </c>
      <c r="V904" s="7" t="inlineStr">
        <is>
          <t>FINALIZADO</t>
        </is>
      </c>
      <c r="W904" s="7" t="inlineStr"/>
      <c r="X904" s="7" t="inlineStr">
        <is>
          <t>MEDIÇÃO CONCLUÍDA</t>
        </is>
      </c>
      <c r="Y904" s="11">
        <f>IF(AND(L904&lt;&gt;"", S904&lt;&gt;""), S904-L904, IF(L904&lt;&gt;"", TODAY()-L904, ""))</f>
        <v/>
      </c>
      <c r="Z904" s="7">
        <f>IF(Y904="", "", IF(Y904&lt;=3, "NO PRAZO", "ATRASADO"))</f>
        <v/>
      </c>
      <c r="AA904" s="8" t="inlineStr"/>
    </row>
    <row r="905" ht="20" customHeight="1">
      <c r="A905" s="7" t="inlineStr">
        <is>
          <t>RSCLER0900</t>
        </is>
      </c>
      <c r="B905" s="8" t="inlineStr">
        <is>
          <t>PORTO ALEGRE</t>
        </is>
      </c>
      <c r="C905" s="7" t="inlineStr">
        <is>
          <t>MNDAC</t>
        </is>
      </c>
      <c r="D905" s="7" t="inlineStr">
        <is>
          <t>MNDAMA</t>
        </is>
      </c>
      <c r="E905" s="7" t="inlineStr">
        <is>
          <t>PAE CL</t>
        </is>
      </c>
      <c r="F905" s="8" t="inlineStr">
        <is>
          <t>Cond (Edificio Caribe)</t>
        </is>
      </c>
      <c r="G905" s="8" t="inlineStr">
        <is>
          <t>R MIGUEL COUTO 269</t>
        </is>
      </c>
      <c r="H905" s="7" t="inlineStr">
        <is>
          <t>MNDAC.082.M010</t>
        </is>
      </c>
      <c r="I905" s="8" t="inlineStr">
        <is>
          <t>FOI LANÇADO 185 METROS DE CABO DE 24FO, 2 ABERTURA E FECHAMENTO, 10 FUSÕES, 2 DERIVAÇÕES, 5 TESTES.</t>
        </is>
      </c>
      <c r="J905" s="8" t="inlineStr">
        <is>
          <t>BICA</t>
        </is>
      </c>
      <c r="K905" s="8" t="inlineStr">
        <is>
          <t>CATIA</t>
        </is>
      </c>
      <c r="L905" s="9" t="n">
        <v>46178</v>
      </c>
      <c r="M905" s="7" t="inlineStr"/>
      <c r="N905" s="7" t="inlineStr"/>
      <c r="O905" s="9" t="n">
        <v>46182</v>
      </c>
      <c r="P905" s="9" t="n">
        <v>46246</v>
      </c>
      <c r="Q905" s="9" t="n">
        <v>46246</v>
      </c>
      <c r="R905" s="7" t="inlineStr">
        <is>
          <t>Concluído Campo</t>
        </is>
      </c>
      <c r="S905" s="7" t="inlineStr"/>
      <c r="T905" s="10" t="inlineStr"/>
      <c r="U905" s="7" t="inlineStr"/>
      <c r="V905" s="7" t="inlineStr"/>
      <c r="W905" s="7" t="inlineStr"/>
      <c r="X905" s="7" t="inlineStr">
        <is>
          <t>AG. MEDIÇÃO</t>
        </is>
      </c>
      <c r="Y905" s="11">
        <f>IF(AND(L905&lt;&gt;"", S905&lt;&gt;""), S905-L905, IF(L905&lt;&gt;"", TODAY()-L905, ""))</f>
        <v/>
      </c>
      <c r="Z905" s="7">
        <f>IF(Y905="", "", IF(Y905&lt;=3, "NO PRAZO", "ATRASADO"))</f>
        <v/>
      </c>
      <c r="AA905" s="8" t="inlineStr"/>
    </row>
    <row r="906" ht="20" customHeight="1">
      <c r="A906" s="7" t="inlineStr">
        <is>
          <t>RSCLER0901</t>
        </is>
      </c>
      <c r="B906" s="8" t="inlineStr">
        <is>
          <t>PORTO ALEGRE</t>
        </is>
      </c>
      <c r="C906" s="7" t="inlineStr">
        <is>
          <t>TRZAA</t>
        </is>
      </c>
      <c r="D906" s="7" t="inlineStr">
        <is>
          <t>TRZAF</t>
        </is>
      </c>
      <c r="E906" s="7" t="inlineStr">
        <is>
          <t>RSPSU11</t>
        </is>
      </c>
      <c r="F906" s="8" t="inlineStr">
        <is>
          <t>Cond Res Dr Mario Totta</t>
        </is>
      </c>
      <c r="G906" s="8" t="inlineStr">
        <is>
          <t>R. Dr. Mário Totta, 1191</t>
        </is>
      </c>
      <c r="H906" s="7" t="inlineStr">
        <is>
          <t>TRZAA.052.M030</t>
        </is>
      </c>
      <c r="I906" s="8" t="inlineStr">
        <is>
          <t>6 ABERTURA E FECHAMENTO, 9 FUSÕES, 2 TESTES</t>
        </is>
      </c>
      <c r="J906" s="8" t="inlineStr"/>
      <c r="K906" s="8" t="inlineStr">
        <is>
          <t>ANDERSON</t>
        </is>
      </c>
      <c r="L906" s="9" t="n">
        <v>46179</v>
      </c>
      <c r="M906" s="7" t="inlineStr"/>
      <c r="N906" s="7" t="inlineStr"/>
      <c r="O906" s="9" t="n">
        <v>46182</v>
      </c>
      <c r="P906" s="9" t="n">
        <v>46209</v>
      </c>
      <c r="Q906" s="9" t="n">
        <v>46209</v>
      </c>
      <c r="R906" s="7" t="inlineStr">
        <is>
          <t>Concluído Campo</t>
        </is>
      </c>
      <c r="S906" s="7" t="inlineStr"/>
      <c r="T906" s="10" t="inlineStr"/>
      <c r="U906" s="7" t="inlineStr"/>
      <c r="V906" s="7" t="inlineStr"/>
      <c r="W906" s="7" t="inlineStr"/>
      <c r="X906" s="7" t="inlineStr">
        <is>
          <t>AG. MEDIÇÃO</t>
        </is>
      </c>
      <c r="Y906" s="11">
        <f>IF(AND(L906&lt;&gt;"", S906&lt;&gt;""), S906-L906, IF(L906&lt;&gt;"", TODAY()-L906, ""))</f>
        <v/>
      </c>
      <c r="Z906" s="7">
        <f>IF(Y906="", "", IF(Y906&lt;=3, "NO PRAZO", "ATRASADO"))</f>
        <v/>
      </c>
      <c r="AA906" s="8" t="inlineStr"/>
    </row>
    <row r="907" ht="20" customHeight="1">
      <c r="A907" s="7" t="inlineStr">
        <is>
          <t>RSCLER0902</t>
        </is>
      </c>
      <c r="B907" s="8" t="inlineStr">
        <is>
          <t>PORTO ALEGRE</t>
        </is>
      </c>
      <c r="C907" s="7" t="inlineStr">
        <is>
          <t>MTSAA</t>
        </is>
      </c>
      <c r="D907" s="7" t="inlineStr"/>
      <c r="E907" s="7" t="inlineStr"/>
      <c r="F907" s="8" t="inlineStr">
        <is>
          <t>Cond. Residencial Paraiso</t>
        </is>
      </c>
      <c r="G907" s="8" t="inlineStr">
        <is>
          <t>AV MANOEL ELIAS 2136 à 2150</t>
        </is>
      </c>
      <c r="H907" s="7" t="inlineStr">
        <is>
          <t>MTSAA.032.M020</t>
        </is>
      </c>
      <c r="I907" s="8" t="inlineStr">
        <is>
          <t>FOI LANÇADO 249 METROS DE CABO DE 12FO, 6 ABERTURA E FECHAMENTO, 1 CX NOVA, 1 DERIVAÇÃO, 6 FUSÕES, 1 TESTE. 4 TESTE OTDR</t>
        </is>
      </c>
      <c r="J907" s="8" t="inlineStr">
        <is>
          <t>TIAGO FERREIRA</t>
        </is>
      </c>
      <c r="K907" s="8" t="inlineStr">
        <is>
          <t>CATIA</t>
        </is>
      </c>
      <c r="L907" s="9" t="n">
        <v>46183</v>
      </c>
      <c r="M907" s="7" t="inlineStr"/>
      <c r="N907" s="7" t="inlineStr"/>
      <c r="O907" s="9" t="n">
        <v>46188</v>
      </c>
      <c r="P907" s="9" t="n">
        <v>46217</v>
      </c>
      <c r="Q907" s="9" t="n">
        <v>46217</v>
      </c>
      <c r="R907" s="7" t="inlineStr">
        <is>
          <t>Concluído Campo</t>
        </is>
      </c>
      <c r="S907" s="7" t="inlineStr"/>
      <c r="T907" s="10" t="inlineStr"/>
      <c r="U907" s="7" t="inlineStr"/>
      <c r="V907" s="7" t="inlineStr"/>
      <c r="W907" s="7" t="inlineStr"/>
      <c r="X907" s="7" t="inlineStr">
        <is>
          <t>AG. MEDIÇÃO</t>
        </is>
      </c>
      <c r="Y907" s="11">
        <f>IF(AND(L907&lt;&gt;"", S907&lt;&gt;""), S907-L907, IF(L907&lt;&gt;"", TODAY()-L907, ""))</f>
        <v/>
      </c>
      <c r="Z907" s="7">
        <f>IF(Y907="", "", IF(Y907&lt;=3, "NO PRAZO", "ATRASADO"))</f>
        <v/>
      </c>
      <c r="AA907" s="8" t="inlineStr"/>
    </row>
    <row r="908" ht="20" customHeight="1">
      <c r="A908" s="7" t="inlineStr">
        <is>
          <t>RSCLER0903</t>
        </is>
      </c>
      <c r="B908" s="8" t="inlineStr">
        <is>
          <t>PORTO ALEGRE</t>
        </is>
      </c>
      <c r="C908" s="7" t="inlineStr">
        <is>
          <t>SPEAA</t>
        </is>
      </c>
      <c r="D908" s="7" t="inlineStr">
        <is>
          <t>PDRACB</t>
        </is>
      </c>
      <c r="E908" s="7" t="inlineStr">
        <is>
          <t>PAE DAM</t>
        </is>
      </c>
      <c r="F908" s="8" t="inlineStr">
        <is>
          <t>Ed Centro Comercial Volta do Guerino</t>
        </is>
      </c>
      <c r="G908" s="8" t="inlineStr">
        <is>
          <t>Av. Assis Brasil, 1800</t>
        </is>
      </c>
      <c r="H908" s="7" t="inlineStr">
        <is>
          <t>SPEAA.031.M030</t>
        </is>
      </c>
      <c r="I908" s="8" t="inlineStr">
        <is>
          <t>2 ABERTURA E FECHAMENTO, 4 FUSÕES, 4 TESTES.</t>
        </is>
      </c>
      <c r="J908" s="8" t="inlineStr"/>
      <c r="K908" s="8" t="inlineStr">
        <is>
          <t>AFONSO</t>
        </is>
      </c>
      <c r="L908" s="9" t="n">
        <v>46179</v>
      </c>
      <c r="M908" s="7" t="inlineStr"/>
      <c r="N908" s="7" t="inlineStr"/>
      <c r="O908" s="9" t="n">
        <v>46182</v>
      </c>
      <c r="P908" s="9" t="n">
        <v>46209</v>
      </c>
      <c r="Q908" s="9" t="n">
        <v>46209</v>
      </c>
      <c r="R908" s="7" t="inlineStr">
        <is>
          <t>Concluído Campo</t>
        </is>
      </c>
      <c r="S908" s="7" t="inlineStr"/>
      <c r="T908" s="10" t="inlineStr"/>
      <c r="U908" s="7" t="inlineStr"/>
      <c r="V908" s="7" t="inlineStr"/>
      <c r="W908" s="7" t="inlineStr"/>
      <c r="X908" s="7" t="inlineStr">
        <is>
          <t>AG. MEDIÇÃO</t>
        </is>
      </c>
      <c r="Y908" s="11">
        <f>IF(AND(L908&lt;&gt;"", S908&lt;&gt;""), S908-L908, IF(L908&lt;&gt;"", TODAY()-L908, ""))</f>
        <v/>
      </c>
      <c r="Z908" s="7">
        <f>IF(Y908="", "", IF(Y908&lt;=3, "NO PRAZO", "ATRASADO"))</f>
        <v/>
      </c>
      <c r="AA908" s="8" t="inlineStr"/>
    </row>
    <row r="909" ht="20" customHeight="1">
      <c r="A909" s="7" t="inlineStr">
        <is>
          <t>RSCLER0904</t>
        </is>
      </c>
      <c r="B909" s="8" t="inlineStr">
        <is>
          <t>PORTO ALEGRE</t>
        </is>
      </c>
      <c r="C909" s="7" t="inlineStr">
        <is>
          <t>RBRAA</t>
        </is>
      </c>
      <c r="D909" s="7" t="inlineStr">
        <is>
          <t>RBRAEA</t>
        </is>
      </c>
      <c r="E909" s="7" t="inlineStr">
        <is>
          <t>RSPLE08</t>
        </is>
      </c>
      <c r="F909" s="8" t="inlineStr"/>
      <c r="G909" s="8" t="inlineStr">
        <is>
          <t>R JACINTO GOMES 421</t>
        </is>
      </c>
      <c r="H909" s="7" t="inlineStr">
        <is>
          <t>RBRAA.010.M020</t>
        </is>
      </c>
      <c r="I909" s="8" t="inlineStr">
        <is>
          <t>2 ABERTURA E FECHAMENTO, 1 FUSÃO, 1 TESTE.</t>
        </is>
      </c>
      <c r="J909" s="8" t="inlineStr"/>
      <c r="K909" s="8" t="inlineStr">
        <is>
          <t>AFONSO</t>
        </is>
      </c>
      <c r="L909" s="9" t="n">
        <v>46181</v>
      </c>
      <c r="M909" s="7" t="inlineStr"/>
      <c r="N909" s="7" t="inlineStr"/>
      <c r="O909" s="9" t="n">
        <v>46182</v>
      </c>
      <c r="P909" s="9" t="n">
        <v>46210</v>
      </c>
      <c r="Q909" s="9" t="n">
        <v>46210</v>
      </c>
      <c r="R909" s="7" t="inlineStr">
        <is>
          <t>Concluído Campo</t>
        </is>
      </c>
      <c r="S909" s="7" t="inlineStr"/>
      <c r="T909" s="10" t="inlineStr"/>
      <c r="U909" s="7" t="inlineStr"/>
      <c r="V909" s="7" t="inlineStr"/>
      <c r="W909" s="7" t="inlineStr"/>
      <c r="X909" s="7" t="inlineStr">
        <is>
          <t>AG. MEDIÇÃO</t>
        </is>
      </c>
      <c r="Y909" s="11">
        <f>IF(AND(L909&lt;&gt;"", S909&lt;&gt;""), S909-L909, IF(L909&lt;&gt;"", TODAY()-L909, ""))</f>
        <v/>
      </c>
      <c r="Z909" s="7">
        <f>IF(Y909="", "", IF(Y909&lt;=3, "NO PRAZO", "ATRASADO"))</f>
        <v/>
      </c>
      <c r="AA909" s="8" t="inlineStr"/>
    </row>
    <row r="910" ht="20" customHeight="1">
      <c r="A910" s="7" t="inlineStr">
        <is>
          <t>RSCLER0905</t>
        </is>
      </c>
      <c r="B910" s="8" t="inlineStr">
        <is>
          <t>PORTO ALEGRE</t>
        </is>
      </c>
      <c r="C910" s="7" t="inlineStr">
        <is>
          <t>FLOAA</t>
        </is>
      </c>
      <c r="D910" s="7" t="inlineStr">
        <is>
          <t>FLOAF</t>
        </is>
      </c>
      <c r="E910" s="7" t="inlineStr">
        <is>
          <t>RSPNO11</t>
        </is>
      </c>
      <c r="F910" s="8" t="inlineStr">
        <is>
          <t>Cond. ARTISAN</t>
        </is>
      </c>
      <c r="G910" s="8" t="inlineStr">
        <is>
          <t>R FELIPE NERI 110</t>
        </is>
      </c>
      <c r="H910" s="7" t="inlineStr">
        <is>
          <t>FLOAA.115.M040</t>
        </is>
      </c>
      <c r="I910" s="8" t="inlineStr">
        <is>
          <t>2 ABERTURA E FECHAMENTO, 4 FUSÕES, 4 TESTES.</t>
        </is>
      </c>
      <c r="J910" s="8" t="inlineStr"/>
      <c r="K910" s="8" t="inlineStr">
        <is>
          <t>AFONSO</t>
        </is>
      </c>
      <c r="L910" s="9" t="n">
        <v>46181</v>
      </c>
      <c r="M910" s="7" t="inlineStr"/>
      <c r="N910" s="7" t="inlineStr"/>
      <c r="O910" s="9" t="n">
        <v>46182</v>
      </c>
      <c r="P910" s="9" t="n">
        <v>46209</v>
      </c>
      <c r="Q910" s="9" t="n">
        <v>46209</v>
      </c>
      <c r="R910" s="7" t="inlineStr">
        <is>
          <t>Concluído Campo</t>
        </is>
      </c>
      <c r="S910" s="7" t="inlineStr"/>
      <c r="T910" s="10" t="inlineStr"/>
      <c r="U910" s="7" t="inlineStr"/>
      <c r="V910" s="7" t="inlineStr"/>
      <c r="W910" s="7" t="inlineStr"/>
      <c r="X910" s="7" t="inlineStr">
        <is>
          <t>AG. MEDIÇÃO</t>
        </is>
      </c>
      <c r="Y910" s="11">
        <f>IF(AND(L910&lt;&gt;"", S910&lt;&gt;""), S910-L910, IF(L910&lt;&gt;"", TODAY()-L910, ""))</f>
        <v/>
      </c>
      <c r="Z910" s="7">
        <f>IF(Y910="", "", IF(Y910&lt;=3, "NO PRAZO", "ATRASADO"))</f>
        <v/>
      </c>
      <c r="AA910" s="8" t="inlineStr"/>
    </row>
    <row r="911" ht="20" customHeight="1">
      <c r="A911" s="7" t="inlineStr">
        <is>
          <t>RSCLER0906</t>
        </is>
      </c>
      <c r="B911" s="8" t="inlineStr">
        <is>
          <t>PORTO ALEGRE</t>
        </is>
      </c>
      <c r="C911" s="7" t="inlineStr">
        <is>
          <t>MNDAC</t>
        </is>
      </c>
      <c r="D911" s="7" t="inlineStr">
        <is>
          <t>MNDAJ</t>
        </is>
      </c>
      <c r="E911" s="7" t="inlineStr">
        <is>
          <t>RSPSU02</t>
        </is>
      </c>
      <c r="F911" s="8" t="inlineStr"/>
      <c r="G911" s="8" t="inlineStr">
        <is>
          <t>R Múcio Teixeira, 1250</t>
        </is>
      </c>
      <c r="H911" s="7" t="inlineStr">
        <is>
          <t>MNDAC.031.M040</t>
        </is>
      </c>
      <c r="I911" s="8" t="inlineStr">
        <is>
          <t>2 ABERTURA E FECHAMENTO, 2 FUSÕES, 2 TESTES.</t>
        </is>
      </c>
      <c r="J911" s="8" t="inlineStr"/>
      <c r="K911" s="8" t="inlineStr">
        <is>
          <t>AFONSO</t>
        </is>
      </c>
      <c r="L911" s="9" t="n">
        <v>46181</v>
      </c>
      <c r="M911" s="7" t="inlineStr"/>
      <c r="N911" s="7" t="inlineStr"/>
      <c r="O911" s="9" t="n">
        <v>46182</v>
      </c>
      <c r="P911" s="9" t="n">
        <v>46210</v>
      </c>
      <c r="Q911" s="9" t="n">
        <v>46210</v>
      </c>
      <c r="R911" s="7" t="inlineStr">
        <is>
          <t>Concluído Campo</t>
        </is>
      </c>
      <c r="S911" s="7" t="inlineStr"/>
      <c r="T911" s="10" t="inlineStr"/>
      <c r="U911" s="7" t="inlineStr"/>
      <c r="V911" s="7" t="inlineStr"/>
      <c r="W911" s="7" t="inlineStr"/>
      <c r="X911" s="7" t="inlineStr">
        <is>
          <t>AG. MEDIÇÃO</t>
        </is>
      </c>
      <c r="Y911" s="11">
        <f>IF(AND(L911&lt;&gt;"", S911&lt;&gt;""), S911-L911, IF(L911&lt;&gt;"", TODAY()-L911, ""))</f>
        <v/>
      </c>
      <c r="Z911" s="7">
        <f>IF(Y911="", "", IF(Y911&lt;=3, "NO PRAZO", "ATRASADO"))</f>
        <v/>
      </c>
      <c r="AA911" s="8" t="inlineStr"/>
    </row>
    <row r="912" ht="20" customHeight="1">
      <c r="A912" s="7" t="inlineStr">
        <is>
          <t>RSCLER0907</t>
        </is>
      </c>
      <c r="B912" s="8" t="inlineStr">
        <is>
          <t>PORTO ALEGRE</t>
        </is>
      </c>
      <c r="C912" s="7" t="inlineStr">
        <is>
          <t>MTSAA</t>
        </is>
      </c>
      <c r="D912" s="7" t="inlineStr">
        <is>
          <t>PETALA</t>
        </is>
      </c>
      <c r="E912" s="7" t="inlineStr">
        <is>
          <t>PAE BV</t>
        </is>
      </c>
      <c r="F912" s="8" t="inlineStr">
        <is>
          <t>Cond. Jardim Amelia</t>
        </is>
      </c>
      <c r="G912" s="8" t="inlineStr">
        <is>
          <t>R AMELIA TELES 257</t>
        </is>
      </c>
      <c r="H912" s="7" t="inlineStr">
        <is>
          <t>MTSAA.322.M010</t>
        </is>
      </c>
      <c r="I912" s="8" t="inlineStr">
        <is>
          <t>3 ABERTURA E FECHAMENTO, 4 FUSÕES, 2 TESTES</t>
        </is>
      </c>
      <c r="J912" s="8" t="inlineStr"/>
      <c r="K912" s="8" t="inlineStr">
        <is>
          <t>ANDERSON</t>
        </is>
      </c>
      <c r="L912" s="9" t="n">
        <v>46181</v>
      </c>
      <c r="M912" s="7" t="inlineStr"/>
      <c r="N912" s="7" t="inlineStr"/>
      <c r="O912" s="9" t="n">
        <v>46183</v>
      </c>
      <c r="P912" s="9" t="n">
        <v>46183</v>
      </c>
      <c r="Q912" s="9" t="n">
        <v>46183</v>
      </c>
      <c r="R912" s="7" t="inlineStr">
        <is>
          <t>Concluído Campo</t>
        </is>
      </c>
      <c r="S912" s="9" t="n">
        <v>46233</v>
      </c>
      <c r="T912" s="10" t="inlineStr"/>
      <c r="U912" s="7" t="inlineStr">
        <is>
          <t>5587751</t>
        </is>
      </c>
      <c r="V912" s="7" t="inlineStr">
        <is>
          <t>FINALIZADO</t>
        </is>
      </c>
      <c r="W912" s="7" t="inlineStr"/>
      <c r="X912" s="7" t="inlineStr">
        <is>
          <t>MEDIÇÃO CONCLUÍDA</t>
        </is>
      </c>
      <c r="Y912" s="11">
        <f>IF(AND(L912&lt;&gt;"", S912&lt;&gt;""), S912-L912, IF(L912&lt;&gt;"", TODAY()-L912, ""))</f>
        <v/>
      </c>
      <c r="Z912" s="7">
        <f>IF(Y912="", "", IF(Y912&lt;=3, "NO PRAZO", "ATRASADO"))</f>
        <v/>
      </c>
      <c r="AA912" s="8" t="inlineStr"/>
    </row>
    <row r="913" ht="20" customHeight="1">
      <c r="A913" s="7" t="inlineStr">
        <is>
          <t>RSCLER0908</t>
        </is>
      </c>
      <c r="B913" s="8" t="inlineStr">
        <is>
          <t>PORTO ALEGRE</t>
        </is>
      </c>
      <c r="C913" s="7" t="inlineStr">
        <is>
          <t>SSOAA</t>
        </is>
      </c>
      <c r="D913" s="7" t="inlineStr">
        <is>
          <t>SSOAFA</t>
        </is>
      </c>
      <c r="E913" s="7" t="inlineStr">
        <is>
          <t>RSPNO07</t>
        </is>
      </c>
      <c r="F913" s="8" t="inlineStr"/>
      <c r="G913" s="8" t="inlineStr">
        <is>
          <t>TV GUIANAS 130</t>
        </is>
      </c>
      <c r="H913" s="7" t="inlineStr">
        <is>
          <t>SSOAA.091.M040</t>
        </is>
      </c>
      <c r="I913" s="8" t="inlineStr">
        <is>
          <t>FOI LANÇADO 293 DE CABO DE 12FO, 5 ABERTURA E FECHAMENTO, 7 FUSÕES, 4 DERIVAÇÕES, 2 TESTES</t>
        </is>
      </c>
      <c r="J913" s="8" t="inlineStr">
        <is>
          <t>TIAGO FERREIRA</t>
        </is>
      </c>
      <c r="K913" s="8" t="inlineStr">
        <is>
          <t>CATIA</t>
        </is>
      </c>
      <c r="L913" s="9" t="n">
        <v>46177</v>
      </c>
      <c r="M913" s="7" t="inlineStr"/>
      <c r="N913" s="7" t="inlineStr"/>
      <c r="O913" s="9" t="n">
        <v>46178</v>
      </c>
      <c r="P913" s="9" t="n">
        <v>46247</v>
      </c>
      <c r="Q913" s="9" t="n">
        <v>46247</v>
      </c>
      <c r="R913" s="7" t="inlineStr">
        <is>
          <t>Concluído Campo</t>
        </is>
      </c>
      <c r="S913" s="7" t="inlineStr"/>
      <c r="T913" s="10" t="inlineStr"/>
      <c r="U913" s="7" t="inlineStr"/>
      <c r="V913" s="7" t="inlineStr"/>
      <c r="W913" s="7" t="inlineStr"/>
      <c r="X913" s="7" t="inlineStr">
        <is>
          <t>AG. MEDIÇÃO</t>
        </is>
      </c>
      <c r="Y913" s="11">
        <f>IF(AND(L913&lt;&gt;"", S913&lt;&gt;""), S913-L913, IF(L913&lt;&gt;"", TODAY()-L913, ""))</f>
        <v/>
      </c>
      <c r="Z913" s="7">
        <f>IF(Y913="", "", IF(Y913&lt;=3, "NO PRAZO", "ATRASADO"))</f>
        <v/>
      </c>
      <c r="AA913" s="8" t="inlineStr"/>
    </row>
    <row r="914" ht="20" customHeight="1">
      <c r="A914" s="7" t="inlineStr">
        <is>
          <t>RSCLER0909</t>
        </is>
      </c>
      <c r="B914" s="8" t="inlineStr">
        <is>
          <t>PORTO ALEGRE</t>
        </is>
      </c>
      <c r="C914" s="7" t="inlineStr">
        <is>
          <t>BFMAA</t>
        </is>
      </c>
      <c r="D914" s="7" t="inlineStr">
        <is>
          <t>FLOAKA</t>
        </is>
      </c>
      <c r="E914" s="7" t="inlineStr">
        <is>
          <t>RSPLE78</t>
        </is>
      </c>
      <c r="F914" s="8" t="inlineStr">
        <is>
          <t>Edificio Ocre</t>
        </is>
      </c>
      <c r="G914" s="8" t="inlineStr">
        <is>
          <t>R SANTO ANTONIO 288</t>
        </is>
      </c>
      <c r="H914" s="7" t="inlineStr">
        <is>
          <t>BFMAA.103.M020</t>
        </is>
      </c>
      <c r="I914" s="8" t="inlineStr">
        <is>
          <t>4 ABERTURA E FECHAMENTO, 6 FUSÕES, 2 TESTES.</t>
        </is>
      </c>
      <c r="J914" s="8" t="inlineStr"/>
      <c r="K914" s="8" t="inlineStr">
        <is>
          <t>ANDERSON</t>
        </is>
      </c>
      <c r="L914" s="9" t="n">
        <v>46182</v>
      </c>
      <c r="M914" s="7" t="inlineStr"/>
      <c r="N914" s="7" t="inlineStr"/>
      <c r="O914" s="9" t="n">
        <v>46183</v>
      </c>
      <c r="P914" s="9" t="n">
        <v>46183</v>
      </c>
      <c r="Q914" s="9" t="n">
        <v>46184</v>
      </c>
      <c r="R914" s="7" t="inlineStr">
        <is>
          <t>Concluído Campo</t>
        </is>
      </c>
      <c r="S914" s="9" t="n">
        <v>46233</v>
      </c>
      <c r="T914" s="10" t="inlineStr"/>
      <c r="U914" s="7" t="inlineStr">
        <is>
          <t>5587826</t>
        </is>
      </c>
      <c r="V914" s="7" t="inlineStr">
        <is>
          <t>FINALIZADO</t>
        </is>
      </c>
      <c r="W914" s="7" t="inlineStr"/>
      <c r="X914" s="7" t="inlineStr">
        <is>
          <t>MEDIÇÃO CONCLUÍDA</t>
        </is>
      </c>
      <c r="Y914" s="11">
        <f>IF(AND(L914&lt;&gt;"", S914&lt;&gt;""), S914-L914, IF(L914&lt;&gt;"", TODAY()-L914, ""))</f>
        <v/>
      </c>
      <c r="Z914" s="7">
        <f>IF(Y914="", "", IF(Y914&lt;=3, "NO PRAZO", "ATRASADO"))</f>
        <v/>
      </c>
      <c r="AA914" s="8" t="inlineStr"/>
    </row>
    <row r="915" ht="20" customHeight="1">
      <c r="A915" s="7" t="inlineStr">
        <is>
          <t>RSCLER0910</t>
        </is>
      </c>
      <c r="B915" s="8" t="inlineStr">
        <is>
          <t>PORTO ALEGRE</t>
        </is>
      </c>
      <c r="C915" s="7" t="inlineStr">
        <is>
          <t>BFMAA</t>
        </is>
      </c>
      <c r="D915" s="7" t="inlineStr">
        <is>
          <t>RBRAFA</t>
        </is>
      </c>
      <c r="E915" s="7" t="inlineStr">
        <is>
          <t>PAE IND</t>
        </is>
      </c>
      <c r="F915" s="8" t="inlineStr">
        <is>
          <t>Cond. Edifício Éden</t>
        </is>
      </c>
      <c r="G915" s="8" t="inlineStr">
        <is>
          <t>R CEL. FERNANDES VIEIRA 155</t>
        </is>
      </c>
      <c r="H915" s="7" t="inlineStr">
        <is>
          <t>BFMAA.091.M010</t>
        </is>
      </c>
      <c r="I915" s="8" t="inlineStr">
        <is>
          <t>6 ABERTURA E FECHAMENTO, 23 FUSÕES, 2 DERIVAÇÕES, 5 TESTES.</t>
        </is>
      </c>
      <c r="J915" s="8" t="inlineStr"/>
      <c r="K915" s="8" t="inlineStr">
        <is>
          <t>CATIA</t>
        </is>
      </c>
      <c r="L915" s="9" t="n">
        <v>46182</v>
      </c>
      <c r="M915" s="7" t="inlineStr"/>
      <c r="N915" s="7" t="inlineStr"/>
      <c r="O915" s="9" t="n">
        <v>46184</v>
      </c>
      <c r="P915" s="9" t="n">
        <v>46210</v>
      </c>
      <c r="Q915" s="9" t="n">
        <v>46210</v>
      </c>
      <c r="R915" s="7" t="inlineStr">
        <is>
          <t>Concluído Campo</t>
        </is>
      </c>
      <c r="S915" s="7" t="inlineStr"/>
      <c r="T915" s="10" t="inlineStr"/>
      <c r="U915" s="7" t="inlineStr"/>
      <c r="V915" s="7" t="inlineStr"/>
      <c r="W915" s="7" t="inlineStr"/>
      <c r="X915" s="7" t="inlineStr">
        <is>
          <t>AG. MEDIÇÃO</t>
        </is>
      </c>
      <c r="Y915" s="11">
        <f>IF(AND(L915&lt;&gt;"", S915&lt;&gt;""), S915-L915, IF(L915&lt;&gt;"", TODAY()-L915, ""))</f>
        <v/>
      </c>
      <c r="Z915" s="7">
        <f>IF(Y915="", "", IF(Y915&lt;=3, "NO PRAZO", "ATRASADO"))</f>
        <v/>
      </c>
      <c r="AA915" s="8" t="inlineStr"/>
    </row>
    <row r="916" ht="20" customHeight="1">
      <c r="A916" s="7" t="inlineStr">
        <is>
          <t>RSCLER0911</t>
        </is>
      </c>
      <c r="B916" s="8" t="inlineStr">
        <is>
          <t>PORTO ALEGRE</t>
        </is>
      </c>
      <c r="C916" s="7" t="inlineStr">
        <is>
          <t>BFMAA</t>
        </is>
      </c>
      <c r="D916" s="7" t="inlineStr">
        <is>
          <t>BFMADA</t>
        </is>
      </c>
      <c r="E916" s="7" t="inlineStr">
        <is>
          <t>PAE IND</t>
        </is>
      </c>
      <c r="F916" s="8" t="inlineStr"/>
      <c r="G916" s="8" t="inlineStr">
        <is>
          <t>AV Independencia, 691</t>
        </is>
      </c>
      <c r="H916" s="7" t="inlineStr">
        <is>
          <t>BFMAA.023.M020</t>
        </is>
      </c>
      <c r="I916" s="8" t="inlineStr">
        <is>
          <t>FOI LANÇADO 163 METROS DE CABO 163, 5 ABERTURA E FECHAMENTO, 17 FUSÕES, 2 DERIVAÇÕES, 4 TESTES.</t>
        </is>
      </c>
      <c r="J916" s="8" t="inlineStr">
        <is>
          <t>TIAGO FERREIRA</t>
        </is>
      </c>
      <c r="K916" s="8" t="inlineStr">
        <is>
          <t>CATIA</t>
        </is>
      </c>
      <c r="L916" s="9" t="n">
        <v>46183</v>
      </c>
      <c r="M916" s="7" t="inlineStr"/>
      <c r="N916" s="7" t="inlineStr"/>
      <c r="O916" s="9" t="n">
        <v>46188</v>
      </c>
      <c r="P916" s="9" t="n">
        <v>46210</v>
      </c>
      <c r="Q916" s="9" t="n">
        <v>46210</v>
      </c>
      <c r="R916" s="7" t="inlineStr">
        <is>
          <t>Concluído Campo</t>
        </is>
      </c>
      <c r="S916" s="7" t="inlineStr"/>
      <c r="T916" s="10" t="inlineStr"/>
      <c r="U916" s="7" t="inlineStr"/>
      <c r="V916" s="7" t="inlineStr"/>
      <c r="W916" s="7" t="inlineStr"/>
      <c r="X916" s="7" t="inlineStr">
        <is>
          <t>AG. MEDIÇÃO</t>
        </is>
      </c>
      <c r="Y916" s="11">
        <f>IF(AND(L916&lt;&gt;"", S916&lt;&gt;""), S916-L916, IF(L916&lt;&gt;"", TODAY()-L916, ""))</f>
        <v/>
      </c>
      <c r="Z916" s="7">
        <f>IF(Y916="", "", IF(Y916&lt;=3, "NO PRAZO", "ATRASADO"))</f>
        <v/>
      </c>
      <c r="AA916" s="8" t="inlineStr"/>
    </row>
    <row r="917" ht="20" customHeight="1">
      <c r="A917" s="7" t="inlineStr">
        <is>
          <t>RSCLER0912</t>
        </is>
      </c>
      <c r="B917" s="8" t="inlineStr">
        <is>
          <t>PORTO ALEGRE</t>
        </is>
      </c>
      <c r="C917" s="7" t="inlineStr">
        <is>
          <t>VNVAA</t>
        </is>
      </c>
      <c r="D917" s="7" t="inlineStr">
        <is>
          <t>VNVAF</t>
        </is>
      </c>
      <c r="E917" s="7" t="inlineStr">
        <is>
          <t>RSPSU13</t>
        </is>
      </c>
      <c r="F917" s="8" t="inlineStr">
        <is>
          <t>Residencial Vicente Monteggia</t>
        </is>
      </c>
      <c r="G917" s="8" t="inlineStr">
        <is>
          <t>AV VICENTE MONTEGGIA, 1020</t>
        </is>
      </c>
      <c r="H917" s="7" t="inlineStr">
        <is>
          <t>VNVAA.043</t>
        </is>
      </c>
      <c r="I917" s="8" t="inlineStr">
        <is>
          <t>FOI LANÇADO 632 METROS DE CABO DE 12FO, 2 ABERTURA E FECHAMENTO, 6 NAP NOVA, 1 DERIVAÇÃO, 18 FUSÕES, 15 TESTES</t>
        </is>
      </c>
      <c r="J917" s="8" t="inlineStr">
        <is>
          <t>TIAGO FERREIRA</t>
        </is>
      </c>
      <c r="K917" s="8" t="inlineStr">
        <is>
          <t>AFONSO</t>
        </is>
      </c>
      <c r="L917" s="9" t="n">
        <v>46181</v>
      </c>
      <c r="M917" s="9" t="n">
        <v>46182</v>
      </c>
      <c r="N917" s="9" t="n">
        <v>46183</v>
      </c>
      <c r="O917" s="9" t="n">
        <v>46183</v>
      </c>
      <c r="P917" s="9" t="n">
        <v>46183</v>
      </c>
      <c r="Q917" s="9" t="n">
        <v>46183</v>
      </c>
      <c r="R917" s="7" t="inlineStr">
        <is>
          <t>Concluído Campo</t>
        </is>
      </c>
      <c r="S917" s="7" t="inlineStr"/>
      <c r="T917" s="10" t="inlineStr"/>
      <c r="U917" s="7" t="inlineStr"/>
      <c r="V917" s="7" t="inlineStr"/>
      <c r="W917" s="7" t="inlineStr"/>
      <c r="X917" s="7" t="inlineStr">
        <is>
          <t>AG. MEDIÇÃO</t>
        </is>
      </c>
      <c r="Y917" s="11">
        <f>IF(AND(L917&lt;&gt;"", S917&lt;&gt;""), S917-L917, IF(L917&lt;&gt;"", TODAY()-L917, ""))</f>
        <v/>
      </c>
      <c r="Z917" s="7">
        <f>IF(Y917="", "", IF(Y917&lt;=3, "NO PRAZO", "ATRASADO"))</f>
        <v/>
      </c>
      <c r="AA917" s="8" t="inlineStr"/>
    </row>
    <row r="918" ht="20" customHeight="1">
      <c r="A918" s="7" t="inlineStr">
        <is>
          <t>RSCLER0913</t>
        </is>
      </c>
      <c r="B918" s="8" t="inlineStr">
        <is>
          <t>PORTO ALEGRE</t>
        </is>
      </c>
      <c r="C918" s="7" t="inlineStr">
        <is>
          <t>TRZAB</t>
        </is>
      </c>
      <c r="D918" s="7" t="inlineStr">
        <is>
          <t>TRZAQ</t>
        </is>
      </c>
      <c r="E918" s="7" t="inlineStr">
        <is>
          <t>RSPSU22</t>
        </is>
      </c>
      <c r="F918" s="8" t="inlineStr">
        <is>
          <t>Cond Residencial Enseada</t>
        </is>
      </c>
      <c r="G918" s="8" t="inlineStr">
        <is>
          <t>Av. Cel. Marcos, 1545</t>
        </is>
      </c>
      <c r="H918" s="7" t="inlineStr">
        <is>
          <t>TRZAB.091.M020</t>
        </is>
      </c>
      <c r="I918" s="8" t="inlineStr">
        <is>
          <t>RECUADO 41 METROS DE  CABO, 2 ABERTURA E FECHAMENTO, 12 FUSÕES, 1 DERIVAÇÃO, 1 TESTE.</t>
        </is>
      </c>
      <c r="J918" s="8" t="inlineStr"/>
      <c r="K918" s="8" t="inlineStr">
        <is>
          <t>AFONSO</t>
        </is>
      </c>
      <c r="L918" s="9" t="n">
        <v>46183</v>
      </c>
      <c r="M918" s="7" t="inlineStr"/>
      <c r="N918" s="7" t="inlineStr"/>
      <c r="O918" s="9" t="n">
        <v>46184</v>
      </c>
      <c r="P918" s="9" t="n">
        <v>46210</v>
      </c>
      <c r="Q918" s="9" t="n">
        <v>46210</v>
      </c>
      <c r="R918" s="7" t="inlineStr">
        <is>
          <t>Concluído Campo</t>
        </is>
      </c>
      <c r="S918" s="7" t="inlineStr"/>
      <c r="T918" s="10" t="inlineStr"/>
      <c r="U918" s="7" t="inlineStr"/>
      <c r="V918" s="7" t="inlineStr"/>
      <c r="W918" s="7" t="inlineStr"/>
      <c r="X918" s="7" t="inlineStr">
        <is>
          <t>AG. MEDIÇÃO</t>
        </is>
      </c>
      <c r="Y918" s="11">
        <f>IF(AND(L918&lt;&gt;"", S918&lt;&gt;""), S918-L918, IF(L918&lt;&gt;"", TODAY()-L918, ""))</f>
        <v/>
      </c>
      <c r="Z918" s="7">
        <f>IF(Y918="", "", IF(Y918&lt;=3, "NO PRAZO", "ATRASADO"))</f>
        <v/>
      </c>
      <c r="AA918" s="8" t="inlineStr"/>
    </row>
    <row r="919" ht="20" customHeight="1">
      <c r="A919" s="7" t="inlineStr">
        <is>
          <t>RSCLER0914</t>
        </is>
      </c>
      <c r="B919" s="8" t="inlineStr">
        <is>
          <t>GUAÍBA</t>
        </is>
      </c>
      <c r="C919" s="7" t="inlineStr">
        <is>
          <t>CNT</t>
        </is>
      </c>
      <c r="D919" s="7" t="inlineStr"/>
      <c r="E919" s="7" t="inlineStr">
        <is>
          <t>RSGUB01</t>
        </is>
      </c>
      <c r="F919" s="8" t="inlineStr"/>
      <c r="G919" s="8" t="inlineStr">
        <is>
          <t>R OTÁVIO ROCHA 205</t>
        </is>
      </c>
      <c r="H919" s="7" t="inlineStr">
        <is>
          <t>CNT.009.M030</t>
        </is>
      </c>
      <c r="I919" s="8" t="inlineStr">
        <is>
          <t>FOI LANÇADO 66 METROS DE CABO DE 12FO, 5 ABERTURA E FECHAMENTO, 1 CX NOVA, 24 FUSÕES, 3 TESTES, 9 TESTES OTDR</t>
        </is>
      </c>
      <c r="J919" s="8" t="inlineStr">
        <is>
          <t>CATIA</t>
        </is>
      </c>
      <c r="K919" s="8" t="inlineStr">
        <is>
          <t>CATIA</t>
        </is>
      </c>
      <c r="L919" s="9" t="n">
        <v>46184</v>
      </c>
      <c r="M919" s="7" t="inlineStr"/>
      <c r="N919" s="7" t="inlineStr"/>
      <c r="O919" s="9" t="n">
        <v>46187</v>
      </c>
      <c r="P919" s="9" t="n">
        <v>46192</v>
      </c>
      <c r="Q919" s="9" t="n">
        <v>46192</v>
      </c>
      <c r="R919" s="7" t="inlineStr">
        <is>
          <t>Concluído Campo</t>
        </is>
      </c>
      <c r="S919" s="9" t="n">
        <v>46237</v>
      </c>
      <c r="T919" s="10" t="inlineStr"/>
      <c r="U919" s="7" t="inlineStr">
        <is>
          <t>5593456</t>
        </is>
      </c>
      <c r="V919" s="7" t="inlineStr">
        <is>
          <t>FINALIZADO</t>
        </is>
      </c>
      <c r="W919" s="7" t="inlineStr"/>
      <c r="X919" s="7" t="inlineStr">
        <is>
          <t>MEDIÇÃO CONCLUÍDA</t>
        </is>
      </c>
      <c r="Y919" s="11">
        <f>IF(AND(L919&lt;&gt;"", S919&lt;&gt;""), S919-L919, IF(L919&lt;&gt;"", TODAY()-L919, ""))</f>
        <v/>
      </c>
      <c r="Z919" s="7">
        <f>IF(Y919="", "", IF(Y919&lt;=3, "NO PRAZO", "ATRASADO"))</f>
        <v/>
      </c>
      <c r="AA919" s="8" t="inlineStr"/>
    </row>
    <row r="920" ht="20" customHeight="1">
      <c r="A920" s="7" t="inlineStr">
        <is>
          <t>RSCLER0915</t>
        </is>
      </c>
      <c r="B920" s="8" t="inlineStr">
        <is>
          <t>NOVO HAMBURGO</t>
        </is>
      </c>
      <c r="C920" s="7" t="inlineStr">
        <is>
          <t>RNDAA</t>
        </is>
      </c>
      <c r="D920" s="7" t="inlineStr">
        <is>
          <t>RNDAH</t>
        </is>
      </c>
      <c r="E920" s="7" t="inlineStr">
        <is>
          <t>RSNHO12</t>
        </is>
      </c>
      <c r="F920" s="8" t="inlineStr">
        <is>
          <t>Cond Alto Paraíso</t>
        </is>
      </c>
      <c r="G920" s="8" t="inlineStr">
        <is>
          <t>R. Boleslau Casemiro Konarzewski, 651</t>
        </is>
      </c>
      <c r="H920" s="7" t="inlineStr">
        <is>
          <t>RNDAA.061.M040</t>
        </is>
      </c>
      <c r="I920" s="8" t="inlineStr">
        <is>
          <t>FOI LANÇADO 1535 METROS DE CABO DE 12FO, 8 ABERTURA E FECHAMENTO, 56 FUSÕES, 2 DERIVAÇÃO, 2 CX NOVA, 1 TESTE OTDR, 7 TESTES.</t>
        </is>
      </c>
      <c r="J920" s="8" t="inlineStr">
        <is>
          <t>TIAGO FERREIRA</t>
        </is>
      </c>
      <c r="K920" s="8" t="inlineStr">
        <is>
          <t>AFONSO / CATIA</t>
        </is>
      </c>
      <c r="L920" s="9" t="n">
        <v>46188</v>
      </c>
      <c r="M920" s="7" t="inlineStr"/>
      <c r="N920" s="7" t="inlineStr"/>
      <c r="O920" s="9" t="n">
        <v>46193</v>
      </c>
      <c r="P920" s="9" t="n">
        <v>46240</v>
      </c>
      <c r="Q920" s="9" t="n">
        <v>46240</v>
      </c>
      <c r="R920" s="7" t="inlineStr">
        <is>
          <t>Concluído Campo</t>
        </is>
      </c>
      <c r="S920" s="7" t="inlineStr"/>
      <c r="T920" s="10" t="inlineStr"/>
      <c r="U920" s="7" t="inlineStr"/>
      <c r="V920" s="7" t="inlineStr"/>
      <c r="W920" s="7" t="inlineStr"/>
      <c r="X920" s="7" t="inlineStr">
        <is>
          <t>AG. MEDIÇÃO</t>
        </is>
      </c>
      <c r="Y920" s="11">
        <f>IF(AND(L920&lt;&gt;"", S920&lt;&gt;""), S920-L920, IF(L920&lt;&gt;"", TODAY()-L920, ""))</f>
        <v/>
      </c>
      <c r="Z920" s="7">
        <f>IF(Y920="", "", IF(Y920&lt;=3, "NO PRAZO", "ATRASADO"))</f>
        <v/>
      </c>
      <c r="AA920" s="8" t="inlineStr"/>
    </row>
    <row r="921" ht="20" customHeight="1">
      <c r="A921" s="7" t="inlineStr">
        <is>
          <t>RSCLER0916</t>
        </is>
      </c>
      <c r="B921" s="8" t="inlineStr">
        <is>
          <t>PORTO ALEGRE</t>
        </is>
      </c>
      <c r="C921" s="7" t="inlineStr">
        <is>
          <t>BFMAA</t>
        </is>
      </c>
      <c r="D921" s="7" t="inlineStr">
        <is>
          <t>BFMAA</t>
        </is>
      </c>
      <c r="E921" s="7" t="inlineStr">
        <is>
          <t>PAE IND</t>
        </is>
      </c>
      <c r="F921" s="8" t="inlineStr"/>
      <c r="G921" s="8" t="inlineStr">
        <is>
          <t>R BARROS CASSAL 723</t>
        </is>
      </c>
      <c r="H921" s="7" t="inlineStr">
        <is>
          <t>BFMAA.124.M020</t>
        </is>
      </c>
      <c r="I921" s="8" t="inlineStr">
        <is>
          <t>3 ABERTURA E FECHAMENTO, 8 FUSÕES, 1 DERIVAÇÃO, 2 TESTES.</t>
        </is>
      </c>
      <c r="J921" s="8" t="inlineStr"/>
      <c r="K921" s="8" t="inlineStr">
        <is>
          <t>CATIA</t>
        </is>
      </c>
      <c r="L921" s="9" t="n">
        <v>46188</v>
      </c>
      <c r="M921" s="7" t="inlineStr"/>
      <c r="N921" s="7" t="inlineStr"/>
      <c r="O921" s="9" t="n">
        <v>46189</v>
      </c>
      <c r="P921" s="9" t="n">
        <v>46210</v>
      </c>
      <c r="Q921" s="9" t="n">
        <v>46210</v>
      </c>
      <c r="R921" s="7" t="inlineStr">
        <is>
          <t>Concluído Campo</t>
        </is>
      </c>
      <c r="S921" s="7" t="inlineStr"/>
      <c r="T921" s="10" t="inlineStr"/>
      <c r="U921" s="7" t="inlineStr"/>
      <c r="V921" s="7" t="inlineStr"/>
      <c r="W921" s="7" t="inlineStr"/>
      <c r="X921" s="7" t="inlineStr">
        <is>
          <t>AG. MEDIÇÃO</t>
        </is>
      </c>
      <c r="Y921" s="11">
        <f>IF(AND(L921&lt;&gt;"", S921&lt;&gt;""), S921-L921, IF(L921&lt;&gt;"", TODAY()-L921, ""))</f>
        <v/>
      </c>
      <c r="Z921" s="7">
        <f>IF(Y921="", "", IF(Y921&lt;=3, "NO PRAZO", "ATRASADO"))</f>
        <v/>
      </c>
      <c r="AA921" s="8" t="inlineStr"/>
    </row>
    <row r="922" ht="20" customHeight="1">
      <c r="A922" s="7" t="inlineStr">
        <is>
          <t>RSCLER0917</t>
        </is>
      </c>
      <c r="B922" s="8" t="inlineStr">
        <is>
          <t>PORTO ALEGRE</t>
        </is>
      </c>
      <c r="C922" s="7" t="inlineStr">
        <is>
          <t>BFMAA</t>
        </is>
      </c>
      <c r="D922" s="7" t="inlineStr">
        <is>
          <t>BFMAA</t>
        </is>
      </c>
      <c r="E922" s="7" t="inlineStr">
        <is>
          <t>PAE IND</t>
        </is>
      </c>
      <c r="F922" s="8" t="inlineStr"/>
      <c r="G922" s="8" t="inlineStr">
        <is>
          <t>R ANTÃO DE FARIAS 21</t>
        </is>
      </c>
      <c r="H922" s="7" t="inlineStr">
        <is>
          <t>BFMAA.124.M020</t>
        </is>
      </c>
      <c r="I922" s="8" t="inlineStr">
        <is>
          <t>COBRAR JUNTO NA OS RSCLER0916</t>
        </is>
      </c>
      <c r="J922" s="8" t="inlineStr"/>
      <c r="K922" s="8" t="inlineStr">
        <is>
          <t>CATIA</t>
        </is>
      </c>
      <c r="L922" s="9" t="n">
        <v>46188</v>
      </c>
      <c r="M922" s="7" t="inlineStr"/>
      <c r="N922" s="7" t="inlineStr"/>
      <c r="O922" s="9" t="n">
        <v>46189</v>
      </c>
      <c r="P922" s="9" t="n">
        <v>46210</v>
      </c>
      <c r="Q922" s="9" t="n">
        <v>46210</v>
      </c>
      <c r="R922" s="7" t="inlineStr">
        <is>
          <t>Concluído Campo</t>
        </is>
      </c>
      <c r="S922" s="7" t="inlineStr"/>
      <c r="T922" s="10" t="inlineStr"/>
      <c r="U922" s="7" t="inlineStr"/>
      <c r="V922" s="7" t="inlineStr"/>
      <c r="W922" s="7" t="inlineStr"/>
      <c r="X922" s="7" t="inlineStr">
        <is>
          <t>AG. MEDIÇÃO</t>
        </is>
      </c>
      <c r="Y922" s="11">
        <f>IF(AND(L922&lt;&gt;"", S922&lt;&gt;""), S922-L922, IF(L922&lt;&gt;"", TODAY()-L922, ""))</f>
        <v/>
      </c>
      <c r="Z922" s="7">
        <f>IF(Y922="", "", IF(Y922&lt;=3, "NO PRAZO", "ATRASADO"))</f>
        <v/>
      </c>
      <c r="AA922" s="8" t="inlineStr"/>
    </row>
    <row r="923" ht="20" customHeight="1">
      <c r="A923" s="7" t="inlineStr">
        <is>
          <t>RSCLER0918</t>
        </is>
      </c>
      <c r="B923" s="8" t="inlineStr">
        <is>
          <t>NOVO HAMBURGO</t>
        </is>
      </c>
      <c r="C923" s="7" t="inlineStr">
        <is>
          <t>IDLAA</t>
        </is>
      </c>
      <c r="D923" s="7" t="inlineStr">
        <is>
          <t>CNTAI</t>
        </is>
      </c>
      <c r="E923" s="7" t="inlineStr">
        <is>
          <t>RSNHO11</t>
        </is>
      </c>
      <c r="F923" s="8" t="inlineStr">
        <is>
          <t>Cond Ed Galeria Quadra Shopping</t>
        </is>
      </c>
      <c r="G923" s="8" t="inlineStr">
        <is>
          <t>R. Joaquim Nabuco, 111</t>
        </is>
      </c>
      <c r="H923" s="7" t="inlineStr">
        <is>
          <t>IDLAA.012.M010</t>
        </is>
      </c>
      <c r="I923" s="8" t="inlineStr">
        <is>
          <t>FOI LANÇADO 155 METROS DE CABO DE 12FO, 5 ABERTURA E FECHAMENTO, 21 FUSÕES, 5 TESTES.</t>
        </is>
      </c>
      <c r="J923" s="8" t="inlineStr">
        <is>
          <t>TIAGO FERREIRA</t>
        </is>
      </c>
      <c r="K923" s="8" t="inlineStr">
        <is>
          <t>CATIA / AFONSO</t>
        </is>
      </c>
      <c r="L923" s="9" t="n">
        <v>46188</v>
      </c>
      <c r="M923" s="7" t="inlineStr"/>
      <c r="N923" s="7" t="inlineStr"/>
      <c r="O923" s="9" t="n">
        <v>46197</v>
      </c>
      <c r="P923" s="9" t="n">
        <v>46244</v>
      </c>
      <c r="Q923" s="9" t="n">
        <v>46244</v>
      </c>
      <c r="R923" s="7" t="inlineStr">
        <is>
          <t>Concluído Campo</t>
        </is>
      </c>
      <c r="S923" s="7" t="inlineStr"/>
      <c r="T923" s="10" t="inlineStr"/>
      <c r="U923" s="7" t="inlineStr"/>
      <c r="V923" s="7" t="inlineStr"/>
      <c r="W923" s="7" t="inlineStr"/>
      <c r="X923" s="7" t="inlineStr">
        <is>
          <t>AG. MEDIÇÃO</t>
        </is>
      </c>
      <c r="Y923" s="11">
        <f>IF(AND(L923&lt;&gt;"", S923&lt;&gt;""), S923-L923, IF(L923&lt;&gt;"", TODAY()-L923, ""))</f>
        <v/>
      </c>
      <c r="Z923" s="7">
        <f>IF(Y923="", "", IF(Y923&lt;=3, "NO PRAZO", "ATRASADO"))</f>
        <v/>
      </c>
      <c r="AA923" s="8" t="inlineStr"/>
    </row>
    <row r="924" ht="20" customHeight="1">
      <c r="A924" s="7" t="inlineStr">
        <is>
          <t>RSCLER0919</t>
        </is>
      </c>
      <c r="B924" s="8" t="inlineStr">
        <is>
          <t>PORTO ALEGRE</t>
        </is>
      </c>
      <c r="C924" s="7" t="inlineStr">
        <is>
          <t>CNTAB</t>
        </is>
      </c>
      <c r="D924" s="7" t="inlineStr">
        <is>
          <t>CNTAG</t>
        </is>
      </c>
      <c r="E924" s="7" t="inlineStr">
        <is>
          <t>RSPCE14</t>
        </is>
      </c>
      <c r="F924" s="8" t="inlineStr"/>
      <c r="G924" s="8" t="inlineStr">
        <is>
          <t>PÇA CONDE DE PORTO ALEGRE 40</t>
        </is>
      </c>
      <c r="H924" s="7" t="inlineStr">
        <is>
          <t>CNTAB.071.M070</t>
        </is>
      </c>
      <c r="I924" s="8" t="inlineStr">
        <is>
          <t>FOI LANÇADO 586 METROS DE CABO DE 12FO, 7 ABERTURA E FECHAMENTO, 35 FUSÕES, 5 DERIVAÇÕES, 1 CX NOVA, 5 TESTES, 2 TESTES OTDR.</t>
        </is>
      </c>
      <c r="J924" s="8" t="inlineStr">
        <is>
          <t>TIAGO FERREIRA</t>
        </is>
      </c>
      <c r="K924" s="8" t="inlineStr">
        <is>
          <t>CATIA</t>
        </is>
      </c>
      <c r="L924" s="9" t="n">
        <v>46185</v>
      </c>
      <c r="M924" s="7" t="inlineStr"/>
      <c r="N924" s="7" t="inlineStr"/>
      <c r="O924" s="9" t="n">
        <v>46192</v>
      </c>
      <c r="P924" s="9" t="n">
        <v>46247</v>
      </c>
      <c r="Q924" s="7" t="inlineStr"/>
      <c r="R924" s="7" t="inlineStr">
        <is>
          <t>Concluído Campo</t>
        </is>
      </c>
      <c r="S924" s="7" t="inlineStr"/>
      <c r="T924" s="10" t="inlineStr"/>
      <c r="U924" s="7" t="inlineStr"/>
      <c r="V924" s="7" t="inlineStr"/>
      <c r="W924" s="7" t="inlineStr"/>
      <c r="X924" s="7" t="inlineStr">
        <is>
          <t>AG. MEDIÇÃO</t>
        </is>
      </c>
      <c r="Y924" s="11">
        <f>IF(AND(L924&lt;&gt;"", S924&lt;&gt;""), S924-L924, IF(L924&lt;&gt;"", TODAY()-L924, ""))</f>
        <v/>
      </c>
      <c r="Z924" s="7">
        <f>IF(Y924="", "", IF(Y924&lt;=3, "NO PRAZO", "ATRASADO"))</f>
        <v/>
      </c>
      <c r="AA924" s="8" t="inlineStr"/>
    </row>
    <row r="925" ht="20" customHeight="1">
      <c r="A925" s="7" t="inlineStr">
        <is>
          <t>RSCLER0920</t>
        </is>
      </c>
      <c r="B925" s="8" t="inlineStr">
        <is>
          <t>PORTO ALEGRE</t>
        </is>
      </c>
      <c r="C925" s="7" t="inlineStr">
        <is>
          <t>BFMAA</t>
        </is>
      </c>
      <c r="D925" s="7" t="inlineStr">
        <is>
          <t>BFMADA</t>
        </is>
      </c>
      <c r="E925" s="7" t="inlineStr">
        <is>
          <t>PAE IND</t>
        </is>
      </c>
      <c r="F925" s="8" t="inlineStr">
        <is>
          <t>ED CEL VICENTE</t>
        </is>
      </c>
      <c r="G925" s="8" t="inlineStr">
        <is>
          <t>R CEL VICENTE 625</t>
        </is>
      </c>
      <c r="H925" s="7" t="inlineStr">
        <is>
          <t>BFMAA.023.M070</t>
        </is>
      </c>
      <c r="I925" s="8" t="inlineStr">
        <is>
          <t>COBRAR NA MESMA OS DA RSCLER0911</t>
        </is>
      </c>
      <c r="J925" s="8" t="inlineStr"/>
      <c r="K925" s="8" t="inlineStr">
        <is>
          <t>CATIA</t>
        </is>
      </c>
      <c r="L925" s="9" t="n">
        <v>46183</v>
      </c>
      <c r="M925" s="7" t="inlineStr"/>
      <c r="N925" s="7" t="inlineStr"/>
      <c r="O925" s="9" t="n">
        <v>46188</v>
      </c>
      <c r="P925" s="9" t="n">
        <v>46210</v>
      </c>
      <c r="Q925" s="9" t="n">
        <v>46210</v>
      </c>
      <c r="R925" s="7" t="inlineStr">
        <is>
          <t>Concluído Campo</t>
        </is>
      </c>
      <c r="S925" s="7" t="inlineStr"/>
      <c r="T925" s="10" t="inlineStr"/>
      <c r="U925" s="7" t="inlineStr"/>
      <c r="V925" s="7" t="inlineStr"/>
      <c r="W925" s="7" t="inlineStr"/>
      <c r="X925" s="7" t="inlineStr">
        <is>
          <t>AG. MEDIÇÃO</t>
        </is>
      </c>
      <c r="Y925" s="11">
        <f>IF(AND(L925&lt;&gt;"", S925&lt;&gt;""), S925-L925, IF(L925&lt;&gt;"", TODAY()-L925, ""))</f>
        <v/>
      </c>
      <c r="Z925" s="7">
        <f>IF(Y925="", "", IF(Y925&lt;=3, "NO PRAZO", "ATRASADO"))</f>
        <v/>
      </c>
      <c r="AA925" s="8" t="inlineStr"/>
    </row>
    <row r="926" ht="20" customHeight="1">
      <c r="A926" s="7" t="inlineStr">
        <is>
          <t>RSCLER0921</t>
        </is>
      </c>
      <c r="B926" s="8" t="inlineStr">
        <is>
          <t>PORTO ALEGRE</t>
        </is>
      </c>
      <c r="C926" s="7" t="inlineStr">
        <is>
          <t>BFMAA</t>
        </is>
      </c>
      <c r="D926" s="7" t="inlineStr">
        <is>
          <t>RBRAFA</t>
        </is>
      </c>
      <c r="E926" s="7" t="inlineStr">
        <is>
          <t>PAE IND</t>
        </is>
      </c>
      <c r="F926" s="8" t="inlineStr"/>
      <c r="G926" s="8" t="inlineStr">
        <is>
          <t>R CEL. FERNANDES VIEIRA 146</t>
        </is>
      </c>
      <c r="H926" s="7" t="inlineStr">
        <is>
          <t>BFMAA.091.M010</t>
        </is>
      </c>
      <c r="I926" s="8" t="inlineStr">
        <is>
          <t>COBRAR JUNTO COM A OS RSCLER0910</t>
        </is>
      </c>
      <c r="J926" s="8" t="inlineStr"/>
      <c r="K926" s="8" t="inlineStr">
        <is>
          <t>CATIA</t>
        </is>
      </c>
      <c r="L926" s="9" t="n">
        <v>46182</v>
      </c>
      <c r="M926" s="7" t="inlineStr"/>
      <c r="N926" s="7" t="inlineStr"/>
      <c r="O926" s="9" t="n">
        <v>46184</v>
      </c>
      <c r="P926" s="9" t="n">
        <v>46210</v>
      </c>
      <c r="Q926" s="9" t="n">
        <v>46210</v>
      </c>
      <c r="R926" s="7" t="inlineStr">
        <is>
          <t>Concluído Campo</t>
        </is>
      </c>
      <c r="S926" s="7" t="inlineStr"/>
      <c r="T926" s="10" t="inlineStr"/>
      <c r="U926" s="7" t="inlineStr"/>
      <c r="V926" s="7" t="inlineStr"/>
      <c r="W926" s="7" t="inlineStr"/>
      <c r="X926" s="7" t="inlineStr">
        <is>
          <t>AG. MEDIÇÃO</t>
        </is>
      </c>
      <c r="Y926" s="11">
        <f>IF(AND(L926&lt;&gt;"", S926&lt;&gt;""), S926-L926, IF(L926&lt;&gt;"", TODAY()-L926, ""))</f>
        <v/>
      </c>
      <c r="Z926" s="7">
        <f>IF(Y926="", "", IF(Y926&lt;=3, "NO PRAZO", "ATRASADO"))</f>
        <v/>
      </c>
      <c r="AA926" s="8" t="inlineStr"/>
    </row>
    <row r="927" ht="20" customHeight="1">
      <c r="A927" s="7" t="inlineStr">
        <is>
          <t>RSCLER0922</t>
        </is>
      </c>
      <c r="B927" s="8" t="inlineStr">
        <is>
          <t>PORTO ALEGRE</t>
        </is>
      </c>
      <c r="C927" s="7" t="inlineStr">
        <is>
          <t>RBRAA</t>
        </is>
      </c>
      <c r="D927" s="7" t="inlineStr">
        <is>
          <t>RBRAGA</t>
        </is>
      </c>
      <c r="E927" s="7" t="inlineStr">
        <is>
          <t>RSPLE08</t>
        </is>
      </c>
      <c r="F927" s="8" t="inlineStr">
        <is>
          <t>Condomínio Edificio Piemonte</t>
        </is>
      </c>
      <c r="G927" s="8" t="inlineStr">
        <is>
          <t>R. Ramiro Barcelos, 1323</t>
        </is>
      </c>
      <c r="H927" s="7" t="inlineStr">
        <is>
          <t>RBRAA.013.M060</t>
        </is>
      </c>
      <c r="I927" s="8" t="inlineStr">
        <is>
          <t>3 ABERTURA E FECHAMENTO, 8 FUSÕES, 4 TESTES.</t>
        </is>
      </c>
      <c r="J927" s="8" t="inlineStr"/>
      <c r="K927" s="8" t="inlineStr">
        <is>
          <t>CATIA</t>
        </is>
      </c>
      <c r="L927" s="9" t="n">
        <v>46178</v>
      </c>
      <c r="M927" s="7" t="inlineStr"/>
      <c r="N927" s="7" t="inlineStr"/>
      <c r="O927" s="9" t="n">
        <v>46186</v>
      </c>
      <c r="P927" s="9" t="n">
        <v>46205</v>
      </c>
      <c r="Q927" s="9" t="n">
        <v>46205</v>
      </c>
      <c r="R927" s="7" t="inlineStr">
        <is>
          <t>Concluído Campo</t>
        </is>
      </c>
      <c r="S927" s="7" t="inlineStr"/>
      <c r="T927" s="10" t="inlineStr"/>
      <c r="U927" s="7" t="inlineStr"/>
      <c r="V927" s="7" t="inlineStr"/>
      <c r="W927" s="7" t="inlineStr"/>
      <c r="X927" s="7" t="inlineStr">
        <is>
          <t>AG. MEDIÇÃO</t>
        </is>
      </c>
      <c r="Y927" s="11">
        <f>IF(AND(L927&lt;&gt;"", S927&lt;&gt;""), S927-L927, IF(L927&lt;&gt;"", TODAY()-L927, ""))</f>
        <v/>
      </c>
      <c r="Z927" s="7">
        <f>IF(Y927="", "", IF(Y927&lt;=3, "NO PRAZO", "ATRASADO"))</f>
        <v/>
      </c>
      <c r="AA927" s="8" t="inlineStr"/>
    </row>
    <row r="928" ht="20" customHeight="1">
      <c r="A928" s="7" t="inlineStr">
        <is>
          <t>RSCLER0922</t>
        </is>
      </c>
      <c r="B928" s="8" t="inlineStr">
        <is>
          <t>PORTO ALEGRE</t>
        </is>
      </c>
      <c r="C928" s="7" t="inlineStr">
        <is>
          <t>BFMAA</t>
        </is>
      </c>
      <c r="D928" s="7" t="inlineStr">
        <is>
          <t>BFMADA</t>
        </is>
      </c>
      <c r="E928" s="7" t="inlineStr">
        <is>
          <t>PAE IND</t>
        </is>
      </c>
      <c r="F928" s="8" t="inlineStr"/>
      <c r="G928" s="8" t="inlineStr">
        <is>
          <t>AV INDEPENDENCIA 56</t>
        </is>
      </c>
      <c r="H928" s="7" t="inlineStr">
        <is>
          <t>BFMAA.023.M070</t>
        </is>
      </c>
      <c r="I928" s="8" t="inlineStr">
        <is>
          <t>COBRAR NA MESMA OS DA RSCLER0911</t>
        </is>
      </c>
      <c r="J928" s="8" t="inlineStr"/>
      <c r="K928" s="8" t="inlineStr">
        <is>
          <t>CATIA</t>
        </is>
      </c>
      <c r="L928" s="9" t="n">
        <v>46183</v>
      </c>
      <c r="M928" s="7" t="inlineStr"/>
      <c r="N928" s="7" t="inlineStr"/>
      <c r="O928" s="9" t="n">
        <v>46188</v>
      </c>
      <c r="P928" s="9" t="n">
        <v>46210</v>
      </c>
      <c r="Q928" s="9" t="n">
        <v>46210</v>
      </c>
      <c r="R928" s="7" t="inlineStr">
        <is>
          <t>Concluído Campo</t>
        </is>
      </c>
      <c r="S928" s="7" t="inlineStr"/>
      <c r="T928" s="10" t="inlineStr"/>
      <c r="U928" s="7" t="inlineStr"/>
      <c r="V928" s="7" t="inlineStr"/>
      <c r="W928" s="7" t="inlineStr"/>
      <c r="X928" s="7" t="inlineStr">
        <is>
          <t>AG. MEDIÇÃO</t>
        </is>
      </c>
      <c r="Y928" s="11">
        <f>IF(AND(L928&lt;&gt;"", S928&lt;&gt;""), S928-L928, IF(L928&lt;&gt;"", TODAY()-L928, ""))</f>
        <v/>
      </c>
      <c r="Z928" s="7">
        <f>IF(Y928="", "", IF(Y928&lt;=3, "NO PRAZO", "ATRASADO"))</f>
        <v/>
      </c>
      <c r="AA928" s="8" t="inlineStr"/>
    </row>
    <row r="929" ht="20" customHeight="1">
      <c r="A929" s="7" t="inlineStr">
        <is>
          <t>RSCLER0923</t>
        </is>
      </c>
      <c r="B929" s="8" t="inlineStr">
        <is>
          <t>PORTO ALEGRE</t>
        </is>
      </c>
      <c r="C929" s="7" t="inlineStr">
        <is>
          <t>SPEAA</t>
        </is>
      </c>
      <c r="D929" s="7" t="inlineStr">
        <is>
          <t>PDRACB</t>
        </is>
      </c>
      <c r="E929" s="7" t="inlineStr">
        <is>
          <t>PAE DAM</t>
        </is>
      </c>
      <c r="F929" s="8" t="inlineStr"/>
      <c r="G929" s="8" t="inlineStr">
        <is>
          <t>CRUZEIRO DO SUL 516, 524, 532, 540</t>
        </is>
      </c>
      <c r="H929" s="7" t="inlineStr">
        <is>
          <t>SPEAA.031.M040</t>
        </is>
      </c>
      <c r="I929" s="8" t="inlineStr">
        <is>
          <t>COBRAR JUNTO A OS RSCLER0898</t>
        </is>
      </c>
      <c r="J929" s="8" t="inlineStr"/>
      <c r="K929" s="8" t="inlineStr">
        <is>
          <t>AFONSO</t>
        </is>
      </c>
      <c r="L929" s="9" t="n">
        <v>46178</v>
      </c>
      <c r="M929" s="7" t="inlineStr"/>
      <c r="N929" s="7" t="inlineStr"/>
      <c r="O929" s="9" t="n">
        <v>46186</v>
      </c>
      <c r="P929" s="9" t="n">
        <v>46209</v>
      </c>
      <c r="Q929" s="9" t="n">
        <v>46209</v>
      </c>
      <c r="R929" s="7" t="inlineStr">
        <is>
          <t>Concluído Campo</t>
        </is>
      </c>
      <c r="S929" s="7" t="inlineStr"/>
      <c r="T929" s="10" t="inlineStr"/>
      <c r="U929" s="7" t="inlineStr"/>
      <c r="V929" s="7" t="inlineStr"/>
      <c r="W929" s="7" t="inlineStr"/>
      <c r="X929" s="7" t="inlineStr">
        <is>
          <t>AG. MEDIÇÃO</t>
        </is>
      </c>
      <c r="Y929" s="11">
        <f>IF(AND(L929&lt;&gt;"", S929&lt;&gt;""), S929-L929, IF(L929&lt;&gt;"", TODAY()-L929, ""))</f>
        <v/>
      </c>
      <c r="Z929" s="7">
        <f>IF(Y929="", "", IF(Y929&lt;=3, "NO PRAZO", "ATRASADO"))</f>
        <v/>
      </c>
      <c r="AA929" s="8" t="inlineStr"/>
    </row>
    <row r="930" ht="20" customHeight="1">
      <c r="A930" s="7" t="inlineStr">
        <is>
          <t>RSCLER0924</t>
        </is>
      </c>
      <c r="B930" s="8" t="inlineStr">
        <is>
          <t>PORTO ALEGRE</t>
        </is>
      </c>
      <c r="C930" s="7" t="inlineStr">
        <is>
          <t>BFMAA</t>
        </is>
      </c>
      <c r="D930" s="7" t="inlineStr">
        <is>
          <t>RBRAFA</t>
        </is>
      </c>
      <c r="E930" s="7" t="inlineStr">
        <is>
          <t>PAE IND</t>
        </is>
      </c>
      <c r="F930" s="8" t="inlineStr"/>
      <c r="G930" s="8" t="inlineStr">
        <is>
          <t>R MIGUEL TOSTES 139</t>
        </is>
      </c>
      <c r="H930" s="7" t="inlineStr">
        <is>
          <t>BFMAA.092.M040</t>
        </is>
      </c>
      <c r="I930" s="8" t="inlineStr">
        <is>
          <t>FOI LANÇADO 496 METROS DE CABO DE 24FO, 3 ABERTURA E FECHAMENTO, 12 FUSÕES, 1 CX NOVA, 1 DERIVAÇÃO, 5 TESTES.</t>
        </is>
      </c>
      <c r="J930" s="8" t="inlineStr">
        <is>
          <t>TIAGO FERREIRA</t>
        </is>
      </c>
      <c r="K930" s="8" t="inlineStr">
        <is>
          <t>AFONSO</t>
        </is>
      </c>
      <c r="L930" s="9" t="n">
        <v>46188</v>
      </c>
      <c r="M930" s="7" t="inlineStr"/>
      <c r="N930" s="7" t="inlineStr"/>
      <c r="O930" s="9" t="n">
        <v>46198</v>
      </c>
      <c r="P930" s="9" t="n">
        <v>46245</v>
      </c>
      <c r="Q930" s="9" t="n">
        <v>46245</v>
      </c>
      <c r="R930" s="7" t="inlineStr">
        <is>
          <t>Concluído Campo</t>
        </is>
      </c>
      <c r="S930" s="7" t="inlineStr"/>
      <c r="T930" s="10" t="inlineStr"/>
      <c r="U930" s="7" t="inlineStr"/>
      <c r="V930" s="7" t="inlineStr"/>
      <c r="W930" s="7" t="inlineStr"/>
      <c r="X930" s="7" t="inlineStr">
        <is>
          <t>AG. MEDIÇÃO</t>
        </is>
      </c>
      <c r="Y930" s="11">
        <f>IF(AND(L930&lt;&gt;"", S930&lt;&gt;""), S930-L930, IF(L930&lt;&gt;"", TODAY()-L930, ""))</f>
        <v/>
      </c>
      <c r="Z930" s="7">
        <f>IF(Y930="", "", IF(Y930&lt;=3, "NO PRAZO", "ATRASADO"))</f>
        <v/>
      </c>
      <c r="AA930" s="8" t="inlineStr"/>
    </row>
    <row r="931" ht="20" customHeight="1">
      <c r="A931" s="7" t="inlineStr">
        <is>
          <t>RSCLER0925</t>
        </is>
      </c>
      <c r="B931" s="8" t="inlineStr">
        <is>
          <t>NOVO HAMBURGO</t>
        </is>
      </c>
      <c r="C931" s="7" t="inlineStr">
        <is>
          <t>CNTAA</t>
        </is>
      </c>
      <c r="D931" s="7" t="inlineStr">
        <is>
          <t>CNTAL</t>
        </is>
      </c>
      <c r="E931" s="7" t="inlineStr">
        <is>
          <t>NHOLO</t>
        </is>
      </c>
      <c r="F931" s="8" t="inlineStr">
        <is>
          <t>Cond Giacomo Leopard</t>
        </is>
      </c>
      <c r="G931" s="8" t="inlineStr">
        <is>
          <t>R. Ubatuba, 70</t>
        </is>
      </c>
      <c r="H931" s="7" t="inlineStr">
        <is>
          <t>CNTAA.081.M040</t>
        </is>
      </c>
      <c r="I931" s="8" t="inlineStr">
        <is>
          <t>3 ABERTURA E FECHAMENTO, 2 FUÕES, 1 TESTES</t>
        </is>
      </c>
      <c r="J931" s="8" t="inlineStr"/>
      <c r="K931" s="8" t="inlineStr">
        <is>
          <t>AFONSO</t>
        </is>
      </c>
      <c r="L931" s="9" t="n">
        <v>46188</v>
      </c>
      <c r="M931" s="7" t="inlineStr"/>
      <c r="N931" s="7" t="inlineStr"/>
      <c r="O931" s="9" t="n">
        <v>46189</v>
      </c>
      <c r="P931" s="9" t="n">
        <v>46196</v>
      </c>
      <c r="Q931" s="9" t="n">
        <v>46196</v>
      </c>
      <c r="R931" s="7" t="inlineStr">
        <is>
          <t>Concluído Campo</t>
        </is>
      </c>
      <c r="S931" s="9" t="n">
        <v>46237</v>
      </c>
      <c r="T931" s="10" t="inlineStr"/>
      <c r="U931" s="7" t="inlineStr">
        <is>
          <t>5593589</t>
        </is>
      </c>
      <c r="V931" s="7" t="inlineStr">
        <is>
          <t>FINALIZADO</t>
        </is>
      </c>
      <c r="W931" s="7" t="inlineStr"/>
      <c r="X931" s="7" t="inlineStr">
        <is>
          <t>MEDIÇÃO CONCLUÍDA</t>
        </is>
      </c>
      <c r="Y931" s="11">
        <f>IF(AND(L931&lt;&gt;"", S931&lt;&gt;""), S931-L931, IF(L931&lt;&gt;"", TODAY()-L931, ""))</f>
        <v/>
      </c>
      <c r="Z931" s="7">
        <f>IF(Y931="", "", IF(Y931&lt;=3, "NO PRAZO", "ATRASADO"))</f>
        <v/>
      </c>
      <c r="AA931" s="8" t="inlineStr"/>
    </row>
    <row r="932" ht="20" customHeight="1">
      <c r="A932" s="7" t="inlineStr">
        <is>
          <t>RSCLER0926</t>
        </is>
      </c>
      <c r="B932" s="8" t="inlineStr">
        <is>
          <t>PORTO ALEGRE</t>
        </is>
      </c>
      <c r="C932" s="7" t="inlineStr">
        <is>
          <t>BFMAA</t>
        </is>
      </c>
      <c r="D932" s="7" t="inlineStr">
        <is>
          <t>BFMADA</t>
        </is>
      </c>
      <c r="E932" s="7" t="inlineStr">
        <is>
          <t>PAE IND</t>
        </is>
      </c>
      <c r="F932" s="8" t="inlineStr">
        <is>
          <t>Edificio Rio Uruguai</t>
        </is>
      </c>
      <c r="G932" s="8" t="inlineStr">
        <is>
          <t>R GARIBALDI 902</t>
        </is>
      </c>
      <c r="H932" s="7" t="inlineStr">
        <is>
          <t>BFMAA.023.M020</t>
        </is>
      </c>
      <c r="I932" s="8" t="inlineStr">
        <is>
          <t>FOI LANÇADO 112 METROS DE CABO DE 12FO, 2 ABERTURA E FECHAMENTO, 2 DERIVAÇÃO, 3 FUSÃO, 3 TESTES.</t>
        </is>
      </c>
      <c r="J932" s="8" t="inlineStr">
        <is>
          <t>TIAGO FERREIRA</t>
        </is>
      </c>
      <c r="K932" s="8" t="inlineStr">
        <is>
          <t>AFONSO</t>
        </is>
      </c>
      <c r="L932" s="9" t="n">
        <v>46188</v>
      </c>
      <c r="M932" s="7" t="inlineStr"/>
      <c r="N932" s="7" t="inlineStr"/>
      <c r="O932" s="9" t="n">
        <v>46192</v>
      </c>
      <c r="P932" s="9" t="n">
        <v>46195</v>
      </c>
      <c r="Q932" s="9" t="n">
        <v>46195</v>
      </c>
      <c r="R932" s="7" t="inlineStr">
        <is>
          <t>Concluído Campo</t>
        </is>
      </c>
      <c r="S932" s="7" t="inlineStr"/>
      <c r="T932" s="10" t="inlineStr"/>
      <c r="U932" s="7" t="inlineStr"/>
      <c r="V932" s="7" t="inlineStr"/>
      <c r="W932" s="7" t="inlineStr"/>
      <c r="X932" s="7" t="inlineStr">
        <is>
          <t>AG. MEDIÇÃO</t>
        </is>
      </c>
      <c r="Y932" s="11">
        <f>IF(AND(L932&lt;&gt;"", S932&lt;&gt;""), S932-L932, IF(L932&lt;&gt;"", TODAY()-L932, ""))</f>
        <v/>
      </c>
      <c r="Z932" s="7">
        <f>IF(Y932="", "", IF(Y932&lt;=3, "NO PRAZO", "ATRASADO"))</f>
        <v/>
      </c>
      <c r="AA932" s="8" t="inlineStr"/>
    </row>
    <row r="933" ht="20" customHeight="1">
      <c r="A933" s="7" t="inlineStr">
        <is>
          <t>RSCLER0927</t>
        </is>
      </c>
      <c r="B933" s="8" t="inlineStr">
        <is>
          <t>PORTO ALEGRE</t>
        </is>
      </c>
      <c r="C933" s="7" t="inlineStr">
        <is>
          <t>BFMAA</t>
        </is>
      </c>
      <c r="D933" s="7" t="inlineStr">
        <is>
          <t>BFMAA</t>
        </is>
      </c>
      <c r="E933" s="7" t="inlineStr">
        <is>
          <t>PAE IND</t>
        </is>
      </c>
      <c r="F933" s="8" t="inlineStr">
        <is>
          <t>Edifício Usmar B</t>
        </is>
      </c>
      <c r="G933" s="8" t="inlineStr">
        <is>
          <t>R DR BARROS CASSAL 475, 513</t>
        </is>
      </c>
      <c r="H933" s="7" t="inlineStr">
        <is>
          <t>BFMAA.122.M030</t>
        </is>
      </c>
      <c r="I933" s="8" t="inlineStr">
        <is>
          <t>FOI LANÇADO 207 METROS DE CABO DE 24FO, 3 ABERTURA E FECHAMENTO, 2 DERIVAÇÕES, 8 FUSÕES, 6 TESTES.</t>
        </is>
      </c>
      <c r="J933" s="8" t="inlineStr">
        <is>
          <t>TIAGO FERREIRA</t>
        </is>
      </c>
      <c r="K933" s="8" t="inlineStr">
        <is>
          <t>CATIA</t>
        </is>
      </c>
      <c r="L933" s="9" t="n">
        <v>46189</v>
      </c>
      <c r="M933" s="7" t="inlineStr"/>
      <c r="N933" s="7" t="inlineStr"/>
      <c r="O933" s="9" t="n">
        <v>46198</v>
      </c>
      <c r="P933" s="9" t="n">
        <v>46245</v>
      </c>
      <c r="Q933" s="9" t="n">
        <v>46245</v>
      </c>
      <c r="R933" s="7" t="inlineStr">
        <is>
          <t>Concluído Campo</t>
        </is>
      </c>
      <c r="S933" s="7" t="inlineStr"/>
      <c r="T933" s="10" t="inlineStr"/>
      <c r="U933" s="7" t="inlineStr"/>
      <c r="V933" s="7" t="inlineStr"/>
      <c r="W933" s="7" t="inlineStr"/>
      <c r="X933" s="7" t="inlineStr">
        <is>
          <t>AG. MEDIÇÃO</t>
        </is>
      </c>
      <c r="Y933" s="11">
        <f>IF(AND(L933&lt;&gt;"", S933&lt;&gt;""), S933-L933, IF(L933&lt;&gt;"", TODAY()-L933, ""))</f>
        <v/>
      </c>
      <c r="Z933" s="7">
        <f>IF(Y933="", "", IF(Y933&lt;=3, "NO PRAZO", "ATRASADO"))</f>
        <v/>
      </c>
      <c r="AA933" s="8" t="inlineStr"/>
    </row>
    <row r="934" ht="20" customHeight="1">
      <c r="A934" s="7" t="inlineStr">
        <is>
          <t>RSCLER0928</t>
        </is>
      </c>
      <c r="B934" s="8" t="inlineStr">
        <is>
          <t>PORTO ALEGRE</t>
        </is>
      </c>
      <c r="C934" s="7" t="inlineStr">
        <is>
          <t>RBRAA</t>
        </is>
      </c>
      <c r="D934" s="7" t="inlineStr">
        <is>
          <t>RBRAGA</t>
        </is>
      </c>
      <c r="E934" s="7" t="inlineStr">
        <is>
          <t>RSPLE08</t>
        </is>
      </c>
      <c r="F934" s="8" t="inlineStr">
        <is>
          <t>Cond Edificio Aspen Suites / Condomínio Edificio Piemonte</t>
        </is>
      </c>
      <c r="G934" s="8" t="inlineStr">
        <is>
          <t>R. Ramiro Barcelos, 1393 1323</t>
        </is>
      </c>
      <c r="H934" s="7" t="inlineStr">
        <is>
          <t>RBRAA.013.M070</t>
        </is>
      </c>
      <c r="I934" s="8" t="inlineStr">
        <is>
          <t>FOI LANÇADO 309 METROS DE CABO DE 24FO, 2 ABERTURA E FECHAMENTO, 14 FUSÕES, 2 DERIVAÇÕES, 7 TESTES.</t>
        </is>
      </c>
      <c r="J934" s="8" t="inlineStr">
        <is>
          <t>TIAGO FERREIRA</t>
        </is>
      </c>
      <c r="K934" s="8" t="inlineStr">
        <is>
          <t>AFONSO</t>
        </is>
      </c>
      <c r="L934" s="9" t="n">
        <v>46189</v>
      </c>
      <c r="M934" s="9" t="n">
        <v>46190</v>
      </c>
      <c r="N934" s="9" t="n">
        <v>46191</v>
      </c>
      <c r="O934" s="9" t="n">
        <v>46191</v>
      </c>
      <c r="P934" s="9" t="n">
        <v>46205</v>
      </c>
      <c r="Q934" s="9" t="n">
        <v>46205</v>
      </c>
      <c r="R934" s="7" t="inlineStr">
        <is>
          <t>Concluído Campo</t>
        </is>
      </c>
      <c r="S934" s="7" t="inlineStr"/>
      <c r="T934" s="10" t="inlineStr"/>
      <c r="U934" s="7" t="inlineStr"/>
      <c r="V934" s="7" t="inlineStr"/>
      <c r="W934" s="7" t="inlineStr"/>
      <c r="X934" s="7" t="inlineStr">
        <is>
          <t>AG. MEDIÇÃO</t>
        </is>
      </c>
      <c r="Y934" s="11">
        <f>IF(AND(L934&lt;&gt;"", S934&lt;&gt;""), S934-L934, IF(L934&lt;&gt;"", TODAY()-L934, ""))</f>
        <v/>
      </c>
      <c r="Z934" s="7">
        <f>IF(Y934="", "", IF(Y934&lt;=3, "NO PRAZO", "ATRASADO"))</f>
        <v/>
      </c>
      <c r="AA934" s="8" t="inlineStr"/>
    </row>
    <row r="935" ht="20" customHeight="1">
      <c r="A935" s="7" t="inlineStr">
        <is>
          <t>RSCLER0929</t>
        </is>
      </c>
      <c r="B935" s="8" t="inlineStr">
        <is>
          <t>PORTO ALEGRE</t>
        </is>
      </c>
      <c r="C935" s="7" t="inlineStr">
        <is>
          <t>BVSAB</t>
        </is>
      </c>
      <c r="D935" s="7" t="inlineStr">
        <is>
          <t>JBOAF</t>
        </is>
      </c>
      <c r="E935" s="7" t="inlineStr">
        <is>
          <t>PAE NR</t>
        </is>
      </c>
      <c r="F935" s="8" t="inlineStr"/>
      <c r="G935" s="8" t="inlineStr">
        <is>
          <t>RUA ISIDORO TRESSI 174</t>
        </is>
      </c>
      <c r="H935" s="7" t="inlineStr">
        <is>
          <t>BVSAB.172.M020</t>
        </is>
      </c>
      <c r="I935" s="8" t="inlineStr">
        <is>
          <t>2 ABERTURA E FECHAMENTO, 6 FUSÕES, 3 TESTES.</t>
        </is>
      </c>
      <c r="J935" s="8" t="inlineStr"/>
      <c r="K935" s="8" t="inlineStr">
        <is>
          <t>CATIA</t>
        </is>
      </c>
      <c r="L935" s="9" t="n">
        <v>46189</v>
      </c>
      <c r="M935" s="7" t="inlineStr"/>
      <c r="N935" s="7" t="inlineStr"/>
      <c r="O935" s="9" t="n">
        <v>46189</v>
      </c>
      <c r="P935" s="9" t="n">
        <v>46210</v>
      </c>
      <c r="Q935" s="9" t="n">
        <v>46210</v>
      </c>
      <c r="R935" s="7" t="inlineStr">
        <is>
          <t>Concluído Campo</t>
        </is>
      </c>
      <c r="S935" s="7" t="inlineStr"/>
      <c r="T935" s="10" t="inlineStr"/>
      <c r="U935" s="7" t="inlineStr"/>
      <c r="V935" s="7" t="inlineStr"/>
      <c r="W935" s="7" t="inlineStr"/>
      <c r="X935" s="7" t="inlineStr">
        <is>
          <t>AG. MEDIÇÃO</t>
        </is>
      </c>
      <c r="Y935" s="11">
        <f>IF(AND(L935&lt;&gt;"", S935&lt;&gt;""), S935-L935, IF(L935&lt;&gt;"", TODAY()-L935, ""))</f>
        <v/>
      </c>
      <c r="Z935" s="7">
        <f>IF(Y935="", "", IF(Y935&lt;=3, "NO PRAZO", "ATRASADO"))</f>
        <v/>
      </c>
      <c r="AA935" s="8" t="inlineStr"/>
    </row>
    <row r="936" ht="20" customHeight="1">
      <c r="A936" s="7" t="inlineStr">
        <is>
          <t>RSCLER0930</t>
        </is>
      </c>
      <c r="B936" s="8" t="inlineStr">
        <is>
          <t>PORTO ALEGRE</t>
        </is>
      </c>
      <c r="C936" s="7" t="inlineStr">
        <is>
          <t>TRZAB</t>
        </is>
      </c>
      <c r="D936" s="7" t="inlineStr"/>
      <c r="E936" s="7" t="inlineStr"/>
      <c r="F936" s="8" t="inlineStr">
        <is>
          <t>Condomínio</t>
        </is>
      </c>
      <c r="G936" s="8" t="inlineStr">
        <is>
          <t>R Dr David de Azevedo Gusmão, 185</t>
        </is>
      </c>
      <c r="H936" s="7" t="inlineStr">
        <is>
          <t>TRZAB.061.01.03</t>
        </is>
      </c>
      <c r="I936" s="8" t="inlineStr">
        <is>
          <t>FOI LANÇADO 20 METROS DE CABO DE 12FO, 2 ABERTURA E FECHAMENTO, 4 FUSÃO, 1 DERIVAÇÃO, 1 CX NOVA, 2 TESTE</t>
        </is>
      </c>
      <c r="J936" s="8" t="inlineStr"/>
      <c r="K936" s="8" t="inlineStr">
        <is>
          <t>AFONSO</t>
        </is>
      </c>
      <c r="L936" s="9" t="n">
        <v>46189</v>
      </c>
      <c r="M936" s="7" t="inlineStr"/>
      <c r="N936" s="7" t="inlineStr"/>
      <c r="O936" s="9" t="n">
        <v>46191</v>
      </c>
      <c r="P936" s="9" t="n">
        <v>46195</v>
      </c>
      <c r="Q936" s="9" t="n">
        <v>46195</v>
      </c>
      <c r="R936" s="7" t="inlineStr">
        <is>
          <t>Concluído Campo</t>
        </is>
      </c>
      <c r="S936" s="9" t="n">
        <v>46237</v>
      </c>
      <c r="T936" s="10" t="inlineStr"/>
      <c r="U936" s="7" t="inlineStr">
        <is>
          <t>5593519</t>
        </is>
      </c>
      <c r="V936" s="7" t="inlineStr">
        <is>
          <t>FINALIZADO</t>
        </is>
      </c>
      <c r="W936" s="7" t="inlineStr"/>
      <c r="X936" s="7" t="inlineStr">
        <is>
          <t>MEDIÇÃO CONCLUÍDA</t>
        </is>
      </c>
      <c r="Y936" s="11">
        <f>IF(AND(L936&lt;&gt;"", S936&lt;&gt;""), S936-L936, IF(L936&lt;&gt;"", TODAY()-L936, ""))</f>
        <v/>
      </c>
      <c r="Z936" s="7">
        <f>IF(Y936="", "", IF(Y936&lt;=3, "NO PRAZO", "ATRASADO"))</f>
        <v/>
      </c>
      <c r="AA936" s="8" t="inlineStr"/>
    </row>
    <row r="937" ht="20" customHeight="1">
      <c r="A937" s="7" t="inlineStr">
        <is>
          <t>RSCLER0931</t>
        </is>
      </c>
      <c r="B937" s="8" t="inlineStr">
        <is>
          <t>PORTO ALEGRE</t>
        </is>
      </c>
      <c r="C937" s="7" t="inlineStr">
        <is>
          <t>BFMAA</t>
        </is>
      </c>
      <c r="D937" s="7" t="inlineStr">
        <is>
          <t>BFMACA</t>
        </is>
      </c>
      <c r="E937" s="7" t="inlineStr">
        <is>
          <t>PAE IND</t>
        </is>
      </c>
      <c r="F937" s="8" t="inlineStr">
        <is>
          <t>Cond. GARDEN</t>
        </is>
      </c>
      <c r="G937" s="8" t="inlineStr">
        <is>
          <t>R STO ANTONIO 629</t>
        </is>
      </c>
      <c r="H937" s="7" t="inlineStr">
        <is>
          <t>BFMAA.144.M010</t>
        </is>
      </c>
      <c r="I937" s="8" t="inlineStr">
        <is>
          <t>10 ABERTURA E FECHAMENTO, 11 FUSÕES, 1 TESTE, 1 TESTE OTDR</t>
        </is>
      </c>
      <c r="J937" s="8" t="inlineStr"/>
      <c r="K937" s="8" t="inlineStr">
        <is>
          <t>AFONSO</t>
        </is>
      </c>
      <c r="L937" s="9" t="n">
        <v>46189</v>
      </c>
      <c r="M937" s="7" t="inlineStr"/>
      <c r="N937" s="7" t="inlineStr"/>
      <c r="O937" s="9" t="n">
        <v>46190</v>
      </c>
      <c r="P937" s="9" t="n">
        <v>46196</v>
      </c>
      <c r="Q937" s="9" t="n">
        <v>46196</v>
      </c>
      <c r="R937" s="7" t="inlineStr">
        <is>
          <t>Concluído Campo</t>
        </is>
      </c>
      <c r="S937" s="9" t="n">
        <v>46237</v>
      </c>
      <c r="T937" s="10" t="inlineStr"/>
      <c r="U937" s="7" t="inlineStr">
        <is>
          <t>5593568</t>
        </is>
      </c>
      <c r="V937" s="7" t="inlineStr">
        <is>
          <t>FINALIZADO</t>
        </is>
      </c>
      <c r="W937" s="7" t="inlineStr"/>
      <c r="X937" s="7" t="inlineStr">
        <is>
          <t>MEDIÇÃO CONCLUÍDA</t>
        </is>
      </c>
      <c r="Y937" s="11">
        <f>IF(AND(L937&lt;&gt;"", S937&lt;&gt;""), S937-L937, IF(L937&lt;&gt;"", TODAY()-L937, ""))</f>
        <v/>
      </c>
      <c r="Z937" s="7">
        <f>IF(Y937="", "", IF(Y937&lt;=3, "NO PRAZO", "ATRASADO"))</f>
        <v/>
      </c>
      <c r="AA937" s="8" t="inlineStr"/>
    </row>
    <row r="938" ht="20" customHeight="1">
      <c r="A938" s="7" t="inlineStr">
        <is>
          <t>RSCLER0932</t>
        </is>
      </c>
      <c r="B938" s="8" t="inlineStr">
        <is>
          <t>PORTO ALEGRE</t>
        </is>
      </c>
      <c r="C938" s="7" t="inlineStr">
        <is>
          <t>FLOAA</t>
        </is>
      </c>
      <c r="D938" s="7" t="inlineStr">
        <is>
          <t>FLOAEA</t>
        </is>
      </c>
      <c r="E938" s="7" t="inlineStr">
        <is>
          <t>RSPNO11</t>
        </is>
      </c>
      <c r="F938" s="8" t="inlineStr"/>
      <c r="G938" s="8" t="inlineStr">
        <is>
          <t>RUA CEL BORDINI 313</t>
        </is>
      </c>
      <c r="H938" s="7" t="inlineStr">
        <is>
          <t>FLOAA.043.M040</t>
        </is>
      </c>
      <c r="I938" s="8" t="inlineStr">
        <is>
          <t>2 ABERTURA E FECHAMENTO, 1 FUSÃO, 1 TESTE.</t>
        </is>
      </c>
      <c r="J938" s="8" t="inlineStr"/>
      <c r="K938" s="8" t="inlineStr">
        <is>
          <t>PAULO MAURICIO</t>
        </is>
      </c>
      <c r="L938" s="9" t="n">
        <v>46189</v>
      </c>
      <c r="M938" s="7" t="inlineStr"/>
      <c r="N938" s="7" t="inlineStr"/>
      <c r="O938" s="9" t="n">
        <v>46192</v>
      </c>
      <c r="P938" s="9" t="n">
        <v>46210</v>
      </c>
      <c r="Q938" s="9" t="n">
        <v>46210</v>
      </c>
      <c r="R938" s="7" t="inlineStr">
        <is>
          <t>Concluído Campo</t>
        </is>
      </c>
      <c r="S938" s="7" t="inlineStr"/>
      <c r="T938" s="10" t="inlineStr"/>
      <c r="U938" s="7" t="inlineStr"/>
      <c r="V938" s="7" t="inlineStr"/>
      <c r="W938" s="7" t="inlineStr"/>
      <c r="X938" s="7" t="inlineStr">
        <is>
          <t>AG. MEDIÇÃO</t>
        </is>
      </c>
      <c r="Y938" s="11">
        <f>IF(AND(L938&lt;&gt;"", S938&lt;&gt;""), S938-L938, IF(L938&lt;&gt;"", TODAY()-L938, ""))</f>
        <v/>
      </c>
      <c r="Z938" s="7">
        <f>IF(Y938="", "", IF(Y938&lt;=3, "NO PRAZO", "ATRASADO"))</f>
        <v/>
      </c>
      <c r="AA938" s="8" t="inlineStr"/>
    </row>
    <row r="939" ht="20" customHeight="1">
      <c r="A939" s="7" t="inlineStr">
        <is>
          <t>RSCLER0933</t>
        </is>
      </c>
      <c r="B939" s="8" t="inlineStr">
        <is>
          <t>PORTO ALEGRE</t>
        </is>
      </c>
      <c r="C939" s="7" t="inlineStr">
        <is>
          <t>BFMAA</t>
        </is>
      </c>
      <c r="D939" s="7" t="inlineStr"/>
      <c r="E939" s="7" t="inlineStr">
        <is>
          <t>PAE IND</t>
        </is>
      </c>
      <c r="F939" s="8" t="inlineStr"/>
      <c r="G939" s="8" t="inlineStr">
        <is>
          <t>AV OSVALDO ARANHA 340 / 350</t>
        </is>
      </c>
      <c r="H939" s="7" t="inlineStr">
        <is>
          <t>BFMAA.141.M030</t>
        </is>
      </c>
      <c r="I939" s="8" t="inlineStr">
        <is>
          <t>19 ABERTURA E FECHAMENTO, 86 FUSÕES, 37 TESTES OTDR, 3 TESTES.</t>
        </is>
      </c>
      <c r="J939" s="8" t="inlineStr"/>
      <c r="K939" s="8" t="inlineStr">
        <is>
          <t>CATIA</t>
        </is>
      </c>
      <c r="L939" s="9" t="n">
        <v>46189</v>
      </c>
      <c r="M939" s="7" t="inlineStr"/>
      <c r="N939" s="7" t="inlineStr"/>
      <c r="O939" s="9" t="n">
        <v>46197</v>
      </c>
      <c r="P939" s="9" t="n">
        <v>46244</v>
      </c>
      <c r="Q939" s="9" t="n">
        <v>46244</v>
      </c>
      <c r="R939" s="7" t="inlineStr">
        <is>
          <t>Concluído Campo</t>
        </is>
      </c>
      <c r="S939" s="7" t="inlineStr"/>
      <c r="T939" s="10" t="inlineStr"/>
      <c r="U939" s="7" t="inlineStr"/>
      <c r="V939" s="7" t="inlineStr"/>
      <c r="W939" s="7" t="inlineStr"/>
      <c r="X939" s="7" t="inlineStr">
        <is>
          <t>AG. MEDIÇÃO</t>
        </is>
      </c>
      <c r="Y939" s="11">
        <f>IF(AND(L939&lt;&gt;"", S939&lt;&gt;""), S939-L939, IF(L939&lt;&gt;"", TODAY()-L939, ""))</f>
        <v/>
      </c>
      <c r="Z939" s="7">
        <f>IF(Y939="", "", IF(Y939&lt;=3, "NO PRAZO", "ATRASADO"))</f>
        <v/>
      </c>
      <c r="AA939" s="8" t="inlineStr"/>
    </row>
    <row r="940" ht="20" customHeight="1">
      <c r="A940" s="7" t="inlineStr">
        <is>
          <t>RSCLER0934</t>
        </is>
      </c>
      <c r="B940" s="8" t="inlineStr">
        <is>
          <t>PORTO ALEGRE</t>
        </is>
      </c>
      <c r="C940" s="7" t="inlineStr">
        <is>
          <t>BFMAA</t>
        </is>
      </c>
      <c r="D940" s="7" t="inlineStr">
        <is>
          <t>RBRAFA</t>
        </is>
      </c>
      <c r="E940" s="7" t="inlineStr">
        <is>
          <t>PAE IND</t>
        </is>
      </c>
      <c r="F940" s="8" t="inlineStr">
        <is>
          <t>Cond Jd Solar</t>
        </is>
      </c>
      <c r="G940" s="8" t="inlineStr">
        <is>
          <t>R CASTRO ALVES 272</t>
        </is>
      </c>
      <c r="H940" s="7" t="inlineStr">
        <is>
          <t>BFMAA.092.M020</t>
        </is>
      </c>
      <c r="I940" s="8" t="inlineStr">
        <is>
          <t>2 ABERTURA E FECHAMENTO, 1 FUSÃO, 1 TESTES</t>
        </is>
      </c>
      <c r="J940" s="8" t="inlineStr"/>
      <c r="K940" s="8" t="inlineStr">
        <is>
          <t>AFONSO</t>
        </is>
      </c>
      <c r="L940" s="9" t="n">
        <v>46189</v>
      </c>
      <c r="M940" s="7" t="inlineStr"/>
      <c r="N940" s="7" t="inlineStr"/>
      <c r="O940" s="9" t="n">
        <v>46191</v>
      </c>
      <c r="P940" s="9" t="n">
        <v>46195</v>
      </c>
      <c r="Q940" s="9" t="n">
        <v>46195</v>
      </c>
      <c r="R940" s="7" t="inlineStr">
        <is>
          <t>Concluído Campo</t>
        </is>
      </c>
      <c r="S940" s="9" t="n">
        <v>46237</v>
      </c>
      <c r="T940" s="10" t="inlineStr"/>
      <c r="U940" s="7" t="inlineStr">
        <is>
          <t>5593538</t>
        </is>
      </c>
      <c r="V940" s="7" t="inlineStr">
        <is>
          <t>FINALIZADO</t>
        </is>
      </c>
      <c r="W940" s="7" t="inlineStr"/>
      <c r="X940" s="7" t="inlineStr">
        <is>
          <t>MEDIÇÃO CONCLUÍDA</t>
        </is>
      </c>
      <c r="Y940" s="11">
        <f>IF(AND(L940&lt;&gt;"", S940&lt;&gt;""), S940-L940, IF(L940&lt;&gt;"", TODAY()-L940, ""))</f>
        <v/>
      </c>
      <c r="Z940" s="7">
        <f>IF(Y940="", "", IF(Y940&lt;=3, "NO PRAZO", "ATRASADO"))</f>
        <v/>
      </c>
      <c r="AA940" s="8" t="inlineStr"/>
    </row>
    <row r="941" ht="20" customHeight="1">
      <c r="A941" s="7" t="inlineStr">
        <is>
          <t>RSCLER0935</t>
        </is>
      </c>
      <c r="B941" s="8" t="inlineStr">
        <is>
          <t>CANOAS</t>
        </is>
      </c>
      <c r="C941" s="7" t="inlineStr">
        <is>
          <t>SJOAA</t>
        </is>
      </c>
      <c r="D941" s="7" t="inlineStr">
        <is>
          <t>SJO04</t>
        </is>
      </c>
      <c r="E941" s="7" t="inlineStr">
        <is>
          <t>CAN NET</t>
        </is>
      </c>
      <c r="F941" s="8" t="inlineStr">
        <is>
          <t>Cond. Viver</t>
        </is>
      </c>
      <c r="G941" s="8" t="inlineStr">
        <is>
          <t>RUA ARMANDO FAJARDO 763</t>
        </is>
      </c>
      <c r="H941" s="7" t="inlineStr">
        <is>
          <t>SJOAA.131.M030</t>
        </is>
      </c>
      <c r="I941" s="8" t="inlineStr">
        <is>
          <t>3 ABERTURA E FECHAMENTO, 1 CX NOVA, 30 FUSÕES, 10 TESTES, 1 DERIVAÇÃO.</t>
        </is>
      </c>
      <c r="J941" s="8" t="inlineStr">
        <is>
          <t>TIAGO FERREIRA</t>
        </is>
      </c>
      <c r="K941" s="8" t="inlineStr">
        <is>
          <t>AFONSO</t>
        </is>
      </c>
      <c r="L941" s="9" t="n">
        <v>46189</v>
      </c>
      <c r="M941" s="7" t="inlineStr"/>
      <c r="N941" s="7" t="inlineStr"/>
      <c r="O941" s="9" t="n">
        <v>46199</v>
      </c>
      <c r="P941" s="9" t="n">
        <v>46245</v>
      </c>
      <c r="Q941" s="9" t="n">
        <v>46245</v>
      </c>
      <c r="R941" s="7" t="inlineStr">
        <is>
          <t>Concluído Campo</t>
        </is>
      </c>
      <c r="S941" s="7" t="inlineStr"/>
      <c r="T941" s="10" t="inlineStr"/>
      <c r="U941" s="7" t="inlineStr"/>
      <c r="V941" s="7" t="inlineStr"/>
      <c r="W941" s="7" t="inlineStr"/>
      <c r="X941" s="7" t="inlineStr">
        <is>
          <t>AG. MEDIÇÃO</t>
        </is>
      </c>
      <c r="Y941" s="11">
        <f>IF(AND(L941&lt;&gt;"", S941&lt;&gt;""), S941-L941, IF(L941&lt;&gt;"", TODAY()-L941, ""))</f>
        <v/>
      </c>
      <c r="Z941" s="7">
        <f>IF(Y941="", "", IF(Y941&lt;=3, "NO PRAZO", "ATRASADO"))</f>
        <v/>
      </c>
      <c r="AA941" s="8" t="inlineStr"/>
    </row>
    <row r="942" ht="20" customHeight="1">
      <c r="A942" s="7" t="inlineStr">
        <is>
          <t>RSCLER0936</t>
        </is>
      </c>
      <c r="B942" s="8" t="inlineStr">
        <is>
          <t>PORTO ALEGRE</t>
        </is>
      </c>
      <c r="C942" s="7" t="inlineStr">
        <is>
          <t>BFMAA</t>
        </is>
      </c>
      <c r="D942" s="7" t="inlineStr">
        <is>
          <t>BFMAA</t>
        </is>
      </c>
      <c r="E942" s="7" t="inlineStr">
        <is>
          <t>PAE IND</t>
        </is>
      </c>
      <c r="F942" s="8" t="inlineStr">
        <is>
          <t>CENTRO PROFISSIONAL</t>
        </is>
      </c>
      <c r="G942" s="8" t="inlineStr">
        <is>
          <t>R ANTÃO DE FARIA 35</t>
        </is>
      </c>
      <c r="H942" s="7" t="inlineStr">
        <is>
          <t>BFMAA.124.M020</t>
        </is>
      </c>
      <c r="I942" s="8" t="inlineStr">
        <is>
          <t>FOI LANÇADO 125 METROS DE CABO DE 12FO, 4 ABERTURA E FECHAMENTO, 12 FUSÕES, 2 DERIVAÇÃO, 10 TESTES.</t>
        </is>
      </c>
      <c r="J942" s="8" t="inlineStr">
        <is>
          <t>TIAGO FERREIRA</t>
        </is>
      </c>
      <c r="K942" s="8" t="inlineStr">
        <is>
          <t>AFONSO</t>
        </is>
      </c>
      <c r="L942" s="9" t="n">
        <v>46191</v>
      </c>
      <c r="M942" s="7" t="inlineStr"/>
      <c r="N942" s="7" t="inlineStr"/>
      <c r="O942" s="9" t="n">
        <v>46198</v>
      </c>
      <c r="P942" s="9" t="n">
        <v>46244</v>
      </c>
      <c r="Q942" s="9" t="n">
        <v>46244</v>
      </c>
      <c r="R942" s="7" t="inlineStr">
        <is>
          <t>Concluído Campo</t>
        </is>
      </c>
      <c r="S942" s="7" t="inlineStr"/>
      <c r="T942" s="10" t="inlineStr"/>
      <c r="U942" s="7" t="inlineStr"/>
      <c r="V942" s="7" t="inlineStr"/>
      <c r="W942" s="7" t="inlineStr"/>
      <c r="X942" s="7" t="inlineStr">
        <is>
          <t>AG. MEDIÇÃO</t>
        </is>
      </c>
      <c r="Y942" s="11">
        <f>IF(AND(L942&lt;&gt;"", S942&lt;&gt;""), S942-L942, IF(L942&lt;&gt;"", TODAY()-L942, ""))</f>
        <v/>
      </c>
      <c r="Z942" s="7">
        <f>IF(Y942="", "", IF(Y942&lt;=3, "NO PRAZO", "ATRASADO"))</f>
        <v/>
      </c>
      <c r="AA942" s="8" t="inlineStr"/>
    </row>
    <row r="943" ht="20" customHeight="1">
      <c r="A943" s="7" t="inlineStr">
        <is>
          <t>RSCLER0937</t>
        </is>
      </c>
      <c r="B943" s="8" t="inlineStr">
        <is>
          <t>PORTO ALEGRE</t>
        </is>
      </c>
      <c r="C943" s="7" t="inlineStr">
        <is>
          <t>BFMAA</t>
        </is>
      </c>
      <c r="D943" s="7" t="inlineStr"/>
      <c r="E943" s="7" t="inlineStr">
        <is>
          <t>PAE IND</t>
        </is>
      </c>
      <c r="F943" s="8" t="inlineStr">
        <is>
          <t>Cond Ed Polaris</t>
        </is>
      </c>
      <c r="G943" s="8" t="inlineStr">
        <is>
          <t>R SANTO ANTONIO 581</t>
        </is>
      </c>
      <c r="H943" s="7" t="inlineStr">
        <is>
          <t>BFMAA.021.M030</t>
        </is>
      </c>
      <c r="I943" s="8" t="inlineStr">
        <is>
          <t>5 ABERTURA E FECHAMENTO, 11 FUSÕES, 3 TESTES</t>
        </is>
      </c>
      <c r="J943" s="8" t="inlineStr"/>
      <c r="K943" s="8" t="inlineStr">
        <is>
          <t>AFONSO</t>
        </is>
      </c>
      <c r="L943" s="9" t="n">
        <v>46191</v>
      </c>
      <c r="M943" s="7" t="inlineStr"/>
      <c r="N943" s="7" t="inlineStr"/>
      <c r="O943" s="9" t="n">
        <v>46198</v>
      </c>
      <c r="P943" s="9" t="n">
        <v>46211</v>
      </c>
      <c r="Q943" s="9" t="n">
        <v>46211</v>
      </c>
      <c r="R943" s="7" t="inlineStr">
        <is>
          <t>Concluído Campo</t>
        </is>
      </c>
      <c r="S943" s="7" t="inlineStr"/>
      <c r="T943" s="10" t="inlineStr"/>
      <c r="U943" s="7" t="inlineStr"/>
      <c r="V943" s="7" t="inlineStr"/>
      <c r="W943" s="7" t="inlineStr"/>
      <c r="X943" s="7" t="inlineStr">
        <is>
          <t>AG. MEDIÇÃO</t>
        </is>
      </c>
      <c r="Y943" s="11">
        <f>IF(AND(L943&lt;&gt;"", S943&lt;&gt;""), S943-L943, IF(L943&lt;&gt;"", TODAY()-L943, ""))</f>
        <v/>
      </c>
      <c r="Z943" s="7">
        <f>IF(Y943="", "", IF(Y943&lt;=3, "NO PRAZO", "ATRASADO"))</f>
        <v/>
      </c>
      <c r="AA943" s="8" t="inlineStr"/>
    </row>
    <row r="944" ht="20" customHeight="1">
      <c r="A944" s="7" t="inlineStr">
        <is>
          <t>RSCLER0938</t>
        </is>
      </c>
      <c r="B944" s="8" t="inlineStr">
        <is>
          <t>PORTO ALEGRE</t>
        </is>
      </c>
      <c r="C944" s="7" t="inlineStr">
        <is>
          <t>FLOAA</t>
        </is>
      </c>
      <c r="D944" s="7" t="inlineStr">
        <is>
          <t>FLOAQ</t>
        </is>
      </c>
      <c r="E944" s="7" t="inlineStr">
        <is>
          <t>RSPNO11</t>
        </is>
      </c>
      <c r="F944" s="8" t="inlineStr"/>
      <c r="G944" s="8" t="inlineStr">
        <is>
          <t>TV AZEVEDO 95</t>
        </is>
      </c>
      <c r="H944" s="7" t="inlineStr">
        <is>
          <t>FLOAA.012.M020</t>
        </is>
      </c>
      <c r="I944" s="8" t="inlineStr">
        <is>
          <t>4 ABERTURA E FWCHAMENTO, 20 FUSÕES, 1 CX NOVA, 5 TESTES.</t>
        </is>
      </c>
      <c r="J944" s="8" t="inlineStr"/>
      <c r="K944" s="8" t="inlineStr">
        <is>
          <t>AFONSO</t>
        </is>
      </c>
      <c r="L944" s="9" t="n">
        <v>46190</v>
      </c>
      <c r="M944" s="7" t="inlineStr"/>
      <c r="N944" s="7" t="inlineStr"/>
      <c r="O944" s="9" t="n">
        <v>46192</v>
      </c>
      <c r="P944" s="9" t="n">
        <v>46195</v>
      </c>
      <c r="Q944" s="9" t="n">
        <v>46195</v>
      </c>
      <c r="R944" s="7" t="inlineStr">
        <is>
          <t>Concluído Campo</t>
        </is>
      </c>
      <c r="S944" s="9" t="n">
        <v>46237</v>
      </c>
      <c r="T944" s="10" t="inlineStr"/>
      <c r="U944" s="7" t="inlineStr">
        <is>
          <t>5593510</t>
        </is>
      </c>
      <c r="V944" s="7" t="inlineStr">
        <is>
          <t>FINALIZADO</t>
        </is>
      </c>
      <c r="W944" s="7" t="inlineStr"/>
      <c r="X944" s="7" t="inlineStr">
        <is>
          <t>MEDIÇÃO CONCLUÍDA</t>
        </is>
      </c>
      <c r="Y944" s="11">
        <f>IF(AND(L944&lt;&gt;"", S944&lt;&gt;""), S944-L944, IF(L944&lt;&gt;"", TODAY()-L944, ""))</f>
        <v/>
      </c>
      <c r="Z944" s="7">
        <f>IF(Y944="", "", IF(Y944&lt;=3, "NO PRAZO", "ATRASADO"))</f>
        <v/>
      </c>
      <c r="AA944" s="8" t="inlineStr"/>
    </row>
    <row r="945" ht="20" customHeight="1">
      <c r="A945" s="7" t="inlineStr">
        <is>
          <t>RSCLER0939</t>
        </is>
      </c>
      <c r="B945" s="8" t="inlineStr">
        <is>
          <t>PORTO ALEGRE</t>
        </is>
      </c>
      <c r="C945" s="7" t="inlineStr">
        <is>
          <t>SANAA</t>
        </is>
      </c>
      <c r="D945" s="7" t="inlineStr">
        <is>
          <t>CBXAH</t>
        </is>
      </c>
      <c r="E945" s="7" t="inlineStr">
        <is>
          <t>RSPCE22</t>
        </is>
      </c>
      <c r="F945" s="8" t="inlineStr"/>
      <c r="G945" s="8" t="inlineStr">
        <is>
          <t>R GEN LIMA E SILVA 529</t>
        </is>
      </c>
      <c r="H945" s="7" t="inlineStr">
        <is>
          <t>SANAA.273.M030</t>
        </is>
      </c>
      <c r="I945" s="8" t="inlineStr">
        <is>
          <t>2 ABERTURA E FECHAMENTO, 3 FUSÕES, 2 TESTES, 1 TESTE OTDR.</t>
        </is>
      </c>
      <c r="J945" s="8" t="inlineStr"/>
      <c r="K945" s="8" t="inlineStr">
        <is>
          <t>CATIA</t>
        </is>
      </c>
      <c r="L945" s="9" t="n">
        <v>46191</v>
      </c>
      <c r="M945" s="7" t="inlineStr"/>
      <c r="N945" s="7" t="inlineStr"/>
      <c r="O945" s="9" t="n">
        <v>46193</v>
      </c>
      <c r="P945" s="9" t="n">
        <v>46247</v>
      </c>
      <c r="Q945" s="9" t="n">
        <v>46247</v>
      </c>
      <c r="R945" s="7" t="inlineStr">
        <is>
          <t>Sem Sinal</t>
        </is>
      </c>
      <c r="S945" s="7" t="inlineStr"/>
      <c r="T945" s="10" t="inlineStr"/>
      <c r="U945" s="7" t="inlineStr"/>
      <c r="V945" s="7" t="inlineStr"/>
      <c r="W945" s="7" t="inlineStr"/>
      <c r="X945" s="7" t="inlineStr">
        <is>
          <t>SEM SINAL</t>
        </is>
      </c>
      <c r="Y945" s="11">
        <f>IF(AND(L945&lt;&gt;"", S945&lt;&gt;""), S945-L945, IF(L945&lt;&gt;"", TODAY()-L945, ""))</f>
        <v/>
      </c>
      <c r="Z945" s="7">
        <f>IF(Y945="", "", IF(Y945&lt;=3, "NO PRAZO", "ATRASADO"))</f>
        <v/>
      </c>
      <c r="AA945" s="8" t="inlineStr"/>
    </row>
    <row r="946" ht="20" customHeight="1">
      <c r="A946" s="7" t="inlineStr">
        <is>
          <t>RSCLER0940</t>
        </is>
      </c>
      <c r="B946" s="8" t="inlineStr">
        <is>
          <t>PORTO ALEGRE</t>
        </is>
      </c>
      <c r="C946" s="7" t="inlineStr">
        <is>
          <t>SANAA</t>
        </is>
      </c>
      <c r="D946" s="7" t="inlineStr">
        <is>
          <t>CBXAH</t>
        </is>
      </c>
      <c r="E946" s="7" t="inlineStr">
        <is>
          <t>RSPCE22</t>
        </is>
      </c>
      <c r="F946" s="8" t="inlineStr"/>
      <c r="G946" s="8" t="inlineStr">
        <is>
          <t>R SARMENTO LEITE 860</t>
        </is>
      </c>
      <c r="H946" s="7" t="inlineStr">
        <is>
          <t>SANAA.276.M030</t>
        </is>
      </c>
      <c r="I946" s="8" t="inlineStr">
        <is>
          <t>2 ABERTURA E FECHAMENTO, 2 FUSÕES, 1 TESTES, 1 TESTE OTDR.</t>
        </is>
      </c>
      <c r="J946" s="8" t="inlineStr"/>
      <c r="K946" s="8" t="inlineStr">
        <is>
          <t>CATIA</t>
        </is>
      </c>
      <c r="L946" s="9" t="n">
        <v>46191</v>
      </c>
      <c r="M946" s="7" t="inlineStr"/>
      <c r="N946" s="7" t="inlineStr"/>
      <c r="O946" s="9" t="n">
        <v>46193</v>
      </c>
      <c r="P946" s="9" t="n">
        <v>46211</v>
      </c>
      <c r="Q946" s="9" t="n">
        <v>46211</v>
      </c>
      <c r="R946" s="7" t="inlineStr">
        <is>
          <t>Concluído Campo</t>
        </is>
      </c>
      <c r="S946" s="7" t="inlineStr"/>
      <c r="T946" s="10" t="inlineStr"/>
      <c r="U946" s="7" t="inlineStr"/>
      <c r="V946" s="7" t="inlineStr"/>
      <c r="W946" s="7" t="inlineStr"/>
      <c r="X946" s="7" t="inlineStr">
        <is>
          <t>AG. MEDIÇÃO</t>
        </is>
      </c>
      <c r="Y946" s="11">
        <f>IF(AND(L946&lt;&gt;"", S946&lt;&gt;""), S946-L946, IF(L946&lt;&gt;"", TODAY()-L946, ""))</f>
        <v/>
      </c>
      <c r="Z946" s="7">
        <f>IF(Y946="", "", IF(Y946&lt;=3, "NO PRAZO", "ATRASADO"))</f>
        <v/>
      </c>
      <c r="AA946" s="8" t="inlineStr"/>
    </row>
    <row r="947" ht="20" customHeight="1">
      <c r="A947" s="7" t="inlineStr">
        <is>
          <t>RSCLER0941</t>
        </is>
      </c>
      <c r="B947" s="8" t="inlineStr">
        <is>
          <t>NOVO HAMBURGO</t>
        </is>
      </c>
      <c r="C947" s="7" t="inlineStr">
        <is>
          <t>IDLAA</t>
        </is>
      </c>
      <c r="D947" s="7" t="inlineStr">
        <is>
          <t>CNTAI</t>
        </is>
      </c>
      <c r="E947" s="7" t="inlineStr">
        <is>
          <t>RSNHO11</t>
        </is>
      </c>
      <c r="F947" s="8" t="inlineStr"/>
      <c r="G947" s="8" t="inlineStr">
        <is>
          <t>R SALGADO FILHO 341</t>
        </is>
      </c>
      <c r="H947" s="7" t="inlineStr">
        <is>
          <t>IDLAA.015.M030</t>
        </is>
      </c>
      <c r="I947" s="8" t="inlineStr">
        <is>
          <t>2 ABERTURA E FECHAMENTO, 2 FUSÃO, 1 TESTE.</t>
        </is>
      </c>
      <c r="J947" s="8" t="inlineStr"/>
      <c r="K947" s="8" t="inlineStr">
        <is>
          <t>CATIA</t>
        </is>
      </c>
      <c r="L947" s="9" t="n">
        <v>46191</v>
      </c>
      <c r="M947" s="7" t="inlineStr"/>
      <c r="N947" s="7" t="inlineStr"/>
      <c r="O947" s="9" t="n">
        <v>46199</v>
      </c>
      <c r="P947" s="9" t="n">
        <v>46211</v>
      </c>
      <c r="Q947" s="9" t="n">
        <v>46211</v>
      </c>
      <c r="R947" s="7" t="inlineStr">
        <is>
          <t>Concluído Campo</t>
        </is>
      </c>
      <c r="S947" s="7" t="inlineStr"/>
      <c r="T947" s="10" t="inlineStr"/>
      <c r="U947" s="7" t="inlineStr"/>
      <c r="V947" s="7" t="inlineStr"/>
      <c r="W947" s="7" t="inlineStr"/>
      <c r="X947" s="7" t="inlineStr">
        <is>
          <t>AG. MEDIÇÃO</t>
        </is>
      </c>
      <c r="Y947" s="11">
        <f>IF(AND(L947&lt;&gt;"", S947&lt;&gt;""), S947-L947, IF(L947&lt;&gt;"", TODAY()-L947, ""))</f>
        <v/>
      </c>
      <c r="Z947" s="7">
        <f>IF(Y947="", "", IF(Y947&lt;=3, "NO PRAZO", "ATRASADO"))</f>
        <v/>
      </c>
      <c r="AA947" s="8" t="inlineStr"/>
    </row>
    <row r="948" ht="20" customHeight="1">
      <c r="A948" s="7" t="inlineStr">
        <is>
          <t>RSCLER0942</t>
        </is>
      </c>
      <c r="B948" s="8" t="inlineStr">
        <is>
          <t>NOVO HAMBURGO</t>
        </is>
      </c>
      <c r="C948" s="7" t="inlineStr">
        <is>
          <t>RNDAA</t>
        </is>
      </c>
      <c r="D948" s="7" t="inlineStr">
        <is>
          <t>RNDAH</t>
        </is>
      </c>
      <c r="E948" s="7" t="inlineStr">
        <is>
          <t>RSNHO12</t>
        </is>
      </c>
      <c r="F948" s="8" t="inlineStr"/>
      <c r="G948" s="8" t="inlineStr">
        <is>
          <t>AV GUIA LOPES 900,</t>
        </is>
      </c>
      <c r="H948" s="7" t="inlineStr">
        <is>
          <t>RNDAA.061.M050</t>
        </is>
      </c>
      <c r="I948" s="8" t="inlineStr">
        <is>
          <t>4 ABERTURA E FECHAMENTO,1 CX NOVA, 12 FUSÕES, 5 TESTES.</t>
        </is>
      </c>
      <c r="J948" s="8" t="inlineStr"/>
      <c r="K948" s="8" t="inlineStr">
        <is>
          <t>CATIA</t>
        </is>
      </c>
      <c r="L948" s="9" t="n">
        <v>46192</v>
      </c>
      <c r="M948" s="7" t="inlineStr"/>
      <c r="N948" s="7" t="inlineStr"/>
      <c r="O948" s="9" t="n">
        <v>46196</v>
      </c>
      <c r="P948" s="9" t="n">
        <v>46246</v>
      </c>
      <c r="Q948" s="7" t="inlineStr"/>
      <c r="R948" s="7" t="inlineStr">
        <is>
          <t>Sem Sinal</t>
        </is>
      </c>
      <c r="S948" s="7" t="inlineStr"/>
      <c r="T948" s="10" t="inlineStr"/>
      <c r="U948" s="7" t="inlineStr"/>
      <c r="V948" s="7" t="inlineStr"/>
      <c r="W948" s="7" t="inlineStr"/>
      <c r="X948" s="7" t="inlineStr">
        <is>
          <t>SEM SINAL</t>
        </is>
      </c>
      <c r="Y948" s="11">
        <f>IF(AND(L948&lt;&gt;"", S948&lt;&gt;""), S948-L948, IF(L948&lt;&gt;"", TODAY()-L948, ""))</f>
        <v/>
      </c>
      <c r="Z948" s="7">
        <f>IF(Y948="", "", IF(Y948&lt;=3, "NO PRAZO", "ATRASADO"))</f>
        <v/>
      </c>
      <c r="AA948" s="8" t="inlineStr"/>
    </row>
    <row r="949" ht="20" customHeight="1">
      <c r="A949" s="7" t="inlineStr">
        <is>
          <t>RSCLER0943</t>
        </is>
      </c>
      <c r="B949" s="8" t="inlineStr">
        <is>
          <t>NOVO HAMBURGO</t>
        </is>
      </c>
      <c r="C949" s="7" t="inlineStr">
        <is>
          <t>IDLAA</t>
        </is>
      </c>
      <c r="D949" s="7" t="inlineStr">
        <is>
          <t>IDLAG</t>
        </is>
      </c>
      <c r="E949" s="7" t="inlineStr">
        <is>
          <t>RSNHO11</t>
        </is>
      </c>
      <c r="F949" s="8" t="inlineStr"/>
      <c r="G949" s="8" t="inlineStr">
        <is>
          <t>R AIMORÉ 58</t>
        </is>
      </c>
      <c r="H949" s="7" t="inlineStr">
        <is>
          <t>IDLAA.051.M040</t>
        </is>
      </c>
      <c r="I949" s="8" t="inlineStr">
        <is>
          <t>2 ABERTURA E FECHAMENTO, 2 FUSÃO, 1 TESTE.</t>
        </is>
      </c>
      <c r="J949" s="8" t="inlineStr"/>
      <c r="K949" s="8" t="inlineStr">
        <is>
          <t>CATIA</t>
        </is>
      </c>
      <c r="L949" s="9" t="n">
        <v>46192</v>
      </c>
      <c r="M949" s="7" t="inlineStr"/>
      <c r="N949" s="7" t="inlineStr"/>
      <c r="O949" s="9" t="n">
        <v>46197</v>
      </c>
      <c r="P949" s="9" t="n">
        <v>46211</v>
      </c>
      <c r="Q949" s="9" t="n">
        <v>46211</v>
      </c>
      <c r="R949" s="7" t="inlineStr">
        <is>
          <t>Concluído Campo</t>
        </is>
      </c>
      <c r="S949" s="7" t="inlineStr"/>
      <c r="T949" s="10" t="inlineStr"/>
      <c r="U949" s="7" t="inlineStr"/>
      <c r="V949" s="7" t="inlineStr"/>
      <c r="W949" s="7" t="inlineStr"/>
      <c r="X949" s="7" t="inlineStr">
        <is>
          <t>AG. MEDIÇÃO</t>
        </is>
      </c>
      <c r="Y949" s="11">
        <f>IF(AND(L949&lt;&gt;"", S949&lt;&gt;""), S949-L949, IF(L949&lt;&gt;"", TODAY()-L949, ""))</f>
        <v/>
      </c>
      <c r="Z949" s="7">
        <f>IF(Y949="", "", IF(Y949&lt;=3, "NO PRAZO", "ATRASADO"))</f>
        <v/>
      </c>
      <c r="AA949" s="8" t="inlineStr"/>
    </row>
    <row r="950" ht="20" customHeight="1">
      <c r="A950" s="7" t="inlineStr">
        <is>
          <t>RSCLER0944</t>
        </is>
      </c>
      <c r="B950" s="8" t="inlineStr">
        <is>
          <t>NOVO HAMBURGO</t>
        </is>
      </c>
      <c r="C950" s="7" t="inlineStr">
        <is>
          <t>RNDAA</t>
        </is>
      </c>
      <c r="D950" s="7" t="inlineStr">
        <is>
          <t>RNDAC</t>
        </is>
      </c>
      <c r="E950" s="7" t="inlineStr">
        <is>
          <t>RSNHO12</t>
        </is>
      </c>
      <c r="F950" s="8" t="inlineStr"/>
      <c r="G950" s="8" t="inlineStr">
        <is>
          <t>AV PEDRO ADAMS FILHO 1784</t>
        </is>
      </c>
      <c r="H950" s="7" t="inlineStr">
        <is>
          <t>RNDAA.081.M020</t>
        </is>
      </c>
      <c r="I950" s="8" t="inlineStr">
        <is>
          <t>2 ABERTURA E FECHAMENTO, 2 FUSÕES, 1 TESTE.</t>
        </is>
      </c>
      <c r="J950" s="8" t="inlineStr"/>
      <c r="K950" s="8" t="inlineStr">
        <is>
          <t>CATIA</t>
        </is>
      </c>
      <c r="L950" s="9" t="n">
        <v>46192</v>
      </c>
      <c r="M950" s="7" t="inlineStr"/>
      <c r="N950" s="7" t="inlineStr"/>
      <c r="O950" s="9" t="n">
        <v>46197</v>
      </c>
      <c r="P950" s="9" t="n">
        <v>46211</v>
      </c>
      <c r="Q950" s="9" t="n">
        <v>46211</v>
      </c>
      <c r="R950" s="7" t="inlineStr">
        <is>
          <t>Concluído Campo</t>
        </is>
      </c>
      <c r="S950" s="7" t="inlineStr"/>
      <c r="T950" s="10" t="inlineStr"/>
      <c r="U950" s="7" t="inlineStr"/>
      <c r="V950" s="7" t="inlineStr"/>
      <c r="W950" s="7" t="inlineStr"/>
      <c r="X950" s="7" t="inlineStr">
        <is>
          <t>AG. MEDIÇÃO</t>
        </is>
      </c>
      <c r="Y950" s="11">
        <f>IF(AND(L950&lt;&gt;"", S950&lt;&gt;""), S950-L950, IF(L950&lt;&gt;"", TODAY()-L950, ""))</f>
        <v/>
      </c>
      <c r="Z950" s="7">
        <f>IF(Y950="", "", IF(Y950&lt;=3, "NO PRAZO", "ATRASADO"))</f>
        <v/>
      </c>
      <c r="AA950" s="8" t="inlineStr"/>
    </row>
    <row r="951" ht="20" customHeight="1">
      <c r="A951" s="7" t="inlineStr">
        <is>
          <t>RSCLER0945</t>
        </is>
      </c>
      <c r="B951" s="8" t="inlineStr">
        <is>
          <t>NOVO HAMBURGO</t>
        </is>
      </c>
      <c r="C951" s="7" t="inlineStr">
        <is>
          <t>CNTAA</t>
        </is>
      </c>
      <c r="D951" s="7" t="inlineStr">
        <is>
          <t>CNTAGA</t>
        </is>
      </c>
      <c r="E951" s="7" t="inlineStr">
        <is>
          <t>RSNHO LO</t>
        </is>
      </c>
      <c r="F951" s="8" t="inlineStr"/>
      <c r="G951" s="8" t="inlineStr">
        <is>
          <t>R DAVID CANABARRO 94</t>
        </is>
      </c>
      <c r="H951" s="7" t="inlineStr">
        <is>
          <t>CNTAA.115.M020</t>
        </is>
      </c>
      <c r="I951" s="8" t="inlineStr">
        <is>
          <t>11 ABERTURA E FECHAMENTO, 15 FUSÕES, 6 TESTES OTDR, 2 TESTES.</t>
        </is>
      </c>
      <c r="J951" s="8" t="inlineStr"/>
      <c r="K951" s="8" t="inlineStr">
        <is>
          <t>CATIA</t>
        </is>
      </c>
      <c r="L951" s="9" t="n">
        <v>46192</v>
      </c>
      <c r="M951" s="7" t="inlineStr"/>
      <c r="N951" s="7" t="inlineStr"/>
      <c r="O951" s="9" t="n">
        <v>46198</v>
      </c>
      <c r="P951" s="9" t="n">
        <v>46211</v>
      </c>
      <c r="Q951" s="9" t="n">
        <v>46211</v>
      </c>
      <c r="R951" s="7" t="inlineStr">
        <is>
          <t>Concluído Campo</t>
        </is>
      </c>
      <c r="S951" s="7" t="inlineStr"/>
      <c r="T951" s="10" t="inlineStr"/>
      <c r="U951" s="7" t="inlineStr"/>
      <c r="V951" s="7" t="inlineStr"/>
      <c r="W951" s="7" t="inlineStr"/>
      <c r="X951" s="7" t="inlineStr">
        <is>
          <t>AG. MEDIÇÃO</t>
        </is>
      </c>
      <c r="Y951" s="11">
        <f>IF(AND(L951&lt;&gt;"", S951&lt;&gt;""), S951-L951, IF(L951&lt;&gt;"", TODAY()-L951, ""))</f>
        <v/>
      </c>
      <c r="Z951" s="7">
        <f>IF(Y951="", "", IF(Y951&lt;=3, "NO PRAZO", "ATRASADO"))</f>
        <v/>
      </c>
      <c r="AA951" s="8" t="inlineStr"/>
    </row>
    <row r="952" ht="20" customHeight="1">
      <c r="A952" s="7" t="inlineStr">
        <is>
          <t>RSCLER0946</t>
        </is>
      </c>
      <c r="B952" s="8" t="inlineStr">
        <is>
          <t>PORTO ALEGRE</t>
        </is>
      </c>
      <c r="C952" s="7" t="inlineStr">
        <is>
          <t>AZNAA</t>
        </is>
      </c>
      <c r="D952" s="7" t="inlineStr">
        <is>
          <t>SANAI</t>
        </is>
      </c>
      <c r="E952" s="7" t="inlineStr">
        <is>
          <t>RSPLE17</t>
        </is>
      </c>
      <c r="F952" s="8" t="inlineStr"/>
      <c r="G952" s="8" t="inlineStr">
        <is>
          <t>Av Vicente da Fontoura 527</t>
        </is>
      </c>
      <c r="H952" s="7" t="inlineStr">
        <is>
          <t>AZNAA.031.08.05</t>
        </is>
      </c>
      <c r="I952" s="8" t="inlineStr">
        <is>
          <t>FOI LANÇADO 58 METROS DE CABO DE 12FO, 3 ABERTURA E FECHAENTO, 3 FUSÕES, 1 NAP NOVA, 1 DERIVAÇÃO, 3 TESTES.</t>
        </is>
      </c>
      <c r="J952" s="8" t="inlineStr"/>
      <c r="K952" s="8" t="inlineStr">
        <is>
          <t>AFONSO</t>
        </is>
      </c>
      <c r="L952" s="9" t="n">
        <v>46190</v>
      </c>
      <c r="M952" s="7" t="inlineStr"/>
      <c r="N952" s="7" t="inlineStr"/>
      <c r="O952" s="9" t="n">
        <v>46191</v>
      </c>
      <c r="P952" s="9" t="n">
        <v>46195</v>
      </c>
      <c r="Q952" s="9" t="n">
        <v>46195</v>
      </c>
      <c r="R952" s="7" t="inlineStr">
        <is>
          <t>Concluído Campo</t>
        </is>
      </c>
      <c r="S952" s="9" t="n">
        <v>46237</v>
      </c>
      <c r="T952" s="10" t="inlineStr"/>
      <c r="U952" s="7" t="inlineStr">
        <is>
          <t>5596519</t>
        </is>
      </c>
      <c r="V952" s="7" t="inlineStr">
        <is>
          <t>FINALIZADO</t>
        </is>
      </c>
      <c r="W952" s="7" t="inlineStr"/>
      <c r="X952" s="7" t="inlineStr">
        <is>
          <t>MEDIÇÃO CONCLUÍDA</t>
        </is>
      </c>
      <c r="Y952" s="11">
        <f>IF(AND(L952&lt;&gt;"", S952&lt;&gt;""), S952-L952, IF(L952&lt;&gt;"", TODAY()-L952, ""))</f>
        <v/>
      </c>
      <c r="Z952" s="7">
        <f>IF(Y952="", "", IF(Y952&lt;=3, "NO PRAZO", "ATRASADO"))</f>
        <v/>
      </c>
      <c r="AA952" s="8" t="inlineStr"/>
    </row>
    <row r="953" ht="20" customHeight="1">
      <c r="A953" s="7" t="inlineStr">
        <is>
          <t>RSCLER0947</t>
        </is>
      </c>
      <c r="B953" s="8" t="inlineStr">
        <is>
          <t>NOVO HAMBURGO</t>
        </is>
      </c>
      <c r="C953" s="7" t="inlineStr">
        <is>
          <t>CNTAA</t>
        </is>
      </c>
      <c r="D953" s="7" t="inlineStr">
        <is>
          <t>CNTABB</t>
        </is>
      </c>
      <c r="E953" s="7" t="inlineStr">
        <is>
          <t>NHO LO</t>
        </is>
      </c>
      <c r="F953" s="8" t="inlineStr"/>
      <c r="G953" s="8" t="inlineStr">
        <is>
          <t>DR MAGALHAES CALVET 549</t>
        </is>
      </c>
      <c r="H953" s="7" t="inlineStr">
        <is>
          <t>CNTAA.052.M010</t>
        </is>
      </c>
      <c r="I953" s="8" t="inlineStr">
        <is>
          <t>3 ABERTURA E FECHAMENTO, 2 FUSÕES, 1 TESTE</t>
        </is>
      </c>
      <c r="J953" s="8" t="inlineStr"/>
      <c r="K953" s="8" t="inlineStr">
        <is>
          <t>AFONSO</t>
        </is>
      </c>
      <c r="L953" s="9" t="n">
        <v>46184</v>
      </c>
      <c r="M953" s="7" t="inlineStr"/>
      <c r="N953" s="7" t="inlineStr"/>
      <c r="O953" s="9" t="n">
        <v>46185</v>
      </c>
      <c r="P953" s="9" t="n">
        <v>46196</v>
      </c>
      <c r="Q953" s="9" t="n">
        <v>46196</v>
      </c>
      <c r="R953" s="7" t="inlineStr">
        <is>
          <t>Concluído Campo</t>
        </is>
      </c>
      <c r="S953" s="9" t="n">
        <v>46185</v>
      </c>
      <c r="T953" s="10" t="inlineStr"/>
      <c r="U953" s="7" t="inlineStr">
        <is>
          <t>5514252</t>
        </is>
      </c>
      <c r="V953" s="7" t="inlineStr">
        <is>
          <t>FINALIZADO</t>
        </is>
      </c>
      <c r="W953" s="7" t="inlineStr"/>
      <c r="X953" s="7" t="inlineStr">
        <is>
          <t>MEDIÇÃO CONCLUÍDA</t>
        </is>
      </c>
      <c r="Y953" s="11">
        <f>IF(AND(L953&lt;&gt;"", S953&lt;&gt;""), S953-L953, IF(L953&lt;&gt;"", TODAY()-L953, ""))</f>
        <v/>
      </c>
      <c r="Z953" s="7">
        <f>IF(Y953="", "", IF(Y953&lt;=3, "NO PRAZO", "ATRASADO"))</f>
        <v/>
      </c>
      <c r="AA953" s="8" t="inlineStr"/>
    </row>
    <row r="954" ht="20" customHeight="1">
      <c r="A954" s="7" t="inlineStr">
        <is>
          <t>RSCLER0948</t>
        </is>
      </c>
      <c r="B954" s="8" t="inlineStr">
        <is>
          <t>NOVO HAMBURGO</t>
        </is>
      </c>
      <c r="C954" s="7" t="inlineStr">
        <is>
          <t>RNDAA</t>
        </is>
      </c>
      <c r="D954" s="7" t="inlineStr">
        <is>
          <t>RNDAC</t>
        </is>
      </c>
      <c r="E954" s="7" t="inlineStr">
        <is>
          <t>RSNHO12</t>
        </is>
      </c>
      <c r="F954" s="8" t="inlineStr"/>
      <c r="G954" s="8" t="inlineStr">
        <is>
          <t>R GUANABARA 110</t>
        </is>
      </c>
      <c r="H954" s="7" t="inlineStr">
        <is>
          <t>RNDAA.082.M030</t>
        </is>
      </c>
      <c r="I954" s="8" t="inlineStr">
        <is>
          <t>2 ABERTURA E FECHAMENTO, 2 FUSÃO, 1 TESTE.</t>
        </is>
      </c>
      <c r="J954" s="8" t="inlineStr"/>
      <c r="K954" s="8" t="inlineStr">
        <is>
          <t>CATIA</t>
        </is>
      </c>
      <c r="L954" s="9" t="n">
        <v>46192</v>
      </c>
      <c r="M954" s="7" t="inlineStr"/>
      <c r="N954" s="7" t="inlineStr"/>
      <c r="O954" s="9" t="n">
        <v>46197</v>
      </c>
      <c r="P954" s="9" t="n">
        <v>46211</v>
      </c>
      <c r="Q954" s="9" t="n">
        <v>46211</v>
      </c>
      <c r="R954" s="7" t="inlineStr">
        <is>
          <t>Concluído Campo</t>
        </is>
      </c>
      <c r="S954" s="7" t="inlineStr"/>
      <c r="T954" s="10" t="inlineStr"/>
      <c r="U954" s="7" t="inlineStr"/>
      <c r="V954" s="7" t="inlineStr"/>
      <c r="W954" s="7" t="inlineStr"/>
      <c r="X954" s="7" t="inlineStr">
        <is>
          <t>AG. MEDIÇÃO</t>
        </is>
      </c>
      <c r="Y954" s="11">
        <f>IF(AND(L954&lt;&gt;"", S954&lt;&gt;""), S954-L954, IF(L954&lt;&gt;"", TODAY()-L954, ""))</f>
        <v/>
      </c>
      <c r="Z954" s="7">
        <f>IF(Y954="", "", IF(Y954&lt;=3, "NO PRAZO", "ATRASADO"))</f>
        <v/>
      </c>
      <c r="AA954" s="8" t="inlineStr"/>
    </row>
    <row r="955" ht="20" customHeight="1">
      <c r="A955" s="7" t="inlineStr">
        <is>
          <t>RSCLER0949</t>
        </is>
      </c>
      <c r="B955" s="8" t="inlineStr">
        <is>
          <t>NOVO HAMBURGO</t>
        </is>
      </c>
      <c r="C955" s="7" t="inlineStr">
        <is>
          <t>IDLAA</t>
        </is>
      </c>
      <c r="D955" s="7" t="inlineStr">
        <is>
          <t>IDLAE</t>
        </is>
      </c>
      <c r="E955" s="7" t="inlineStr">
        <is>
          <t>RSNHO11</t>
        </is>
      </c>
      <c r="F955" s="8" t="inlineStr">
        <is>
          <t>Condomínio Edifício Erna</t>
        </is>
      </c>
      <c r="G955" s="8" t="inlineStr">
        <is>
          <t>R. Voluntários da Pátria, 53</t>
        </is>
      </c>
      <c r="H955" s="7" t="inlineStr">
        <is>
          <t>IDLAA.071.M020</t>
        </is>
      </c>
      <c r="I955" s="8" t="inlineStr">
        <is>
          <t>2 ABERTURA E FECHAMENTO, 3 FUSÕES, 3 TESTES.</t>
        </is>
      </c>
      <c r="J955" s="8" t="inlineStr"/>
      <c r="K955" s="8" t="inlineStr">
        <is>
          <t>AFONSO</t>
        </is>
      </c>
      <c r="L955" s="9" t="n">
        <v>46188</v>
      </c>
      <c r="M955" s="7" t="inlineStr"/>
      <c r="N955" s="7" t="inlineStr"/>
      <c r="O955" s="9" t="n">
        <v>46189</v>
      </c>
      <c r="P955" s="9" t="n">
        <v>46196</v>
      </c>
      <c r="Q955" s="9" t="n">
        <v>46196</v>
      </c>
      <c r="R955" s="7" t="inlineStr">
        <is>
          <t>Concluído Campo</t>
        </is>
      </c>
      <c r="S955" s="9" t="n">
        <v>46189</v>
      </c>
      <c r="T955" s="10" t="inlineStr"/>
      <c r="U955" s="7" t="inlineStr">
        <is>
          <t>5514296</t>
        </is>
      </c>
      <c r="V955" s="7" t="inlineStr">
        <is>
          <t>FINALIZADO</t>
        </is>
      </c>
      <c r="W955" s="7" t="inlineStr"/>
      <c r="X955" s="7" t="inlineStr">
        <is>
          <t>MEDIÇÃO CONCLUÍDA</t>
        </is>
      </c>
      <c r="Y955" s="11">
        <f>IF(AND(L955&lt;&gt;"", S955&lt;&gt;""), S955-L955, IF(L955&lt;&gt;"", TODAY()-L955, ""))</f>
        <v/>
      </c>
      <c r="Z955" s="7">
        <f>IF(Y955="", "", IF(Y955&lt;=3, "NO PRAZO", "ATRASADO"))</f>
        <v/>
      </c>
      <c r="AA955" s="8" t="inlineStr"/>
    </row>
    <row r="956" ht="20" customHeight="1">
      <c r="A956" s="7" t="inlineStr">
        <is>
          <t>RSCLER0950</t>
        </is>
      </c>
      <c r="B956" s="8" t="inlineStr">
        <is>
          <t>NOVO HAMBURGO</t>
        </is>
      </c>
      <c r="C956" s="7" t="inlineStr">
        <is>
          <t>GRIAA</t>
        </is>
      </c>
      <c r="D956" s="7" t="inlineStr">
        <is>
          <t>GRIAAA</t>
        </is>
      </c>
      <c r="E956" s="7" t="inlineStr">
        <is>
          <t>RSNHO01</t>
        </is>
      </c>
      <c r="F956" s="8" t="inlineStr"/>
      <c r="G956" s="8" t="inlineStr">
        <is>
          <t>R VINTE E QUATRO DE MAIO 1263</t>
        </is>
      </c>
      <c r="H956" s="7" t="inlineStr">
        <is>
          <t>GRIAA.035.M030</t>
        </is>
      </c>
      <c r="I956" s="8" t="inlineStr">
        <is>
          <t>4 ABERTURA E FECHAMENTO, 4 FUSÕES, 1 TESTE.</t>
        </is>
      </c>
      <c r="J956" s="8" t="inlineStr"/>
      <c r="K956" s="8" t="inlineStr">
        <is>
          <t>CATIA</t>
        </is>
      </c>
      <c r="L956" s="9" t="n">
        <v>46197</v>
      </c>
      <c r="M956" s="7" t="inlineStr"/>
      <c r="N956" s="7" t="inlineStr"/>
      <c r="O956" s="9" t="n">
        <v>46199</v>
      </c>
      <c r="P956" s="9" t="n">
        <v>46212</v>
      </c>
      <c r="Q956" s="9" t="n">
        <v>46212</v>
      </c>
      <c r="R956" s="7" t="inlineStr">
        <is>
          <t>Concluído Campo</t>
        </is>
      </c>
      <c r="S956" s="7" t="inlineStr"/>
      <c r="T956" s="10" t="inlineStr"/>
      <c r="U956" s="7" t="inlineStr"/>
      <c r="V956" s="7" t="inlineStr"/>
      <c r="W956" s="7" t="inlineStr"/>
      <c r="X956" s="7" t="inlineStr">
        <is>
          <t>AG. MEDIÇÃO</t>
        </is>
      </c>
      <c r="Y956" s="11">
        <f>IF(AND(L956&lt;&gt;"", S956&lt;&gt;""), S956-L956, IF(L956&lt;&gt;"", TODAY()-L956, ""))</f>
        <v/>
      </c>
      <c r="Z956" s="7">
        <f>IF(Y956="", "", IF(Y956&lt;=3, "NO PRAZO", "ATRASADO"))</f>
        <v/>
      </c>
      <c r="AA956" s="8" t="inlineStr"/>
    </row>
    <row r="957" ht="20" customHeight="1">
      <c r="A957" s="7" t="inlineStr">
        <is>
          <t>RSCLER0951</t>
        </is>
      </c>
      <c r="B957" s="8" t="inlineStr">
        <is>
          <t>NOVO HAMBURGO</t>
        </is>
      </c>
      <c r="C957" s="7" t="inlineStr">
        <is>
          <t>PRIAA</t>
        </is>
      </c>
      <c r="D957" s="7" t="inlineStr"/>
      <c r="E957" s="7" t="inlineStr">
        <is>
          <t>RSNHO06</t>
        </is>
      </c>
      <c r="F957" s="8" t="inlineStr"/>
      <c r="G957" s="8" t="inlineStr">
        <is>
          <t>R STA ROSA 31</t>
        </is>
      </c>
      <c r="H957" s="7" t="inlineStr">
        <is>
          <t>PRIAA.401.04.01</t>
        </is>
      </c>
      <c r="I957" s="8" t="inlineStr">
        <is>
          <t>NÃO COBRAR É A BASE JLE DE NOVO HAMBURGO.</t>
        </is>
      </c>
      <c r="J957" s="8" t="inlineStr">
        <is>
          <t>GRILO</t>
        </is>
      </c>
      <c r="K957" s="8" t="inlineStr">
        <is>
          <t>KAUÊ</t>
        </is>
      </c>
      <c r="L957" s="9" t="n">
        <v>46195</v>
      </c>
      <c r="M957" s="7" t="inlineStr"/>
      <c r="N957" s="7" t="inlineStr"/>
      <c r="O957" s="9" t="n">
        <v>46198</v>
      </c>
      <c r="P957" s="7" t="inlineStr">
        <is>
          <t>NÃO PRECISA</t>
        </is>
      </c>
      <c r="Q957" s="7" t="inlineStr">
        <is>
          <t>NÃO COBRAR</t>
        </is>
      </c>
      <c r="R957" s="7" t="inlineStr">
        <is>
          <t>Concluído Campo</t>
        </is>
      </c>
      <c r="S957" s="7" t="inlineStr"/>
      <c r="T957" s="10" t="inlineStr"/>
      <c r="U957" s="7" t="inlineStr"/>
      <c r="V957" s="7" t="inlineStr"/>
      <c r="W957" s="7" t="inlineStr"/>
      <c r="X957" s="7" t="inlineStr">
        <is>
          <t>AG. MEDIÇÃO</t>
        </is>
      </c>
      <c r="Y957" s="11">
        <f>IF(AND(L957&lt;&gt;"", S957&lt;&gt;""), S957-L957, IF(L957&lt;&gt;"", TODAY()-L957, ""))</f>
        <v/>
      </c>
      <c r="Z957" s="7">
        <f>IF(Y957="", "", IF(Y957&lt;=3, "NO PRAZO", "ATRASADO"))</f>
        <v/>
      </c>
      <c r="AA957" s="8" t="inlineStr"/>
    </row>
    <row r="958" ht="20" customHeight="1">
      <c r="A958" s="7" t="inlineStr">
        <is>
          <t>RSCLER0952</t>
        </is>
      </c>
      <c r="B958" s="8" t="inlineStr">
        <is>
          <t>NOVO HAMBURGO</t>
        </is>
      </c>
      <c r="C958" s="7" t="inlineStr">
        <is>
          <t>PRIAA</t>
        </is>
      </c>
      <c r="D958" s="7" t="inlineStr"/>
      <c r="E958" s="7" t="inlineStr">
        <is>
          <t>RSNHO06</t>
        </is>
      </c>
      <c r="F958" s="8" t="inlineStr"/>
      <c r="G958" s="8" t="inlineStr">
        <is>
          <t>R STA ROSA 101</t>
        </is>
      </c>
      <c r="H958" s="7" t="inlineStr">
        <is>
          <t>PRIAA.401.M010</t>
        </is>
      </c>
      <c r="I958" s="8" t="inlineStr">
        <is>
          <t>6 ABERTURA E FECHAMENTO, 12 FUSÕES, 2 TESTES OTDR, 2 TESTES.</t>
        </is>
      </c>
      <c r="J958" s="8" t="inlineStr"/>
      <c r="K958" s="8" t="inlineStr">
        <is>
          <t>CATIA</t>
        </is>
      </c>
      <c r="L958" s="9" t="n">
        <v>46197</v>
      </c>
      <c r="M958" s="7" t="inlineStr"/>
      <c r="N958" s="7" t="inlineStr"/>
      <c r="O958" s="9" t="n">
        <v>46203</v>
      </c>
      <c r="P958" s="9" t="n">
        <v>46212</v>
      </c>
      <c r="Q958" s="9" t="n">
        <v>46212</v>
      </c>
      <c r="R958" s="7" t="inlineStr">
        <is>
          <t>Concluído Campo</t>
        </is>
      </c>
      <c r="S958" s="7" t="inlineStr"/>
      <c r="T958" s="10" t="inlineStr"/>
      <c r="U958" s="7" t="inlineStr"/>
      <c r="V958" s="7" t="inlineStr"/>
      <c r="W958" s="7" t="inlineStr"/>
      <c r="X958" s="7" t="inlineStr">
        <is>
          <t>AG. MEDIÇÃO</t>
        </is>
      </c>
      <c r="Y958" s="11">
        <f>IF(AND(L958&lt;&gt;"", S958&lt;&gt;""), S958-L958, IF(L958&lt;&gt;"", TODAY()-L958, ""))</f>
        <v/>
      </c>
      <c r="Z958" s="7">
        <f>IF(Y958="", "", IF(Y958&lt;=3, "NO PRAZO", "ATRASADO"))</f>
        <v/>
      </c>
      <c r="AA958" s="8" t="inlineStr"/>
    </row>
    <row r="959" ht="20" customHeight="1">
      <c r="A959" s="7" t="inlineStr">
        <is>
          <t>RSCLER0953</t>
        </is>
      </c>
      <c r="B959" s="8" t="inlineStr">
        <is>
          <t>NOVO HAMBURGO</t>
        </is>
      </c>
      <c r="C959" s="7" t="inlineStr">
        <is>
          <t>CNUAB</t>
        </is>
      </c>
      <c r="D959" s="7" t="inlineStr"/>
      <c r="E959" s="7" t="inlineStr">
        <is>
          <t>RSNHO09</t>
        </is>
      </c>
      <c r="F959" s="8" t="inlineStr">
        <is>
          <t>Cond Mauro Chika</t>
        </is>
      </c>
      <c r="G959" s="8" t="inlineStr">
        <is>
          <t>R EDUARDO DA SILVA PRADO 22, 50, 62</t>
        </is>
      </c>
      <c r="H959" s="7" t="inlineStr">
        <is>
          <t>CNUAB.401.M010</t>
        </is>
      </c>
      <c r="I959" s="8" t="inlineStr">
        <is>
          <t>FOI LANÇADO 486 METROS DE CABO DE 12FO, 4 ABERTURA E FECHAMENTO, 28 FUSÕES, 1 CX NOVA, 2 DERIVAÇÕES, 12 TESTES.</t>
        </is>
      </c>
      <c r="J959" s="8" t="inlineStr">
        <is>
          <t>TIAGO FERREIRA</t>
        </is>
      </c>
      <c r="K959" s="8" t="inlineStr">
        <is>
          <t>AFONSO</t>
        </is>
      </c>
      <c r="L959" s="9" t="n">
        <v>46164</v>
      </c>
      <c r="M959" s="7" t="inlineStr"/>
      <c r="N959" s="7" t="inlineStr"/>
      <c r="O959" s="9" t="n">
        <v>46168</v>
      </c>
      <c r="P959" s="9" t="n">
        <v>46218</v>
      </c>
      <c r="Q959" s="9" t="n">
        <v>46218</v>
      </c>
      <c r="R959" s="7" t="inlineStr">
        <is>
          <t>Concluído Campo</t>
        </is>
      </c>
      <c r="S959" s="7" t="inlineStr"/>
      <c r="T959" s="10" t="inlineStr"/>
      <c r="U959" s="7" t="inlineStr"/>
      <c r="V959" s="7" t="inlineStr"/>
      <c r="W959" s="7" t="inlineStr"/>
      <c r="X959" s="7" t="inlineStr">
        <is>
          <t>AG. MEDIÇÃO</t>
        </is>
      </c>
      <c r="Y959" s="11">
        <f>IF(AND(L959&lt;&gt;"", S959&lt;&gt;""), S959-L959, IF(L959&lt;&gt;"", TODAY()-L959, ""))</f>
        <v/>
      </c>
      <c r="Z959" s="7">
        <f>IF(Y959="", "", IF(Y959&lt;=3, "NO PRAZO", "ATRASADO"))</f>
        <v/>
      </c>
      <c r="AA959" s="8" t="inlineStr"/>
    </row>
    <row r="960" ht="20" customHeight="1">
      <c r="A960" s="7" t="inlineStr">
        <is>
          <t>RSCLER0954</t>
        </is>
      </c>
      <c r="B960" s="8" t="inlineStr">
        <is>
          <t>NOVO HAMBURGO</t>
        </is>
      </c>
      <c r="C960" s="7" t="inlineStr">
        <is>
          <t>CNUAA</t>
        </is>
      </c>
      <c r="D960" s="7" t="inlineStr"/>
      <c r="E960" s="7" t="inlineStr"/>
      <c r="F960" s="8" t="inlineStr"/>
      <c r="G960" s="8" t="inlineStr">
        <is>
          <t>Rua Sílvio Gilberto Christmann 900</t>
        </is>
      </c>
      <c r="H960" s="7" t="inlineStr">
        <is>
          <t>CNUAA.072.01.02</t>
        </is>
      </c>
      <c r="I960" s="8" t="inlineStr">
        <is>
          <t>FOI LANÇADO 436 METROS DE CABO DE 12FO, 2 ABERTURA E FECHAMENTO, 2 CX NOVA, 1 NAP NOVA, 1 DERIVAÇÃO, 27 FUSÕES, 3 TESTES.</t>
        </is>
      </c>
      <c r="J960" s="8" t="inlineStr">
        <is>
          <t>TIAGO FERREIRA</t>
        </is>
      </c>
      <c r="K960" s="8" t="inlineStr">
        <is>
          <t>VINICIUS MARQUES</t>
        </is>
      </c>
      <c r="L960" s="9" t="n">
        <v>46182</v>
      </c>
      <c r="M960" s="7" t="inlineStr"/>
      <c r="N960" s="7" t="inlineStr"/>
      <c r="O960" s="9" t="n">
        <v>46185</v>
      </c>
      <c r="P960" s="9" t="n">
        <v>46247</v>
      </c>
      <c r="Q960" s="9" t="n">
        <v>46247</v>
      </c>
      <c r="R960" s="7" t="inlineStr">
        <is>
          <t>Concluído Campo</t>
        </is>
      </c>
      <c r="S960" s="7" t="inlineStr"/>
      <c r="T960" s="10" t="inlineStr"/>
      <c r="U960" s="7" t="inlineStr"/>
      <c r="V960" s="7" t="inlineStr"/>
      <c r="W960" s="7" t="inlineStr"/>
      <c r="X960" s="7" t="inlineStr">
        <is>
          <t>AG. MEDIÇÃO</t>
        </is>
      </c>
      <c r="Y960" s="11">
        <f>IF(AND(L960&lt;&gt;"", S960&lt;&gt;""), S960-L960, IF(L960&lt;&gt;"", TODAY()-L960, ""))</f>
        <v/>
      </c>
      <c r="Z960" s="7">
        <f>IF(Y960="", "", IF(Y960&lt;=3, "NO PRAZO", "ATRASADO"))</f>
        <v/>
      </c>
      <c r="AA960" s="8" t="inlineStr"/>
    </row>
    <row r="961" ht="20" customHeight="1">
      <c r="A961" s="7" t="inlineStr">
        <is>
          <t>RSCLER0955</t>
        </is>
      </c>
      <c r="B961" s="8" t="inlineStr">
        <is>
          <t>PORTO ALEGRE</t>
        </is>
      </c>
      <c r="C961" s="7" t="inlineStr">
        <is>
          <t>BFMAA</t>
        </is>
      </c>
      <c r="D961" s="7" t="inlineStr">
        <is>
          <t>BFMADA</t>
        </is>
      </c>
      <c r="E961" s="7" t="inlineStr">
        <is>
          <t>PAE IND</t>
        </is>
      </c>
      <c r="F961" s="8" t="inlineStr">
        <is>
          <t>Cond. LOFORTE</t>
        </is>
      </c>
      <c r="G961" s="8" t="inlineStr">
        <is>
          <t>AV INDEPENDÊNCIA 814</t>
        </is>
      </c>
      <c r="H961" s="7" t="inlineStr">
        <is>
          <t>BFMAA.022.M030</t>
        </is>
      </c>
      <c r="I961" s="8" t="inlineStr">
        <is>
          <t>3 ABERTURA E FECHAMENTO, 4 FUSÕES, 2 TESTES.</t>
        </is>
      </c>
      <c r="J961" s="8" t="inlineStr"/>
      <c r="K961" s="8" t="inlineStr">
        <is>
          <t>AFONSO</t>
        </is>
      </c>
      <c r="L961" s="9" t="n">
        <v>46193</v>
      </c>
      <c r="M961" s="7" t="inlineStr"/>
      <c r="N961" s="7" t="inlineStr"/>
      <c r="O961" s="9" t="n">
        <v>46197</v>
      </c>
      <c r="P961" s="9" t="n">
        <v>46212</v>
      </c>
      <c r="Q961" s="9" t="n">
        <v>46212</v>
      </c>
      <c r="R961" s="7" t="inlineStr">
        <is>
          <t>Concluído Campo</t>
        </is>
      </c>
      <c r="S961" s="7" t="inlineStr"/>
      <c r="T961" s="10" t="inlineStr"/>
      <c r="U961" s="7" t="inlineStr"/>
      <c r="V961" s="7" t="inlineStr"/>
      <c r="W961" s="7" t="inlineStr"/>
      <c r="X961" s="7" t="inlineStr">
        <is>
          <t>AG. MEDIÇÃO</t>
        </is>
      </c>
      <c r="Y961" s="11">
        <f>IF(AND(L961&lt;&gt;"", S961&lt;&gt;""), S961-L961, IF(L961&lt;&gt;"", TODAY()-L961, ""))</f>
        <v/>
      </c>
      <c r="Z961" s="7">
        <f>IF(Y961="", "", IF(Y961&lt;=3, "NO PRAZO", "ATRASADO"))</f>
        <v/>
      </c>
      <c r="AA961" s="8" t="inlineStr"/>
    </row>
    <row r="962" ht="20" customHeight="1">
      <c r="A962" s="7" t="inlineStr">
        <is>
          <t>RSCLER0956</t>
        </is>
      </c>
      <c r="B962" s="8" t="inlineStr">
        <is>
          <t>PORTO ALEGRE</t>
        </is>
      </c>
      <c r="C962" s="7" t="inlineStr">
        <is>
          <t>CNTAB</t>
        </is>
      </c>
      <c r="D962" s="7" t="inlineStr">
        <is>
          <t>CNTAI</t>
        </is>
      </c>
      <c r="E962" s="7" t="inlineStr">
        <is>
          <t>RSPCE14</t>
        </is>
      </c>
      <c r="F962" s="8" t="inlineStr">
        <is>
          <t>Cond General Osorio</t>
        </is>
      </c>
      <c r="G962" s="8" t="inlineStr">
        <is>
          <t>Av Borges de Medeiros 1141</t>
        </is>
      </c>
      <c r="H962" s="7" t="inlineStr">
        <is>
          <t>CNTAB.181.M020</t>
        </is>
      </c>
      <c r="I962" s="8" t="inlineStr">
        <is>
          <t>2 ABERTURA E FECHAMENTO, 2 FUSÕES, 2 TESTES.</t>
        </is>
      </c>
      <c r="J962" s="8" t="inlineStr"/>
      <c r="K962" s="8" t="inlineStr">
        <is>
          <t>CATIA</t>
        </is>
      </c>
      <c r="L962" s="7" t="inlineStr"/>
      <c r="M962" s="7" t="inlineStr"/>
      <c r="N962" s="7" t="inlineStr"/>
      <c r="O962" s="9" t="n">
        <v>46174</v>
      </c>
      <c r="P962" s="9" t="n">
        <v>46206</v>
      </c>
      <c r="Q962" s="9" t="n">
        <v>46206</v>
      </c>
      <c r="R962" s="7" t="inlineStr">
        <is>
          <t>Concluído Campo</t>
        </is>
      </c>
      <c r="S962" s="7" t="inlineStr"/>
      <c r="T962" s="10" t="inlineStr"/>
      <c r="U962" s="7" t="inlineStr"/>
      <c r="V962" s="7" t="inlineStr"/>
      <c r="W962" s="7" t="inlineStr"/>
      <c r="X962" s="7" t="inlineStr">
        <is>
          <t>AG. MEDIÇÃO</t>
        </is>
      </c>
      <c r="Y962" s="11">
        <f>IF(AND(L962&lt;&gt;"", S962&lt;&gt;""), S962-L962, IF(L962&lt;&gt;"", TODAY()-L962, ""))</f>
        <v/>
      </c>
      <c r="Z962" s="7">
        <f>IF(Y962="", "", IF(Y962&lt;=3, "NO PRAZO", "ATRASADO"))</f>
        <v/>
      </c>
      <c r="AA962" s="8" t="inlineStr"/>
    </row>
    <row r="963" ht="20" customHeight="1">
      <c r="A963" s="7" t="inlineStr">
        <is>
          <t>RSCLER0957</t>
        </is>
      </c>
      <c r="B963" s="8" t="inlineStr">
        <is>
          <t>PORTO ALEGRE</t>
        </is>
      </c>
      <c r="C963" s="7" t="inlineStr">
        <is>
          <t>VIPAA</t>
        </is>
      </c>
      <c r="D963" s="7" t="inlineStr">
        <is>
          <t>VIPAJ</t>
        </is>
      </c>
      <c r="E963" s="7" t="inlineStr">
        <is>
          <t>RSPNO19</t>
        </is>
      </c>
      <c r="F963" s="8" t="inlineStr">
        <is>
          <t>ED MARTENS</t>
        </is>
      </c>
      <c r="G963" s="8" t="inlineStr">
        <is>
          <t>R TUNISIA 85</t>
        </is>
      </c>
      <c r="H963" s="7" t="inlineStr">
        <is>
          <t>VIPAA.003.M010</t>
        </is>
      </c>
      <c r="I963" s="8" t="inlineStr">
        <is>
          <t>2 ABERTURA E FECHAMENTO, 1 FUSÃO, 1 TESTE, 1 TESTE OTDR</t>
        </is>
      </c>
      <c r="J963" s="8" t="inlineStr"/>
      <c r="K963" s="8" t="inlineStr">
        <is>
          <t>CATIA</t>
        </is>
      </c>
      <c r="L963" s="9" t="n">
        <v>46176</v>
      </c>
      <c r="M963" s="7" t="inlineStr"/>
      <c r="N963" s="7" t="inlineStr"/>
      <c r="O963" s="9" t="n">
        <v>46177</v>
      </c>
      <c r="P963" s="9" t="n">
        <v>46212</v>
      </c>
      <c r="Q963" s="9" t="n">
        <v>46212</v>
      </c>
      <c r="R963" s="7" t="inlineStr">
        <is>
          <t>Concluído Campo</t>
        </is>
      </c>
      <c r="S963" s="7" t="inlineStr"/>
      <c r="T963" s="10" t="inlineStr"/>
      <c r="U963" s="7" t="inlineStr"/>
      <c r="V963" s="7" t="inlineStr"/>
      <c r="W963" s="7" t="inlineStr"/>
      <c r="X963" s="7" t="inlineStr">
        <is>
          <t>AG. MEDIÇÃO</t>
        </is>
      </c>
      <c r="Y963" s="11">
        <f>IF(AND(L963&lt;&gt;"", S963&lt;&gt;""), S963-L963, IF(L963&lt;&gt;"", TODAY()-L963, ""))</f>
        <v/>
      </c>
      <c r="Z963" s="7">
        <f>IF(Y963="", "", IF(Y963&lt;=3, "NO PRAZO", "ATRASADO"))</f>
        <v/>
      </c>
      <c r="AA963" s="8" t="inlineStr"/>
    </row>
    <row r="964" ht="20" customHeight="1">
      <c r="A964" s="7" t="inlineStr">
        <is>
          <t>RSCLER0958</t>
        </is>
      </c>
      <c r="B964" s="8" t="inlineStr">
        <is>
          <t>PORTO ALEGRE</t>
        </is>
      </c>
      <c r="C964" s="7" t="inlineStr">
        <is>
          <t>VNVAA</t>
        </is>
      </c>
      <c r="D964" s="7" t="inlineStr">
        <is>
          <t>VNVAE</t>
        </is>
      </c>
      <c r="E964" s="7" t="inlineStr">
        <is>
          <t>RSPSU13</t>
        </is>
      </c>
      <c r="F964" s="8" t="inlineStr">
        <is>
          <t>CAMPOS DO SUL</t>
        </is>
      </c>
      <c r="G964" s="8" t="inlineStr">
        <is>
          <t>RUA FAMILIA GONÇALVES CARNEIRO 441</t>
        </is>
      </c>
      <c r="H964" s="7" t="inlineStr">
        <is>
          <t>VNVAA.131.M030</t>
        </is>
      </c>
      <c r="I964" s="8" t="inlineStr">
        <is>
          <t>FOI LANÇADO 399 METROS DE CABO DE 12FO, 6 ABERTURA E FECHAMENTO, 14 FUSÕES, 2 DERIVAÇÕES, 7 TESTES.</t>
        </is>
      </c>
      <c r="J964" s="8" t="inlineStr">
        <is>
          <t>BRUNO</t>
        </is>
      </c>
      <c r="K964" s="8" t="inlineStr">
        <is>
          <t>AFONSO</t>
        </is>
      </c>
      <c r="L964" s="9" t="n">
        <v>46174</v>
      </c>
      <c r="M964" s="7" t="inlineStr"/>
      <c r="N964" s="7" t="inlineStr"/>
      <c r="O964" s="9" t="n">
        <v>46174</v>
      </c>
      <c r="P964" s="9" t="n">
        <v>46251</v>
      </c>
      <c r="Q964" s="9" t="n">
        <v>46251</v>
      </c>
      <c r="R964" s="7" t="inlineStr">
        <is>
          <t>Concluído Campo</t>
        </is>
      </c>
      <c r="S964" s="7" t="inlineStr"/>
      <c r="T964" s="10" t="inlineStr"/>
      <c r="U964" s="7" t="inlineStr"/>
      <c r="V964" s="7" t="inlineStr"/>
      <c r="W964" s="7" t="inlineStr"/>
      <c r="X964" s="7" t="inlineStr">
        <is>
          <t>AG. MEDIÇÃO</t>
        </is>
      </c>
      <c r="Y964" s="11">
        <f>IF(AND(L964&lt;&gt;"", S964&lt;&gt;""), S964-L964, IF(L964&lt;&gt;"", TODAY()-L964, ""))</f>
        <v/>
      </c>
      <c r="Z964" s="7">
        <f>IF(Y964="", "", IF(Y964&lt;=3, "NO PRAZO", "ATRASADO"))</f>
        <v/>
      </c>
      <c r="AA964" s="8" t="inlineStr"/>
    </row>
    <row r="965" ht="20" customHeight="1">
      <c r="A965" s="7" t="inlineStr">
        <is>
          <t>RSCLER0959</t>
        </is>
      </c>
      <c r="B965" s="8" t="inlineStr">
        <is>
          <t>NOVO HAMBURGO</t>
        </is>
      </c>
      <c r="C965" s="7" t="inlineStr">
        <is>
          <t>CNUAB</t>
        </is>
      </c>
      <c r="D965" s="7" t="inlineStr"/>
      <c r="E965" s="7" t="inlineStr">
        <is>
          <t>RSNHO09</t>
        </is>
      </c>
      <c r="F965" s="8" t="inlineStr"/>
      <c r="G965" s="8" t="inlineStr">
        <is>
          <t>MUNDO NOVO, 311</t>
        </is>
      </c>
      <c r="H965" s="7" t="inlineStr">
        <is>
          <t>CNUAB.401.M050</t>
        </is>
      </c>
      <c r="I965" s="8" t="inlineStr">
        <is>
          <t>FOI LANÇADO 253 METROS DE CABO DE 12FO, 2 ABERTURA E FECHAMENTO, 1 CX NOVA, 1 DERIVAÇÃO, 10 FUSÕES, 5 TESTES.</t>
        </is>
      </c>
      <c r="J965" s="8" t="inlineStr">
        <is>
          <t>CLEVERSON</t>
        </is>
      </c>
      <c r="K965" s="8" t="inlineStr">
        <is>
          <t>CATIA / CLEVERSON</t>
        </is>
      </c>
      <c r="L965" s="9" t="n">
        <v>46202</v>
      </c>
      <c r="M965" s="7" t="inlineStr"/>
      <c r="N965" s="7" t="inlineStr"/>
      <c r="O965" s="9" t="n">
        <v>46206</v>
      </c>
      <c r="P965" s="9" t="n">
        <v>46213</v>
      </c>
      <c r="Q965" s="9" t="n">
        <v>46213</v>
      </c>
      <c r="R965" s="7" t="inlineStr">
        <is>
          <t>Concluído Campo</t>
        </is>
      </c>
      <c r="S965" s="7" t="inlineStr"/>
      <c r="T965" s="10" t="inlineStr"/>
      <c r="U965" s="7" t="inlineStr"/>
      <c r="V965" s="7" t="inlineStr"/>
      <c r="W965" s="7" t="inlineStr"/>
      <c r="X965" s="7" t="inlineStr">
        <is>
          <t>AG. MEDIÇÃO</t>
        </is>
      </c>
      <c r="Y965" s="11">
        <f>IF(AND(L965&lt;&gt;"", S965&lt;&gt;""), S965-L965, IF(L965&lt;&gt;"", TODAY()-L965, ""))</f>
        <v/>
      </c>
      <c r="Z965" s="7">
        <f>IF(Y965="", "", IF(Y965&lt;=3, "NO PRAZO", "ATRASADO"))</f>
        <v/>
      </c>
      <c r="AA965" s="8" t="inlineStr"/>
    </row>
    <row r="966" ht="20" customHeight="1">
      <c r="A966" s="7" t="inlineStr">
        <is>
          <t>RSCLER0960</t>
        </is>
      </c>
      <c r="B966" s="8" t="inlineStr">
        <is>
          <t>PORTO ALEGRE</t>
        </is>
      </c>
      <c r="C966" s="7" t="inlineStr">
        <is>
          <t>SANAA</t>
        </is>
      </c>
      <c r="D966" s="7" t="inlineStr">
        <is>
          <t>CBXAIA</t>
        </is>
      </c>
      <c r="E966" s="7" t="inlineStr">
        <is>
          <t>PAE MF</t>
        </is>
      </c>
      <c r="F966" s="8" t="inlineStr"/>
      <c r="G966" s="8" t="inlineStr">
        <is>
          <t>AV JOAO PESSOA 891</t>
        </is>
      </c>
      <c r="H966" s="7" t="inlineStr">
        <is>
          <t>SANAA.363.04.08</t>
        </is>
      </c>
      <c r="I966" s="8" t="inlineStr">
        <is>
          <t>FOI LANÇADO 115 METROS DE CABO DE 12FO, 1 ABERTURA E FECHAMENTO, 2 FUSÃO, 1 NAP NOVA, 1 DERIVAÇÃO, 1 TESTES</t>
        </is>
      </c>
      <c r="J966" s="8" t="inlineStr">
        <is>
          <t>AFONSO</t>
        </is>
      </c>
      <c r="K966" s="8" t="inlineStr">
        <is>
          <t>AFONSO</t>
        </is>
      </c>
      <c r="L966" s="9" t="n">
        <v>46202</v>
      </c>
      <c r="M966" s="7" t="inlineStr"/>
      <c r="N966" s="7" t="inlineStr"/>
      <c r="O966" s="9" t="n">
        <v>46203</v>
      </c>
      <c r="P966" s="9" t="n">
        <v>46241</v>
      </c>
      <c r="Q966" s="9" t="n">
        <v>46241</v>
      </c>
      <c r="R966" s="7" t="inlineStr">
        <is>
          <t>Concluído Campo</t>
        </is>
      </c>
      <c r="S966" s="7" t="inlineStr"/>
      <c r="T966" s="10" t="inlineStr"/>
      <c r="U966" s="7" t="inlineStr"/>
      <c r="V966" s="7" t="inlineStr"/>
      <c r="W966" s="7" t="inlineStr"/>
      <c r="X966" s="7" t="inlineStr">
        <is>
          <t>AG. MEDIÇÃO</t>
        </is>
      </c>
      <c r="Y966" s="11">
        <f>IF(AND(L966&lt;&gt;"", S966&lt;&gt;""), S966-L966, IF(L966&lt;&gt;"", TODAY()-L966, ""))</f>
        <v/>
      </c>
      <c r="Z966" s="7">
        <f>IF(Y966="", "", IF(Y966&lt;=3, "NO PRAZO", "ATRASADO"))</f>
        <v/>
      </c>
      <c r="AA966" s="8" t="inlineStr"/>
    </row>
    <row r="967" ht="20" customHeight="1">
      <c r="A967" s="7" t="inlineStr">
        <is>
          <t>RSCLER0961</t>
        </is>
      </c>
      <c r="B967" s="8" t="inlineStr">
        <is>
          <t>NOVO HAMBURGO</t>
        </is>
      </c>
      <c r="C967" s="7" t="inlineStr">
        <is>
          <t>RNDAA</t>
        </is>
      </c>
      <c r="D967" s="7" t="inlineStr">
        <is>
          <t>RNDAC</t>
        </is>
      </c>
      <c r="E967" s="7" t="inlineStr">
        <is>
          <t>RSNHO12</t>
        </is>
      </c>
      <c r="F967" s="8" t="inlineStr"/>
      <c r="G967" s="8" t="inlineStr">
        <is>
          <t>R PEDRO PETRY 920</t>
        </is>
      </c>
      <c r="H967" s="7" t="inlineStr">
        <is>
          <t>RNDAA.061.M020</t>
        </is>
      </c>
      <c r="I967" s="8" t="inlineStr">
        <is>
          <t>FOI LANÇADO 500 METROS DE 12FO, 3 ABERTURA E FECHAMENTO, 2 DERIVAÇÃO, 2 FUSÃO, 1 TESTE.</t>
        </is>
      </c>
      <c r="J967" s="8" t="inlineStr">
        <is>
          <t>CLEVERSON</t>
        </is>
      </c>
      <c r="K967" s="8" t="inlineStr">
        <is>
          <t>CLEVERSON</t>
        </is>
      </c>
      <c r="L967" s="9" t="n">
        <v>46202</v>
      </c>
      <c r="M967" s="7" t="inlineStr"/>
      <c r="N967" s="7" t="inlineStr"/>
      <c r="O967" s="9" t="n">
        <v>46204</v>
      </c>
      <c r="P967" s="9" t="n">
        <v>46212</v>
      </c>
      <c r="Q967" s="9" t="n">
        <v>46212</v>
      </c>
      <c r="R967" s="7" t="inlineStr">
        <is>
          <t>Concluído Campo</t>
        </is>
      </c>
      <c r="S967" s="7" t="inlineStr"/>
      <c r="T967" s="10" t="inlineStr"/>
      <c r="U967" s="7" t="inlineStr"/>
      <c r="V967" s="7" t="inlineStr"/>
      <c r="W967" s="7" t="inlineStr"/>
      <c r="X967" s="7" t="inlineStr">
        <is>
          <t>AG. MEDIÇÃO</t>
        </is>
      </c>
      <c r="Y967" s="11">
        <f>IF(AND(L967&lt;&gt;"", S967&lt;&gt;""), S967-L967, IF(L967&lt;&gt;"", TODAY()-L967, ""))</f>
        <v/>
      </c>
      <c r="Z967" s="7">
        <f>IF(Y967="", "", IF(Y967&lt;=3, "NO PRAZO", "ATRASADO"))</f>
        <v/>
      </c>
      <c r="AA967" s="8" t="inlineStr"/>
    </row>
    <row r="968" ht="20" customHeight="1">
      <c r="A968" s="7" t="inlineStr">
        <is>
          <t>RSCLER0962</t>
        </is>
      </c>
      <c r="B968" s="8" t="inlineStr">
        <is>
          <t>PORTO ALEGRE</t>
        </is>
      </c>
      <c r="C968" s="7" t="inlineStr">
        <is>
          <t>BFMAA</t>
        </is>
      </c>
      <c r="D968" s="7" t="inlineStr">
        <is>
          <t>FLOAA</t>
        </is>
      </c>
      <c r="E968" s="7" t="inlineStr">
        <is>
          <t>PAE IND</t>
        </is>
      </c>
      <c r="F968" s="8" t="inlineStr">
        <is>
          <t>Shopping Atacadista Mercado da Moda</t>
        </is>
      </c>
      <c r="G968" s="8" t="inlineStr">
        <is>
          <t>R VOLUNTARIOS DA PATRIA 1140</t>
        </is>
      </c>
      <c r="H968" s="7" t="inlineStr">
        <is>
          <t>BFMAA.276.M020</t>
        </is>
      </c>
      <c r="I968" s="8" t="inlineStr">
        <is>
          <t>2 ABERTURA E FECHAMENTO, 4 FUSÕES, 2 TESTES</t>
        </is>
      </c>
      <c r="J968" s="8" t="inlineStr"/>
      <c r="K968" s="8" t="inlineStr">
        <is>
          <t>RICARDO JLE</t>
        </is>
      </c>
      <c r="L968" s="9" t="n">
        <v>46204</v>
      </c>
      <c r="M968" s="7" t="inlineStr"/>
      <c r="N968" s="7" t="inlineStr"/>
      <c r="O968" s="9" t="n">
        <v>46204</v>
      </c>
      <c r="P968" s="9" t="n">
        <v>46247</v>
      </c>
      <c r="Q968" s="9" t="n">
        <v>46247</v>
      </c>
      <c r="R968" s="7" t="inlineStr">
        <is>
          <t>Concluído Campo</t>
        </is>
      </c>
      <c r="S968" s="7" t="inlineStr"/>
      <c r="T968" s="10" t="inlineStr"/>
      <c r="U968" s="7" t="inlineStr"/>
      <c r="V968" s="7" t="inlineStr"/>
      <c r="W968" s="7" t="inlineStr"/>
      <c r="X968" s="7" t="inlineStr">
        <is>
          <t>AG. MEDIÇÃO</t>
        </is>
      </c>
      <c r="Y968" s="11">
        <f>IF(AND(L968&lt;&gt;"", S968&lt;&gt;""), S968-L968, IF(L968&lt;&gt;"", TODAY()-L968, ""))</f>
        <v/>
      </c>
      <c r="Z968" s="7">
        <f>IF(Y968="", "", IF(Y968&lt;=3, "NO PRAZO", "ATRASADO"))</f>
        <v/>
      </c>
      <c r="AA968" s="8" t="inlineStr"/>
    </row>
    <row r="969" ht="20" customHeight="1">
      <c r="A969" s="7" t="inlineStr">
        <is>
          <t>RSCLER0963</t>
        </is>
      </c>
      <c r="B969" s="8" t="inlineStr">
        <is>
          <t>PORTO ALEGRE</t>
        </is>
      </c>
      <c r="C969" s="7" t="inlineStr">
        <is>
          <t>BFMAA</t>
        </is>
      </c>
      <c r="D969" s="7" t="inlineStr">
        <is>
          <t>RBRAFA</t>
        </is>
      </c>
      <c r="E969" s="7" t="inlineStr">
        <is>
          <t>PAE IND</t>
        </is>
      </c>
      <c r="F969" s="8" t="inlineStr">
        <is>
          <t>Cond. Edifício Juncal</t>
        </is>
      </c>
      <c r="G969" s="8" t="inlineStr">
        <is>
          <t>R FERNANDES VIEIRA 203</t>
        </is>
      </c>
      <c r="H969" s="7" t="inlineStr">
        <is>
          <t>BFMAA.091.M010</t>
        </is>
      </c>
      <c r="I969" s="8" t="inlineStr">
        <is>
          <t>FOI LANÇADO 167 METROS DE CABO DE 24FO, 6 ABERTURA E FECHAMENTO, 14 FUSÕES, 2 DERIVAÇÕES, 2 TESTES</t>
        </is>
      </c>
      <c r="J969" s="8" t="inlineStr">
        <is>
          <t>CLEVERSON</t>
        </is>
      </c>
      <c r="K969" s="8" t="inlineStr">
        <is>
          <t>CATIA</t>
        </is>
      </c>
      <c r="L969" s="9" t="n">
        <v>46206</v>
      </c>
      <c r="M969" s="7" t="inlineStr"/>
      <c r="N969" s="7" t="inlineStr"/>
      <c r="O969" s="9" t="n">
        <v>46210</v>
      </c>
      <c r="P969" s="9" t="n">
        <v>46227</v>
      </c>
      <c r="Q969" s="9" t="n">
        <v>46227</v>
      </c>
      <c r="R969" s="7" t="inlineStr">
        <is>
          <t>Concluído Campo</t>
        </is>
      </c>
      <c r="S969" s="7" t="inlineStr"/>
      <c r="T969" s="10" t="inlineStr"/>
      <c r="U969" s="7" t="inlineStr"/>
      <c r="V969" s="7" t="inlineStr"/>
      <c r="W969" s="7" t="inlineStr"/>
      <c r="X969" s="7" t="inlineStr">
        <is>
          <t>AG. MEDIÇÃO</t>
        </is>
      </c>
      <c r="Y969" s="11">
        <f>IF(AND(L969&lt;&gt;"", S969&lt;&gt;""), S969-L969, IF(L969&lt;&gt;"", TODAY()-L969, ""))</f>
        <v/>
      </c>
      <c r="Z969" s="7">
        <f>IF(Y969="", "", IF(Y969&lt;=3, "NO PRAZO", "ATRASADO"))</f>
        <v/>
      </c>
      <c r="AA969" s="8" t="inlineStr"/>
    </row>
    <row r="970" ht="20" customHeight="1">
      <c r="A970" s="7" t="inlineStr">
        <is>
          <t>RSCLER0964</t>
        </is>
      </c>
      <c r="B970" s="8" t="inlineStr">
        <is>
          <t>PORTO ALEGRE</t>
        </is>
      </c>
      <c r="C970" s="7" t="inlineStr">
        <is>
          <t>SPEAA</t>
        </is>
      </c>
      <c r="D970" s="7" t="inlineStr">
        <is>
          <t>PDRACB</t>
        </is>
      </c>
      <c r="E970" s="7" t="inlineStr">
        <is>
          <t>PAE DAM</t>
        </is>
      </c>
      <c r="F970" s="8" t="inlineStr"/>
      <c r="G970" s="8" t="inlineStr">
        <is>
          <t>R TAPIAÇU 171,185,199,213,227,241</t>
        </is>
      </c>
      <c r="H970" s="7" t="inlineStr">
        <is>
          <t>SPEAA.032.M050/SPEAA.032.M020</t>
        </is>
      </c>
      <c r="I970" s="8" t="inlineStr">
        <is>
          <t>25 ABERTURA E FECHAMENTO, 54 FUSÕES, 26 TESTES OTDR, 6 TESTES.</t>
        </is>
      </c>
      <c r="J970" s="8" t="inlineStr"/>
      <c r="K970" s="8" t="inlineStr">
        <is>
          <t>CATIA</t>
        </is>
      </c>
      <c r="L970" s="9" t="n">
        <v>46206</v>
      </c>
      <c r="M970" s="7" t="inlineStr"/>
      <c r="N970" s="7" t="inlineStr"/>
      <c r="O970" s="9" t="n">
        <v>46210</v>
      </c>
      <c r="P970" s="9" t="n">
        <v>46251</v>
      </c>
      <c r="Q970" s="9" t="n">
        <v>46251</v>
      </c>
      <c r="R970" s="7" t="inlineStr">
        <is>
          <t>Concluído Campo</t>
        </is>
      </c>
      <c r="S970" s="7" t="inlineStr"/>
      <c r="T970" s="10" t="inlineStr"/>
      <c r="U970" s="7" t="inlineStr"/>
      <c r="V970" s="7" t="inlineStr"/>
      <c r="W970" s="7" t="inlineStr"/>
      <c r="X970" s="7" t="inlineStr">
        <is>
          <t>AG. MEDIÇÃO</t>
        </is>
      </c>
      <c r="Y970" s="11">
        <f>IF(AND(L970&lt;&gt;"", S970&lt;&gt;""), S970-L970, IF(L970&lt;&gt;"", TODAY()-L970, ""))</f>
        <v/>
      </c>
      <c r="Z970" s="7">
        <f>IF(Y970="", "", IF(Y970&lt;=3, "NO PRAZO", "ATRASADO"))</f>
        <v/>
      </c>
      <c r="AA970" s="8" t="inlineStr"/>
    </row>
    <row r="971" ht="20" customHeight="1">
      <c r="A971" s="7" t="inlineStr">
        <is>
          <t>RSCLER0965</t>
        </is>
      </c>
      <c r="B971" s="8" t="inlineStr">
        <is>
          <t>PORTO ALEGRE</t>
        </is>
      </c>
      <c r="C971" s="7" t="inlineStr">
        <is>
          <t>BFMAA</t>
        </is>
      </c>
      <c r="D971" s="7" t="inlineStr">
        <is>
          <t>RBRAFA</t>
        </is>
      </c>
      <c r="E971" s="7" t="inlineStr">
        <is>
          <t>PAE IND</t>
        </is>
      </c>
      <c r="F971" s="8" t="inlineStr">
        <is>
          <t>Cond Jardim Independencia</t>
        </is>
      </c>
      <c r="G971" s="8" t="inlineStr">
        <is>
          <t>AV INDEPENDENCIA 1138</t>
        </is>
      </c>
      <c r="H971" s="7" t="inlineStr">
        <is>
          <t>BFMAA.091.M030</t>
        </is>
      </c>
      <c r="I971" s="8" t="inlineStr">
        <is>
          <t>2 ABERTURA E FECHAMENTO, 3 FUSÕES, 3 TESTES.</t>
        </is>
      </c>
      <c r="J971" s="8" t="inlineStr"/>
      <c r="K971" s="8" t="inlineStr">
        <is>
          <t>CATIA</t>
        </is>
      </c>
      <c r="L971" s="9" t="n">
        <v>46205</v>
      </c>
      <c r="M971" s="7" t="inlineStr"/>
      <c r="N971" s="7" t="inlineStr"/>
      <c r="O971" s="9" t="n">
        <v>46206</v>
      </c>
      <c r="P971" s="9" t="n">
        <v>46212</v>
      </c>
      <c r="Q971" s="9" t="n">
        <v>46212</v>
      </c>
      <c r="R971" s="7" t="inlineStr">
        <is>
          <t>Concluído Campo</t>
        </is>
      </c>
      <c r="S971" s="7" t="inlineStr"/>
      <c r="T971" s="10" t="inlineStr"/>
      <c r="U971" s="7" t="inlineStr"/>
      <c r="V971" s="7" t="inlineStr"/>
      <c r="W971" s="7" t="inlineStr"/>
      <c r="X971" s="7" t="inlineStr">
        <is>
          <t>AG. MEDIÇÃO</t>
        </is>
      </c>
      <c r="Y971" s="11">
        <f>IF(AND(L971&lt;&gt;"", S971&lt;&gt;""), S971-L971, IF(L971&lt;&gt;"", TODAY()-L971, ""))</f>
        <v/>
      </c>
      <c r="Z971" s="7">
        <f>IF(Y971="", "", IF(Y971&lt;=3, "NO PRAZO", "ATRASADO"))</f>
        <v/>
      </c>
      <c r="AA971" s="8" t="inlineStr"/>
    </row>
    <row r="972" ht="20" customHeight="1">
      <c r="A972" s="7" t="inlineStr">
        <is>
          <t>RSCLER0966</t>
        </is>
      </c>
      <c r="B972" s="8" t="inlineStr">
        <is>
          <t>PORTO ALEGRE</t>
        </is>
      </c>
      <c r="C972" s="7" t="inlineStr">
        <is>
          <t>BFMAA</t>
        </is>
      </c>
      <c r="D972" s="7" t="inlineStr">
        <is>
          <t>FLOAI</t>
        </is>
      </c>
      <c r="E972" s="7" t="inlineStr">
        <is>
          <t>PAE IND</t>
        </is>
      </c>
      <c r="F972" s="8" t="inlineStr">
        <is>
          <t>CASA MOINHOS</t>
        </is>
      </c>
      <c r="G972" s="8" t="inlineStr">
        <is>
          <t>R HILARIO RIBEIRO 150</t>
        </is>
      </c>
      <c r="H972" s="7" t="inlineStr">
        <is>
          <t>BFMAA.063.M010</t>
        </is>
      </c>
      <c r="I972" s="8" t="inlineStr">
        <is>
          <t>2 ABERTURA E FECHAMENTO, 3 FUSÕES, 3 TESTES.</t>
        </is>
      </c>
      <c r="J972" s="8" t="inlineStr"/>
      <c r="K972" s="8" t="inlineStr">
        <is>
          <t>CATIA</t>
        </is>
      </c>
      <c r="L972" s="9" t="n">
        <v>46205</v>
      </c>
      <c r="M972" s="7" t="inlineStr"/>
      <c r="N972" s="7" t="inlineStr"/>
      <c r="O972" s="9" t="n">
        <v>46206</v>
      </c>
      <c r="P972" s="9" t="n">
        <v>46212</v>
      </c>
      <c r="Q972" s="9" t="n">
        <v>46212</v>
      </c>
      <c r="R972" s="7" t="inlineStr">
        <is>
          <t>Concluído Campo</t>
        </is>
      </c>
      <c r="S972" s="7" t="inlineStr"/>
      <c r="T972" s="10" t="inlineStr"/>
      <c r="U972" s="7" t="inlineStr"/>
      <c r="V972" s="7" t="inlineStr"/>
      <c r="W972" s="7" t="inlineStr"/>
      <c r="X972" s="7" t="inlineStr">
        <is>
          <t>AG. MEDIÇÃO</t>
        </is>
      </c>
      <c r="Y972" s="11">
        <f>IF(AND(L972&lt;&gt;"", S972&lt;&gt;""), S972-L972, IF(L972&lt;&gt;"", TODAY()-L972, ""))</f>
        <v/>
      </c>
      <c r="Z972" s="7">
        <f>IF(Y972="", "", IF(Y972&lt;=3, "NO PRAZO", "ATRASADO"))</f>
        <v/>
      </c>
      <c r="AA972" s="8" t="inlineStr"/>
    </row>
    <row r="973" ht="20" customHeight="1">
      <c r="A973" s="7" t="inlineStr">
        <is>
          <t>RSCLER0967</t>
        </is>
      </c>
      <c r="B973" s="8" t="inlineStr">
        <is>
          <t>PORTO ALEGRE</t>
        </is>
      </c>
      <c r="C973" s="7" t="inlineStr">
        <is>
          <t>BFMAA</t>
        </is>
      </c>
      <c r="D973" s="7" t="inlineStr"/>
      <c r="E973" s="7" t="inlineStr">
        <is>
          <t>PAE IND</t>
        </is>
      </c>
      <c r="F973" s="8" t="inlineStr">
        <is>
          <t>Edifício Ipiranga</t>
        </is>
      </c>
      <c r="G973" s="8" t="inlineStr">
        <is>
          <t>AV CRISTOVAO COLOMBO 911</t>
        </is>
      </c>
      <c r="H973" s="7" t="inlineStr">
        <is>
          <t>BFMAA.041.M010</t>
        </is>
      </c>
      <c r="I973" s="8" t="inlineStr">
        <is>
          <t>FOI LANÇADO 928 METROS DE CABO DE 12 FO, 3 ABERTURA E FECHAMENTO, 8 FUSÕES, 1 DERIVAÇÃO, 3 TESTES OTDR.</t>
        </is>
      </c>
      <c r="J973" s="8" t="inlineStr">
        <is>
          <t>CLEVERSON</t>
        </is>
      </c>
      <c r="K973" s="8" t="inlineStr">
        <is>
          <t>CATIA</t>
        </is>
      </c>
      <c r="L973" s="9" t="n">
        <v>46209</v>
      </c>
      <c r="M973" s="7" t="inlineStr"/>
      <c r="N973" s="7" t="inlineStr"/>
      <c r="O973" s="9" t="n">
        <v>46213</v>
      </c>
      <c r="P973" s="9" t="n">
        <v>46253</v>
      </c>
      <c r="Q973" s="9" t="n">
        <v>46253</v>
      </c>
      <c r="R973" s="7" t="inlineStr">
        <is>
          <t>Concluído Campo</t>
        </is>
      </c>
      <c r="S973" s="7" t="inlineStr"/>
      <c r="T973" s="10" t="inlineStr"/>
      <c r="U973" s="7" t="inlineStr"/>
      <c r="V973" s="7" t="inlineStr"/>
      <c r="W973" s="7" t="inlineStr"/>
      <c r="X973" s="7" t="inlineStr">
        <is>
          <t>AG. MEDIÇÃO</t>
        </is>
      </c>
      <c r="Y973" s="11">
        <f>IF(AND(L973&lt;&gt;"", S973&lt;&gt;""), S973-L973, IF(L973&lt;&gt;"", TODAY()-L973, ""))</f>
        <v/>
      </c>
      <c r="Z973" s="7">
        <f>IF(Y973="", "", IF(Y973&lt;=3, "NO PRAZO", "ATRASADO"))</f>
        <v/>
      </c>
      <c r="AA973" s="8" t="inlineStr"/>
    </row>
    <row r="974" ht="20" customHeight="1">
      <c r="A974" s="7" t="inlineStr">
        <is>
          <t>RSCLER0968</t>
        </is>
      </c>
      <c r="B974" s="8" t="inlineStr">
        <is>
          <t>NOVO HAMBURGO</t>
        </is>
      </c>
      <c r="C974" s="7" t="inlineStr">
        <is>
          <t>RNDAA</t>
        </is>
      </c>
      <c r="D974" s="7" t="inlineStr">
        <is>
          <t>RNDAC</t>
        </is>
      </c>
      <c r="E974" s="7" t="inlineStr">
        <is>
          <t>RSNHO12</t>
        </is>
      </c>
      <c r="F974" s="8" t="inlineStr"/>
      <c r="G974" s="8" t="inlineStr">
        <is>
          <t>R PEDRO PETRY 366</t>
        </is>
      </c>
      <c r="H974" s="7" t="inlineStr">
        <is>
          <t>RNDAA.061.M060</t>
        </is>
      </c>
      <c r="I974" s="8" t="inlineStr">
        <is>
          <t>FOI LANÇADO 665 METROS DE CABO DE 12FO, 3 ABERTURA E FECHAMENTO, 6 FUSÕES, 1 CX NOVA, 2 TESTES.</t>
        </is>
      </c>
      <c r="J974" s="8" t="inlineStr">
        <is>
          <t>TIAGO FERREIRA</t>
        </is>
      </c>
      <c r="K974" s="8" t="inlineStr">
        <is>
          <t>CLEVERSON</t>
        </is>
      </c>
      <c r="L974" s="9" t="n">
        <v>46210</v>
      </c>
      <c r="M974" s="7" t="inlineStr"/>
      <c r="N974" s="7" t="inlineStr"/>
      <c r="O974" s="9" t="n">
        <v>46213</v>
      </c>
      <c r="P974" s="9" t="n">
        <v>46240</v>
      </c>
      <c r="Q974" s="9" t="n">
        <v>46240</v>
      </c>
      <c r="R974" s="7" t="inlineStr">
        <is>
          <t>Concluído Campo</t>
        </is>
      </c>
      <c r="S974" s="7" t="inlineStr"/>
      <c r="T974" s="10" t="inlineStr"/>
      <c r="U974" s="7" t="inlineStr"/>
      <c r="V974" s="7" t="inlineStr"/>
      <c r="W974" s="7" t="inlineStr"/>
      <c r="X974" s="7" t="inlineStr">
        <is>
          <t>AG. MEDIÇÃO</t>
        </is>
      </c>
      <c r="Y974" s="11">
        <f>IF(AND(L974&lt;&gt;"", S974&lt;&gt;""), S974-L974, IF(L974&lt;&gt;"", TODAY()-L974, ""))</f>
        <v/>
      </c>
      <c r="Z974" s="7">
        <f>IF(Y974="", "", IF(Y974&lt;=3, "NO PRAZO", "ATRASADO"))</f>
        <v/>
      </c>
      <c r="AA974" s="8" t="inlineStr"/>
    </row>
    <row r="975" ht="20" customHeight="1">
      <c r="A975" s="7" t="inlineStr">
        <is>
          <t>RSCLER0969</t>
        </is>
      </c>
      <c r="B975" s="8" t="inlineStr">
        <is>
          <t>PORTO ALEGRE</t>
        </is>
      </c>
      <c r="C975" s="7" t="inlineStr">
        <is>
          <t>BFMAA</t>
        </is>
      </c>
      <c r="D975" s="7" t="inlineStr">
        <is>
          <t>FLOALA</t>
        </is>
      </c>
      <c r="E975" s="7" t="inlineStr">
        <is>
          <t>PAE IND</t>
        </is>
      </c>
      <c r="F975" s="8" t="inlineStr"/>
      <c r="G975" s="8" t="inlineStr">
        <is>
          <t>R TIRADENTES 68</t>
        </is>
      </c>
      <c r="H975" s="7" t="inlineStr">
        <is>
          <t>BFMAA.052.M010</t>
        </is>
      </c>
      <c r="I975" s="8" t="inlineStr">
        <is>
          <t>4 ABERTURA E FECHAMENTO, 4 FUSÕES, 2 TESTES OTDR, 2 TESTE.</t>
        </is>
      </c>
      <c r="J975" s="8" t="inlineStr"/>
      <c r="K975" s="8" t="inlineStr">
        <is>
          <t>CATIA</t>
        </is>
      </c>
      <c r="L975" s="9" t="n">
        <v>46211</v>
      </c>
      <c r="M975" s="7" t="inlineStr"/>
      <c r="N975" s="7" t="inlineStr"/>
      <c r="O975" s="9" t="n">
        <v>46212</v>
      </c>
      <c r="P975" s="9" t="n">
        <v>46223</v>
      </c>
      <c r="Q975" s="9" t="n">
        <v>46223</v>
      </c>
      <c r="R975" s="7" t="inlineStr">
        <is>
          <t>Concluído Campo</t>
        </is>
      </c>
      <c r="S975" s="7" t="inlineStr"/>
      <c r="T975" s="10" t="inlineStr"/>
      <c r="U975" s="7" t="inlineStr"/>
      <c r="V975" s="7" t="inlineStr"/>
      <c r="W975" s="7" t="inlineStr"/>
      <c r="X975" s="7" t="inlineStr">
        <is>
          <t>AG. MEDIÇÃO</t>
        </is>
      </c>
      <c r="Y975" s="11">
        <f>IF(AND(L975&lt;&gt;"", S975&lt;&gt;""), S975-L975, IF(L975&lt;&gt;"", TODAY()-L975, ""))</f>
        <v/>
      </c>
      <c r="Z975" s="7">
        <f>IF(Y975="", "", IF(Y975&lt;=3, "NO PRAZO", "ATRASADO"))</f>
        <v/>
      </c>
      <c r="AA975" s="8" t="inlineStr"/>
    </row>
    <row r="976" ht="20" customHeight="1">
      <c r="A976" s="7" t="inlineStr">
        <is>
          <t>RSCLER0970</t>
        </is>
      </c>
      <c r="B976" s="8" t="inlineStr">
        <is>
          <t>PORTO ALEGRE</t>
        </is>
      </c>
      <c r="C976" s="7" t="inlineStr">
        <is>
          <t>BFMAA</t>
        </is>
      </c>
      <c r="D976" s="7" t="inlineStr">
        <is>
          <t>RBRAFA</t>
        </is>
      </c>
      <c r="E976" s="7" t="inlineStr">
        <is>
          <t>PAE IND</t>
        </is>
      </c>
      <c r="F976" s="8" t="inlineStr">
        <is>
          <t>Cond. (Maison Ville Franche)</t>
        </is>
      </c>
      <c r="G976" s="8" t="inlineStr">
        <is>
          <t>R FERNANDES VIEIRA 181</t>
        </is>
      </c>
      <c r="H976" s="7" t="inlineStr">
        <is>
          <t>BFMAA.091.M010</t>
        </is>
      </c>
      <c r="I976" s="8" t="inlineStr">
        <is>
          <t>4 ABERTURA E FECHAMENTO, 9 FUSÕES, 3 TESTES</t>
        </is>
      </c>
      <c r="J976" s="8" t="inlineStr"/>
      <c r="K976" s="8" t="inlineStr">
        <is>
          <t>CATIA</t>
        </is>
      </c>
      <c r="L976" s="9" t="n">
        <v>46212</v>
      </c>
      <c r="M976" s="7" t="inlineStr"/>
      <c r="N976" s="7" t="inlineStr"/>
      <c r="O976" s="9" t="n">
        <v>46217</v>
      </c>
      <c r="P976" s="9" t="n">
        <v>46227</v>
      </c>
      <c r="Q976" s="9" t="n">
        <v>46227</v>
      </c>
      <c r="R976" s="7" t="inlineStr">
        <is>
          <t>Em Andamento</t>
        </is>
      </c>
      <c r="S976" s="7" t="inlineStr"/>
      <c r="T976" s="10" t="inlineStr"/>
      <c r="U976" s="7" t="inlineStr"/>
      <c r="V976" s="7" t="inlineStr"/>
      <c r="W976" s="7" t="inlineStr"/>
      <c r="X976" s="7" t="inlineStr">
        <is>
          <t>AG. MEDIÇÃO</t>
        </is>
      </c>
      <c r="Y976" s="11">
        <f>IF(AND(L976&lt;&gt;"", S976&lt;&gt;""), S976-L976, IF(L976&lt;&gt;"", TODAY()-L976, ""))</f>
        <v/>
      </c>
      <c r="Z976" s="7">
        <f>IF(Y976="", "", IF(Y976&lt;=3, "NO PRAZO", "ATRASADO"))</f>
        <v/>
      </c>
      <c r="AA976" s="8" t="inlineStr"/>
    </row>
    <row r="977" ht="20" customHeight="1">
      <c r="A977" s="7" t="inlineStr">
        <is>
          <t>RSCLER0971</t>
        </is>
      </c>
      <c r="B977" s="8" t="inlineStr">
        <is>
          <t>PORTO ALEGRE</t>
        </is>
      </c>
      <c r="C977" s="7" t="inlineStr">
        <is>
          <t>BFMAA</t>
        </is>
      </c>
      <c r="D977" s="7" t="inlineStr">
        <is>
          <t>RBRAFA</t>
        </is>
      </c>
      <c r="E977" s="7" t="inlineStr">
        <is>
          <t>PAE IND</t>
        </is>
      </c>
      <c r="F977" s="8" t="inlineStr">
        <is>
          <t>Edifício Residencial Don Felipe</t>
        </is>
      </c>
      <c r="G977" s="8" t="inlineStr">
        <is>
          <t>R FELIPE CAMARÃO 142</t>
        </is>
      </c>
      <c r="H977" s="7" t="inlineStr">
        <is>
          <t>BFMAA.092.M030</t>
        </is>
      </c>
      <c r="I977" s="8" t="inlineStr">
        <is>
          <t>4 ABERTURA E FECHAMENTO, 6 FUSÕES, 1 TESTE OTDR, 2 TESTES</t>
        </is>
      </c>
      <c r="J977" s="8" t="inlineStr"/>
      <c r="K977" s="8" t="inlineStr">
        <is>
          <t>CATIA</t>
        </is>
      </c>
      <c r="L977" s="9" t="n">
        <v>46216</v>
      </c>
      <c r="M977" s="7" t="inlineStr"/>
      <c r="N977" s="7" t="inlineStr"/>
      <c r="O977" s="9" t="n">
        <v>46217</v>
      </c>
      <c r="P977" s="9" t="n">
        <v>46251</v>
      </c>
      <c r="Q977" s="9" t="n">
        <v>46251</v>
      </c>
      <c r="R977" s="7" t="inlineStr">
        <is>
          <t>Concluído Campo</t>
        </is>
      </c>
      <c r="S977" s="7" t="inlineStr"/>
      <c r="T977" s="10" t="inlineStr"/>
      <c r="U977" s="7" t="inlineStr"/>
      <c r="V977" s="7" t="inlineStr"/>
      <c r="W977" s="7" t="inlineStr"/>
      <c r="X977" s="7" t="inlineStr">
        <is>
          <t>AG. MEDIÇÃO</t>
        </is>
      </c>
      <c r="Y977" s="11">
        <f>IF(AND(L977&lt;&gt;"", S977&lt;&gt;""), S977-L977, IF(L977&lt;&gt;"", TODAY()-L977, ""))</f>
        <v/>
      </c>
      <c r="Z977" s="7">
        <f>IF(Y977="", "", IF(Y977&lt;=3, "NO PRAZO", "ATRASADO"))</f>
        <v/>
      </c>
      <c r="AA977" s="8" t="inlineStr"/>
    </row>
    <row r="978" ht="20" customHeight="1">
      <c r="A978" s="7" t="inlineStr">
        <is>
          <t>RSCLER0972</t>
        </is>
      </c>
      <c r="B978" s="8" t="inlineStr">
        <is>
          <t>PORTO ALEGRE</t>
        </is>
      </c>
      <c r="C978" s="7" t="inlineStr">
        <is>
          <t>SANAA</t>
        </is>
      </c>
      <c r="D978" s="7" t="inlineStr">
        <is>
          <t>SANAE</t>
        </is>
      </c>
      <c r="E978" s="7" t="inlineStr">
        <is>
          <t>RSPCE22</t>
        </is>
      </c>
      <c r="F978" s="8" t="inlineStr">
        <is>
          <t>NAP LOTADA</t>
        </is>
      </c>
      <c r="G978" s="8" t="inlineStr">
        <is>
          <t>AV VENANCIO AIRES, 855</t>
        </is>
      </c>
      <c r="H978" s="7" t="inlineStr">
        <is>
          <t>SANAA.021.03.08</t>
        </is>
      </c>
      <c r="I978" s="8" t="inlineStr">
        <is>
          <t>2 ABERTURA E FECHAMENTO, 3 FUSÕES, 1 TESTE.</t>
        </is>
      </c>
      <c r="J978" s="8" t="inlineStr"/>
      <c r="K978" s="8" t="inlineStr">
        <is>
          <t>AFONSO</t>
        </is>
      </c>
      <c r="L978" s="9" t="n">
        <v>46202</v>
      </c>
      <c r="M978" s="7" t="inlineStr"/>
      <c r="N978" s="7" t="inlineStr"/>
      <c r="O978" s="9" t="n">
        <v>46203</v>
      </c>
      <c r="P978" s="9" t="n">
        <v>46212</v>
      </c>
      <c r="Q978" s="9" t="n">
        <v>46212</v>
      </c>
      <c r="R978" s="7" t="inlineStr">
        <is>
          <t>Concluído Campo</t>
        </is>
      </c>
      <c r="S978" s="7" t="inlineStr"/>
      <c r="T978" s="10" t="inlineStr"/>
      <c r="U978" s="7" t="inlineStr"/>
      <c r="V978" s="7" t="inlineStr"/>
      <c r="W978" s="7" t="inlineStr"/>
      <c r="X978" s="7" t="inlineStr">
        <is>
          <t>AG. MEDIÇÃO</t>
        </is>
      </c>
      <c r="Y978" s="11">
        <f>IF(AND(L978&lt;&gt;"", S978&lt;&gt;""), S978-L978, IF(L978&lt;&gt;"", TODAY()-L978, ""))</f>
        <v/>
      </c>
      <c r="Z978" s="7">
        <f>IF(Y978="", "", IF(Y978&lt;=3, "NO PRAZO", "ATRASADO"))</f>
        <v/>
      </c>
      <c r="AA978" s="8" t="inlineStr"/>
    </row>
    <row r="979" ht="20" customHeight="1">
      <c r="A979" s="7" t="inlineStr">
        <is>
          <t>RSCLER0973</t>
        </is>
      </c>
      <c r="B979" s="8" t="inlineStr">
        <is>
          <t>GUAÍBA</t>
        </is>
      </c>
      <c r="C979" s="7" t="inlineStr">
        <is>
          <t>CNT</t>
        </is>
      </c>
      <c r="D979" s="7" t="inlineStr"/>
      <c r="E979" s="7" t="inlineStr">
        <is>
          <t>GUBPP</t>
        </is>
      </c>
      <c r="F979" s="8" t="inlineStr"/>
      <c r="G979" s="8" t="inlineStr">
        <is>
          <t>R SÃO JOSE 435</t>
        </is>
      </c>
      <c r="H979" s="7" t="inlineStr">
        <is>
          <t>CNT04.M060</t>
        </is>
      </c>
      <c r="I979" s="8" t="inlineStr">
        <is>
          <t>FOI LANÇADO 697 METROS DE CABO DE 12FO, 3 ABERTURA E FECHAMENTO, 6 FUSÕES, 3 DERIVAÇÕES, 1 CX NOVA, 2 TESTES.</t>
        </is>
      </c>
      <c r="J979" s="8" t="inlineStr">
        <is>
          <t>CLEVERSON</t>
        </is>
      </c>
      <c r="K979" s="8" t="inlineStr">
        <is>
          <t>CLEVERSON</t>
        </is>
      </c>
      <c r="L979" s="9" t="n">
        <v>46216</v>
      </c>
      <c r="M979" s="7" t="inlineStr"/>
      <c r="N979" s="7" t="inlineStr"/>
      <c r="O979" s="9" t="n">
        <v>46219</v>
      </c>
      <c r="P979" s="9" t="n">
        <v>46220</v>
      </c>
      <c r="Q979" s="9" t="n">
        <v>46220</v>
      </c>
      <c r="R979" s="7" t="inlineStr">
        <is>
          <t>Concluído Campo</t>
        </is>
      </c>
      <c r="S979" s="7" t="inlineStr"/>
      <c r="T979" s="10" t="inlineStr"/>
      <c r="U979" s="7" t="inlineStr"/>
      <c r="V979" s="7" t="inlineStr"/>
      <c r="W979" s="7" t="inlineStr"/>
      <c r="X979" s="7" t="inlineStr">
        <is>
          <t>AG. MEDIÇÃO</t>
        </is>
      </c>
      <c r="Y979" s="11">
        <f>IF(AND(L979&lt;&gt;"", S979&lt;&gt;""), S979-L979, IF(L979&lt;&gt;"", TODAY()-L979, ""))</f>
        <v/>
      </c>
      <c r="Z979" s="7">
        <f>IF(Y979="", "", IF(Y979&lt;=3, "NO PRAZO", "ATRASADO"))</f>
        <v/>
      </c>
      <c r="AA979" s="8" t="inlineStr"/>
    </row>
    <row r="980" ht="20" customHeight="1">
      <c r="A980" s="7" t="inlineStr">
        <is>
          <t>RSCLER0974</t>
        </is>
      </c>
      <c r="B980" s="8" t="inlineStr">
        <is>
          <t>PORTO ALEGRE</t>
        </is>
      </c>
      <c r="C980" s="7" t="inlineStr">
        <is>
          <t>BFMAA</t>
        </is>
      </c>
      <c r="D980" s="7" t="inlineStr">
        <is>
          <t>RBRAFA</t>
        </is>
      </c>
      <c r="E980" s="7" t="inlineStr">
        <is>
          <t>PAE IND</t>
        </is>
      </c>
      <c r="F980" s="8" t="inlineStr"/>
      <c r="G980" s="8" t="inlineStr">
        <is>
          <t>R FELIPE CAMARÃO 72 , 96</t>
        </is>
      </c>
      <c r="H980" s="7" t="inlineStr">
        <is>
          <t>BFMAA.092.M030</t>
        </is>
      </c>
      <c r="I980" s="8" t="inlineStr">
        <is>
          <t>FOI LANÇADO 454 METROS DE CABO DE 12 FO, 4 ABERTURA E FECHAMENTO, 12 FUSÕES, 3 DERIVAÇÕES, 5 TESTES.</t>
        </is>
      </c>
      <c r="J980" s="8" t="inlineStr">
        <is>
          <t>TIAGO FERREIRA</t>
        </is>
      </c>
      <c r="K980" s="8" t="inlineStr">
        <is>
          <t>CATIA</t>
        </is>
      </c>
      <c r="L980" s="9" t="n">
        <v>46217</v>
      </c>
      <c r="M980" s="7" t="inlineStr"/>
      <c r="N980" s="7" t="inlineStr"/>
      <c r="O980" s="9" t="n">
        <v>46221</v>
      </c>
      <c r="P980" s="9" t="n">
        <v>46251</v>
      </c>
      <c r="Q980" s="9" t="n">
        <v>46251</v>
      </c>
      <c r="R980" s="7" t="inlineStr">
        <is>
          <t>Concluído Campo</t>
        </is>
      </c>
      <c r="S980" s="7" t="inlineStr"/>
      <c r="T980" s="10" t="inlineStr"/>
      <c r="U980" s="7" t="inlineStr"/>
      <c r="V980" s="7" t="inlineStr"/>
      <c r="W980" s="7" t="inlineStr"/>
      <c r="X980" s="7" t="inlineStr">
        <is>
          <t>AG. MEDIÇÃO</t>
        </is>
      </c>
      <c r="Y980" s="11">
        <f>IF(AND(L980&lt;&gt;"", S980&lt;&gt;""), S980-L980, IF(L980&lt;&gt;"", TODAY()-L980, ""))</f>
        <v/>
      </c>
      <c r="Z980" s="7">
        <f>IF(Y980="", "", IF(Y980&lt;=3, "NO PRAZO", "ATRASADO"))</f>
        <v/>
      </c>
      <c r="AA980" s="8" t="inlineStr"/>
    </row>
    <row r="981" ht="20" customHeight="1">
      <c r="A981" s="7" t="inlineStr">
        <is>
          <t>RSCLER0975</t>
        </is>
      </c>
      <c r="B981" s="8" t="inlineStr">
        <is>
          <t>PORTO ALEGRE</t>
        </is>
      </c>
      <c r="C981" s="7" t="inlineStr">
        <is>
          <t>TRLAA</t>
        </is>
      </c>
      <c r="D981" s="7" t="inlineStr"/>
      <c r="E981" s="7" t="inlineStr"/>
      <c r="F981" s="8" t="inlineStr">
        <is>
          <t>Condominio Residencial São Caetano</t>
        </is>
      </c>
      <c r="G981" s="8" t="inlineStr">
        <is>
          <t>PRAÇA SÃO CAETANO 90</t>
        </is>
      </c>
      <c r="H981" s="7" t="inlineStr">
        <is>
          <t>TRLAA.211</t>
        </is>
      </c>
      <c r="I981" s="8" t="inlineStr">
        <is>
          <t>FOI LANÇADO 309 METROS DE CABO 12FO, 1 ABERTURA E FECHAMENTO, 1 DERIVAÇÃO, 4 NAP NOVA, 4 TESTES. COBRAR AS BULTS.</t>
        </is>
      </c>
      <c r="J981" s="8" t="inlineStr">
        <is>
          <t>CLEVERSON</t>
        </is>
      </c>
      <c r="K981" s="8" t="inlineStr">
        <is>
          <t>CLEVERSON</t>
        </is>
      </c>
      <c r="L981" s="9" t="n">
        <v>46216</v>
      </c>
      <c r="M981" s="7" t="inlineStr"/>
      <c r="N981" s="7" t="inlineStr"/>
      <c r="O981" s="9" t="n">
        <v>46217</v>
      </c>
      <c r="P981" s="9" t="n">
        <v>46220</v>
      </c>
      <c r="Q981" s="9" t="n">
        <v>46220</v>
      </c>
      <c r="R981" s="7" t="inlineStr">
        <is>
          <t>Concluído Campo</t>
        </is>
      </c>
      <c r="S981" s="7" t="inlineStr"/>
      <c r="T981" s="10" t="inlineStr"/>
      <c r="U981" s="7" t="inlineStr"/>
      <c r="V981" s="7" t="inlineStr"/>
      <c r="W981" s="7" t="inlineStr"/>
      <c r="X981" s="7" t="inlineStr">
        <is>
          <t>AG. MEDIÇÃO</t>
        </is>
      </c>
      <c r="Y981" s="11">
        <f>IF(AND(L981&lt;&gt;"", S981&lt;&gt;""), S981-L981, IF(L981&lt;&gt;"", TODAY()-L981, ""))</f>
        <v/>
      </c>
      <c r="Z981" s="7">
        <f>IF(Y981="", "", IF(Y981&lt;=3, "NO PRAZO", "ATRASADO"))</f>
        <v/>
      </c>
      <c r="AA981" s="8" t="inlineStr"/>
    </row>
    <row r="982" ht="20" customHeight="1">
      <c r="A982" s="7" t="inlineStr">
        <is>
          <t>RSCLER0976</t>
        </is>
      </c>
      <c r="B982" s="8" t="inlineStr">
        <is>
          <t>NOVO HAMBURGO</t>
        </is>
      </c>
      <c r="C982" s="7" t="inlineStr">
        <is>
          <t>RNDAA</t>
        </is>
      </c>
      <c r="D982" s="7" t="inlineStr"/>
      <c r="E982" s="7" t="inlineStr">
        <is>
          <t>RSNHO12</t>
        </is>
      </c>
      <c r="F982" s="8" t="inlineStr">
        <is>
          <t>CONDOMINIO FRANKFURT</t>
        </is>
      </c>
      <c r="G982" s="8" t="inlineStr">
        <is>
          <t>R OSWALDO ARTUR HARTZ,870</t>
        </is>
      </c>
      <c r="H982" s="7" t="inlineStr">
        <is>
          <t>RNDAA.401.M010</t>
        </is>
      </c>
      <c r="I982" s="8" t="inlineStr">
        <is>
          <t>3 ABERTURA E FECHAMENTO, 12 FUSÕES, 5 TESTES, 3 TESTE OTDR</t>
        </is>
      </c>
      <c r="J982" s="8" t="inlineStr"/>
      <c r="K982" s="8" t="inlineStr">
        <is>
          <t>CATIA</t>
        </is>
      </c>
      <c r="L982" s="9" t="n">
        <v>46217</v>
      </c>
      <c r="M982" s="7" t="inlineStr"/>
      <c r="N982" s="7" t="inlineStr"/>
      <c r="O982" s="9" t="n">
        <v>46218</v>
      </c>
      <c r="P982" s="9" t="n">
        <v>46251</v>
      </c>
      <c r="Q982" s="9" t="n">
        <v>46251</v>
      </c>
      <c r="R982" s="7" t="inlineStr">
        <is>
          <t>Concluído Campo</t>
        </is>
      </c>
      <c r="S982" s="7" t="inlineStr"/>
      <c r="T982" s="10" t="inlineStr"/>
      <c r="U982" s="7" t="inlineStr"/>
      <c r="V982" s="7" t="inlineStr"/>
      <c r="W982" s="7" t="inlineStr"/>
      <c r="X982" s="7" t="inlineStr">
        <is>
          <t>AG. MEDIÇÃO</t>
        </is>
      </c>
      <c r="Y982" s="11">
        <f>IF(AND(L982&lt;&gt;"", S982&lt;&gt;""), S982-L982, IF(L982&lt;&gt;"", TODAY()-L982, ""))</f>
        <v/>
      </c>
      <c r="Z982" s="7">
        <f>IF(Y982="", "", IF(Y982&lt;=3, "NO PRAZO", "ATRASADO"))</f>
        <v/>
      </c>
      <c r="AA982" s="8" t="inlineStr"/>
    </row>
    <row r="983" ht="20" customHeight="1">
      <c r="A983" s="7" t="inlineStr">
        <is>
          <t>RSCLER0977</t>
        </is>
      </c>
      <c r="B983" s="8" t="inlineStr">
        <is>
          <t>NOVO HAMBURGO</t>
        </is>
      </c>
      <c r="C983" s="7" t="inlineStr">
        <is>
          <t>CNUAB</t>
        </is>
      </c>
      <c r="D983" s="7" t="inlineStr"/>
      <c r="E983" s="7" t="inlineStr">
        <is>
          <t>RSNHO09</t>
        </is>
      </c>
      <c r="F983" s="8" t="inlineStr">
        <is>
          <t>MUNDO NOVO</t>
        </is>
      </c>
      <c r="G983" s="8" t="inlineStr">
        <is>
          <t>JOAO NUNES DA SILVA 194</t>
        </is>
      </c>
      <c r="H983" s="7" t="inlineStr">
        <is>
          <t>CNUAB.401.M060</t>
        </is>
      </c>
      <c r="I983" s="8" t="inlineStr">
        <is>
          <t>FOI LANÇADO 802 METROS DE CABO DE 12FO, 3 ABERTURA E FECHAMENTO, 3 CX NOVA, 2 DERIVAÇÃO, 32 FUSÕES, 5 TESTES. 2 TESTES OTDR.</t>
        </is>
      </c>
      <c r="J983" s="8" t="inlineStr">
        <is>
          <t>ADRIANO</t>
        </is>
      </c>
      <c r="K983" s="8" t="inlineStr">
        <is>
          <t>CATIA</t>
        </is>
      </c>
      <c r="L983" s="9" t="n">
        <v>46230</v>
      </c>
      <c r="M983" s="7" t="inlineStr"/>
      <c r="N983" s="7" t="inlineStr"/>
      <c r="O983" s="9" t="n">
        <v>46226</v>
      </c>
      <c r="P983" s="9" t="n">
        <v>46221</v>
      </c>
      <c r="Q983" s="9" t="n">
        <v>46221</v>
      </c>
      <c r="R983" s="7" t="inlineStr">
        <is>
          <t>Concluído Campo</t>
        </is>
      </c>
      <c r="S983" s="7" t="inlineStr"/>
      <c r="T983" s="10" t="inlineStr"/>
      <c r="U983" s="7" t="inlineStr"/>
      <c r="V983" s="7" t="inlineStr"/>
      <c r="W983" s="7" t="inlineStr"/>
      <c r="X983" s="7" t="inlineStr">
        <is>
          <t>AG. MEDIÇÃO</t>
        </is>
      </c>
      <c r="Y983" s="11">
        <f>IF(AND(L983&lt;&gt;"", S983&lt;&gt;""), S983-L983, IF(L983&lt;&gt;"", TODAY()-L983, ""))</f>
        <v/>
      </c>
      <c r="Z983" s="7">
        <f>IF(Y983="", "", IF(Y983&lt;=3, "NO PRAZO", "ATRASADO"))</f>
        <v/>
      </c>
      <c r="AA983" s="8" t="inlineStr"/>
    </row>
    <row r="984" ht="20" customHeight="1">
      <c r="A984" s="7" t="inlineStr">
        <is>
          <t>RSCLER0978</t>
        </is>
      </c>
      <c r="B984" s="8" t="inlineStr">
        <is>
          <t>PORTO ALEGRE</t>
        </is>
      </c>
      <c r="C984" s="7" t="inlineStr">
        <is>
          <t>BVSAB</t>
        </is>
      </c>
      <c r="D984" s="7" t="inlineStr">
        <is>
          <t>JSOABA</t>
        </is>
      </c>
      <c r="E984" s="7" t="inlineStr">
        <is>
          <t>PAE NR</t>
        </is>
      </c>
      <c r="F984" s="8" t="inlineStr"/>
      <c r="G984" s="8" t="inlineStr">
        <is>
          <t>Pfr. Pedro Santa Helena 140</t>
        </is>
      </c>
      <c r="H984" s="7" t="inlineStr">
        <is>
          <t>BVSAB.274.M040</t>
        </is>
      </c>
      <c r="I984" s="8" t="inlineStr">
        <is>
          <t>3 ABERTURA E FECHAMENTO, 3 FUSÕES, 1 TESTE.</t>
        </is>
      </c>
      <c r="J984" s="8" t="inlineStr"/>
      <c r="K984" s="8" t="inlineStr">
        <is>
          <t>DAVID SALOMÃO</t>
        </is>
      </c>
      <c r="L984" s="9" t="n">
        <v>46207</v>
      </c>
      <c r="M984" s="7" t="inlineStr"/>
      <c r="N984" s="7" t="inlineStr"/>
      <c r="O984" s="9" t="n">
        <v>46207</v>
      </c>
      <c r="P984" s="9" t="n">
        <v>46218</v>
      </c>
      <c r="Q984" s="9" t="n">
        <v>46218</v>
      </c>
      <c r="R984" s="7" t="inlineStr">
        <is>
          <t>Concluído Campo</t>
        </is>
      </c>
      <c r="S984" s="7" t="inlineStr"/>
      <c r="T984" s="10" t="inlineStr"/>
      <c r="U984" s="7" t="inlineStr"/>
      <c r="V984" s="7" t="inlineStr"/>
      <c r="W984" s="7" t="inlineStr"/>
      <c r="X984" s="7" t="inlineStr">
        <is>
          <t>AG. MEDIÇÃO</t>
        </is>
      </c>
      <c r="Y984" s="11">
        <f>IF(AND(L984&lt;&gt;"", S984&lt;&gt;""), S984-L984, IF(L984&lt;&gt;"", TODAY()-L984, ""))</f>
        <v/>
      </c>
      <c r="Z984" s="7">
        <f>IF(Y984="", "", IF(Y984&lt;=3, "NO PRAZO", "ATRASADO"))</f>
        <v/>
      </c>
      <c r="AA984" s="8" t="inlineStr"/>
    </row>
    <row r="985" ht="20" customHeight="1">
      <c r="A985" s="7" t="inlineStr">
        <is>
          <t>RSCLER0979</t>
        </is>
      </c>
      <c r="B985" s="8" t="inlineStr">
        <is>
          <t>PORTO ALEGRE</t>
        </is>
      </c>
      <c r="C985" s="7" t="inlineStr">
        <is>
          <t>CNTAA</t>
        </is>
      </c>
      <c r="D985" s="7" t="inlineStr">
        <is>
          <t>CNTAL</t>
        </is>
      </c>
      <c r="E985" s="7" t="inlineStr">
        <is>
          <t>PAE MF</t>
        </is>
      </c>
      <c r="F985" s="8" t="inlineStr">
        <is>
          <t>Condomínio Edifício Itaroquem</t>
        </is>
      </c>
      <c r="G985" s="8" t="inlineStr">
        <is>
          <t>R Duque de Caxias,1576</t>
        </is>
      </c>
      <c r="H985" s="7" t="inlineStr">
        <is>
          <t>CNTAA.131.M020</t>
        </is>
      </c>
      <c r="I985" s="8" t="inlineStr">
        <is>
          <t>2 ABERTURA E FECHAMENTO, 4 FUSÕES, 2 TESTES.</t>
        </is>
      </c>
      <c r="J985" s="8" t="inlineStr"/>
      <c r="K985" s="8" t="inlineStr">
        <is>
          <t>CATIA</t>
        </is>
      </c>
      <c r="L985" s="9" t="n">
        <v>46206</v>
      </c>
      <c r="M985" s="7" t="inlineStr"/>
      <c r="N985" s="7" t="inlineStr"/>
      <c r="O985" s="9" t="n">
        <v>46206</v>
      </c>
      <c r="P985" s="9" t="n">
        <v>46223</v>
      </c>
      <c r="Q985" s="9" t="n">
        <v>46223</v>
      </c>
      <c r="R985" s="7" t="inlineStr">
        <is>
          <t>Concluído Campo</t>
        </is>
      </c>
      <c r="S985" s="7" t="inlineStr"/>
      <c r="T985" s="10" t="inlineStr"/>
      <c r="U985" s="7" t="inlineStr"/>
      <c r="V985" s="7" t="inlineStr"/>
      <c r="W985" s="7" t="inlineStr"/>
      <c r="X985" s="7" t="inlineStr">
        <is>
          <t>AG. MEDIÇÃO</t>
        </is>
      </c>
      <c r="Y985" s="11">
        <f>IF(AND(L985&lt;&gt;"", S985&lt;&gt;""), S985-L985, IF(L985&lt;&gt;"", TODAY()-L985, ""))</f>
        <v/>
      </c>
      <c r="Z985" s="7">
        <f>IF(Y985="", "", IF(Y985&lt;=3, "NO PRAZO", "ATRASADO"))</f>
        <v/>
      </c>
      <c r="AA985" s="8" t="inlineStr"/>
    </row>
    <row r="986" ht="20" customHeight="1">
      <c r="A986" s="7" t="inlineStr">
        <is>
          <t>RSCLER0980</t>
        </is>
      </c>
      <c r="B986" s="8" t="inlineStr">
        <is>
          <t>PORTO ALEGRE</t>
        </is>
      </c>
      <c r="C986" s="7" t="inlineStr">
        <is>
          <t>PETAA</t>
        </is>
      </c>
      <c r="D986" s="7" t="inlineStr">
        <is>
          <t>PETAR</t>
        </is>
      </c>
      <c r="E986" s="7" t="inlineStr">
        <is>
          <t>RSPLE11</t>
        </is>
      </c>
      <c r="F986" s="8" t="inlineStr">
        <is>
          <t>Edifício Abott Carazinho</t>
        </is>
      </c>
      <c r="G986" s="8" t="inlineStr">
        <is>
          <t>R CARAZINHO 242</t>
        </is>
      </c>
      <c r="H986" s="7" t="inlineStr">
        <is>
          <t>PETAA.152.M030</t>
        </is>
      </c>
      <c r="I986" s="8" t="inlineStr">
        <is>
          <t>4 ABERTURA E FECHAMENTO, 11 FUSÕES, 5 TESTES.1 TESTE OTDR, 1 DERIVAÇÃO.</t>
        </is>
      </c>
      <c r="J986" s="8" t="inlineStr"/>
      <c r="K986" s="8" t="inlineStr">
        <is>
          <t>CATIA</t>
        </is>
      </c>
      <c r="L986" s="9" t="n">
        <v>46224</v>
      </c>
      <c r="M986" s="7" t="inlineStr"/>
      <c r="N986" s="7" t="inlineStr"/>
      <c r="O986" s="9" t="n">
        <v>46227</v>
      </c>
      <c r="P986" s="9" t="n">
        <v>46252</v>
      </c>
      <c r="Q986" s="9" t="n">
        <v>46252</v>
      </c>
      <c r="R986" s="7" t="inlineStr">
        <is>
          <t>Concluído Campo</t>
        </is>
      </c>
      <c r="S986" s="7" t="inlineStr"/>
      <c r="T986" s="10" t="inlineStr"/>
      <c r="U986" s="7" t="inlineStr"/>
      <c r="V986" s="7" t="inlineStr"/>
      <c r="W986" s="7" t="inlineStr"/>
      <c r="X986" s="7" t="inlineStr">
        <is>
          <t>AG. MEDIÇÃO</t>
        </is>
      </c>
      <c r="Y986" s="11">
        <f>IF(AND(L986&lt;&gt;"", S986&lt;&gt;""), S986-L986, IF(L986&lt;&gt;"", TODAY()-L986, ""))</f>
        <v/>
      </c>
      <c r="Z986" s="7">
        <f>IF(Y986="", "", IF(Y986&lt;=3, "NO PRAZO", "ATRASADO"))</f>
        <v/>
      </c>
      <c r="AA986" s="8" t="inlineStr"/>
    </row>
    <row r="987" ht="20" customHeight="1">
      <c r="A987" s="7" t="inlineStr">
        <is>
          <t>RSCLER0981</t>
        </is>
      </c>
      <c r="B987" s="8" t="inlineStr">
        <is>
          <t>PORTO ALEGRE</t>
        </is>
      </c>
      <c r="C987" s="7" t="inlineStr">
        <is>
          <t>PETAA</t>
        </is>
      </c>
      <c r="D987" s="7" t="inlineStr">
        <is>
          <t>PETAR</t>
        </is>
      </c>
      <c r="E987" s="7" t="inlineStr">
        <is>
          <t>RSPLE11</t>
        </is>
      </c>
      <c r="F987" s="8" t="inlineStr">
        <is>
          <t>Edifício Solar Petrópolis</t>
        </is>
      </c>
      <c r="G987" s="8" t="inlineStr">
        <is>
          <t>R CARAZINHO 299</t>
        </is>
      </c>
      <c r="H987" s="7" t="inlineStr">
        <is>
          <t>PETAA.152.M030</t>
        </is>
      </c>
      <c r="I987" s="8" t="inlineStr">
        <is>
          <t>COBRAR JUNTO COM A OS RSCLER0980</t>
        </is>
      </c>
      <c r="J987" s="8" t="inlineStr"/>
      <c r="K987" s="8" t="inlineStr">
        <is>
          <t>CATIA</t>
        </is>
      </c>
      <c r="L987" s="9" t="n">
        <v>46224</v>
      </c>
      <c r="M987" s="7" t="inlineStr"/>
      <c r="N987" s="7" t="inlineStr"/>
      <c r="O987" s="9" t="n">
        <v>46227</v>
      </c>
      <c r="P987" s="9" t="n">
        <v>46252</v>
      </c>
      <c r="Q987" s="9" t="n">
        <v>46252</v>
      </c>
      <c r="R987" s="7" t="inlineStr">
        <is>
          <t>Concluído Campo</t>
        </is>
      </c>
      <c r="S987" s="7" t="inlineStr"/>
      <c r="T987" s="10" t="inlineStr"/>
      <c r="U987" s="7" t="inlineStr"/>
      <c r="V987" s="7" t="inlineStr"/>
      <c r="W987" s="7" t="inlineStr"/>
      <c r="X987" s="7" t="inlineStr">
        <is>
          <t>AG. MEDIÇÃO</t>
        </is>
      </c>
      <c r="Y987" s="11">
        <f>IF(AND(L987&lt;&gt;"", S987&lt;&gt;""), S987-L987, IF(L987&lt;&gt;"", TODAY()-L987, ""))</f>
        <v/>
      </c>
      <c r="Z987" s="7">
        <f>IF(Y987="", "", IF(Y987&lt;=3, "NO PRAZO", "ATRASADO"))</f>
        <v/>
      </c>
      <c r="AA987" s="8" t="inlineStr"/>
    </row>
    <row r="988" ht="20" customHeight="1">
      <c r="A988" s="7" t="inlineStr">
        <is>
          <t>RSCLER0982</t>
        </is>
      </c>
      <c r="B988" s="8" t="inlineStr">
        <is>
          <t>PORTO ALEGRE</t>
        </is>
      </c>
      <c r="C988" s="7" t="inlineStr">
        <is>
          <t>PETAA</t>
        </is>
      </c>
      <c r="D988" s="7" t="inlineStr">
        <is>
          <t>PETAR</t>
        </is>
      </c>
      <c r="E988" s="7" t="inlineStr">
        <is>
          <t>RSPLE11</t>
        </is>
      </c>
      <c r="F988" s="8" t="inlineStr"/>
      <c r="G988" s="8" t="inlineStr">
        <is>
          <t>AV TAQUARA 422</t>
        </is>
      </c>
      <c r="H988" s="7" t="inlineStr">
        <is>
          <t>PETAA.154.M040</t>
        </is>
      </c>
      <c r="I988" s="8" t="inlineStr">
        <is>
          <t>2 ABERTURA E FECHAMENTO, 2 FUSÕES, 1 TESTE.</t>
        </is>
      </c>
      <c r="J988" s="8" t="inlineStr"/>
      <c r="K988" s="8" t="inlineStr">
        <is>
          <t>CATIA</t>
        </is>
      </c>
      <c r="L988" s="9" t="n">
        <v>46224</v>
      </c>
      <c r="M988" s="7" t="inlineStr"/>
      <c r="N988" s="7" t="inlineStr"/>
      <c r="O988" s="9" t="n">
        <v>46227</v>
      </c>
      <c r="P988" s="9" t="n">
        <v>46252</v>
      </c>
      <c r="Q988" s="9" t="n">
        <v>46252</v>
      </c>
      <c r="R988" s="7" t="inlineStr">
        <is>
          <t>Concluído Campo</t>
        </is>
      </c>
      <c r="S988" s="7" t="inlineStr"/>
      <c r="T988" s="10" t="inlineStr"/>
      <c r="U988" s="7" t="inlineStr"/>
      <c r="V988" s="7" t="inlineStr"/>
      <c r="W988" s="7" t="inlineStr"/>
      <c r="X988" s="7" t="inlineStr">
        <is>
          <t>AG. MEDIÇÃO</t>
        </is>
      </c>
      <c r="Y988" s="11">
        <f>IF(AND(L988&lt;&gt;"", S988&lt;&gt;""), S988-L988, IF(L988&lt;&gt;"", TODAY()-L988, ""))</f>
        <v/>
      </c>
      <c r="Z988" s="7">
        <f>IF(Y988="", "", IF(Y988&lt;=3, "NO PRAZO", "ATRASADO"))</f>
        <v/>
      </c>
      <c r="AA988" s="8" t="inlineStr"/>
    </row>
    <row r="989" ht="20" customHeight="1">
      <c r="A989" s="7" t="inlineStr">
        <is>
          <t>RSCLER0983</t>
        </is>
      </c>
      <c r="B989" s="8" t="inlineStr">
        <is>
          <t>PORTO ALEGRE</t>
        </is>
      </c>
      <c r="C989" s="7" t="inlineStr">
        <is>
          <t>PETAA</t>
        </is>
      </c>
      <c r="D989" s="7" t="inlineStr"/>
      <c r="E989" s="7" t="inlineStr">
        <is>
          <t>RSPLE11</t>
        </is>
      </c>
      <c r="F989" s="8" t="inlineStr">
        <is>
          <t>Edifício Giardino Di Sorrento</t>
        </is>
      </c>
      <c r="G989" s="8" t="inlineStr">
        <is>
          <t>AV ALEGRETE 318</t>
        </is>
      </c>
      <c r="H989" s="7" t="inlineStr">
        <is>
          <t>PETAA.082.M030</t>
        </is>
      </c>
      <c r="I989" s="8" t="inlineStr">
        <is>
          <t>2 ABERTURA E FECHAMENTO, 1 DERIVAÇÃO, 10 FUSÃO, 5 TESTES</t>
        </is>
      </c>
      <c r="J989" s="8" t="inlineStr"/>
      <c r="K989" s="8" t="inlineStr">
        <is>
          <t>CATIA</t>
        </is>
      </c>
      <c r="L989" s="9" t="n">
        <v>46223</v>
      </c>
      <c r="M989" s="7" t="inlineStr"/>
      <c r="N989" s="9" t="n">
        <v>46227</v>
      </c>
      <c r="O989" s="9" t="n">
        <v>46227</v>
      </c>
      <c r="P989" s="9" t="n">
        <v>46253</v>
      </c>
      <c r="Q989" s="9" t="n">
        <v>46253</v>
      </c>
      <c r="R989" s="7" t="inlineStr">
        <is>
          <t>Concluído Campo</t>
        </is>
      </c>
      <c r="S989" s="7" t="inlineStr"/>
      <c r="T989" s="10" t="inlineStr"/>
      <c r="U989" s="7" t="inlineStr"/>
      <c r="V989" s="7" t="inlineStr"/>
      <c r="W989" s="7" t="inlineStr"/>
      <c r="X989" s="7" t="inlineStr">
        <is>
          <t>AG. MEDIÇÃO</t>
        </is>
      </c>
      <c r="Y989" s="11">
        <f>IF(AND(L989&lt;&gt;"", S989&lt;&gt;""), S989-L989, IF(L989&lt;&gt;"", TODAY()-L989, ""))</f>
        <v/>
      </c>
      <c r="Z989" s="7">
        <f>IF(Y989="", "", IF(Y989&lt;=3, "NO PRAZO", "ATRASADO"))</f>
        <v/>
      </c>
      <c r="AA989" s="8" t="inlineStr"/>
    </row>
    <row r="990" ht="20" customHeight="1">
      <c r="A990" s="7" t="inlineStr">
        <is>
          <t>RSCLER0984</t>
        </is>
      </c>
      <c r="B990" s="8" t="inlineStr">
        <is>
          <t>PORTO ALEGRE</t>
        </is>
      </c>
      <c r="C990" s="7" t="inlineStr">
        <is>
          <t>BFMAA</t>
        </is>
      </c>
      <c r="D990" s="7" t="inlineStr">
        <is>
          <t>RBRAFA</t>
        </is>
      </c>
      <c r="E990" s="7" t="inlineStr">
        <is>
          <t>PAE IND</t>
        </is>
      </c>
      <c r="F990" s="8" t="inlineStr"/>
      <c r="G990" s="8" t="inlineStr">
        <is>
          <t>R CASTRO ALVES 45</t>
        </is>
      </c>
      <c r="H990" s="7" t="inlineStr">
        <is>
          <t>BFMAA.091.M010</t>
        </is>
      </c>
      <c r="I990" s="8" t="inlineStr">
        <is>
          <t>2 ABERTURA E FECHAMENTO, 4 FUSÕES, 2 TESTES OTDR</t>
        </is>
      </c>
      <c r="J990" s="8" t="inlineStr"/>
      <c r="K990" s="8" t="inlineStr">
        <is>
          <t>CATIA</t>
        </is>
      </c>
      <c r="L990" s="9" t="n">
        <v>46219</v>
      </c>
      <c r="M990" s="7" t="inlineStr"/>
      <c r="N990" s="7" t="inlineStr"/>
      <c r="O990" s="9" t="n">
        <v>46221</v>
      </c>
      <c r="P990" s="9" t="n">
        <v>46221</v>
      </c>
      <c r="Q990" s="9" t="n">
        <v>46221</v>
      </c>
      <c r="R990" s="7" t="inlineStr">
        <is>
          <t>Concluído Campo</t>
        </is>
      </c>
      <c r="S990" s="7" t="inlineStr"/>
      <c r="T990" s="10" t="inlineStr"/>
      <c r="U990" s="7" t="inlineStr"/>
      <c r="V990" s="7" t="inlineStr"/>
      <c r="W990" s="7" t="inlineStr"/>
      <c r="X990" s="7" t="inlineStr">
        <is>
          <t>AG. MEDIÇÃO</t>
        </is>
      </c>
      <c r="Y990" s="11">
        <f>IF(AND(L990&lt;&gt;"", S990&lt;&gt;""), S990-L990, IF(L990&lt;&gt;"", TODAY()-L990, ""))</f>
        <v/>
      </c>
      <c r="Z990" s="7">
        <f>IF(Y990="", "", IF(Y990&lt;=3, "NO PRAZO", "ATRASADO"))</f>
        <v/>
      </c>
      <c r="AA990" s="8" t="inlineStr"/>
    </row>
    <row r="991" ht="20" customHeight="1">
      <c r="A991" s="7" t="inlineStr">
        <is>
          <t>RSCLER0985</t>
        </is>
      </c>
      <c r="B991" s="8" t="inlineStr">
        <is>
          <t>PORTO ALEGRE</t>
        </is>
      </c>
      <c r="C991" s="7" t="inlineStr">
        <is>
          <t>BFMAA</t>
        </is>
      </c>
      <c r="D991" s="7" t="inlineStr">
        <is>
          <t>FLOAPB</t>
        </is>
      </c>
      <c r="E991" s="7" t="inlineStr">
        <is>
          <t>PAE IND</t>
        </is>
      </c>
      <c r="F991" s="8" t="inlineStr">
        <is>
          <t>COND CONCORDIA</t>
        </is>
      </c>
      <c r="G991" s="8" t="inlineStr">
        <is>
          <t>R HOFFMANN 543</t>
        </is>
      </c>
      <c r="H991" s="7" t="inlineStr">
        <is>
          <t>BFMAA.031.M010</t>
        </is>
      </c>
      <c r="I991" s="8" t="inlineStr">
        <is>
          <t>3 ABERTURA E FECHAMENTO, 2 FUSÃO, 1 TESTE.</t>
        </is>
      </c>
      <c r="J991" s="8" t="inlineStr"/>
      <c r="K991" s="8" t="inlineStr">
        <is>
          <t>CLEVERSON / CATIA</t>
        </is>
      </c>
      <c r="L991" s="9" t="n">
        <v>46219</v>
      </c>
      <c r="M991" s="7" t="inlineStr"/>
      <c r="N991" s="7" t="inlineStr"/>
      <c r="O991" s="9" t="n">
        <v>46226</v>
      </c>
      <c r="P991" s="9" t="n">
        <v>46227</v>
      </c>
      <c r="Q991" s="9" t="n">
        <v>46227</v>
      </c>
      <c r="R991" s="7" t="inlineStr">
        <is>
          <t>Concluído Campo</t>
        </is>
      </c>
      <c r="S991" s="7" t="inlineStr"/>
      <c r="T991" s="10" t="inlineStr"/>
      <c r="U991" s="7" t="inlineStr"/>
      <c r="V991" s="7" t="inlineStr"/>
      <c r="W991" s="7" t="inlineStr"/>
      <c r="X991" s="7" t="inlineStr">
        <is>
          <t>AG. MEDIÇÃO</t>
        </is>
      </c>
      <c r="Y991" s="11">
        <f>IF(AND(L991&lt;&gt;"", S991&lt;&gt;""), S991-L991, IF(L991&lt;&gt;"", TODAY()-L991, ""))</f>
        <v/>
      </c>
      <c r="Z991" s="7">
        <f>IF(Y991="", "", IF(Y991&lt;=3, "NO PRAZO", "ATRASADO"))</f>
        <v/>
      </c>
      <c r="AA991" s="8" t="inlineStr"/>
    </row>
    <row r="992" ht="20" customHeight="1">
      <c r="A992" s="7" t="inlineStr">
        <is>
          <t>RSCLER0986</t>
        </is>
      </c>
      <c r="B992" s="8" t="inlineStr">
        <is>
          <t>PORTO ALEGRE</t>
        </is>
      </c>
      <c r="C992" s="7" t="inlineStr">
        <is>
          <t>BFMAA</t>
        </is>
      </c>
      <c r="D992" s="7" t="inlineStr">
        <is>
          <t>RBRAFA</t>
        </is>
      </c>
      <c r="E992" s="7" t="inlineStr">
        <is>
          <t>PAE IND</t>
        </is>
      </c>
      <c r="F992" s="8" t="inlineStr"/>
      <c r="G992" s="8" t="inlineStr">
        <is>
          <t>R CASTRO ALVES 45 / R FERNANDES VIEIRA 181</t>
        </is>
      </c>
      <c r="H992" s="7" t="inlineStr">
        <is>
          <t>BFMAA.091.M010</t>
        </is>
      </c>
      <c r="I992" s="8" t="inlineStr">
        <is>
          <t>FOI LANÇADO 506 METROS DE CABO DE 48FO E 147 METROS DE CABO DE 12FO, 1 ABERTURA E FECHAMENTO, 2 CX NOVAS, 3 DERIVAÇÃO, 12 FUSÕES, 6 TESTES. COBRAR AS BUILTS.</t>
        </is>
      </c>
      <c r="J992" s="8" t="inlineStr">
        <is>
          <t>CLEVERSON</t>
        </is>
      </c>
      <c r="K992" s="8" t="inlineStr">
        <is>
          <t>CLEVERSON</t>
        </is>
      </c>
      <c r="L992" s="9" t="n">
        <v>46220</v>
      </c>
      <c r="M992" s="7" t="inlineStr"/>
      <c r="N992" s="7" t="inlineStr"/>
      <c r="O992" s="9" t="n">
        <v>46221</v>
      </c>
      <c r="P992" s="9" t="n">
        <v>46227</v>
      </c>
      <c r="Q992" s="9" t="n">
        <v>46227</v>
      </c>
      <c r="R992" s="7" t="inlineStr">
        <is>
          <t>Concluído Campo</t>
        </is>
      </c>
      <c r="S992" s="7" t="inlineStr"/>
      <c r="T992" s="10" t="inlineStr"/>
      <c r="U992" s="7" t="inlineStr"/>
      <c r="V992" s="7" t="inlineStr"/>
      <c r="W992" s="7" t="inlineStr"/>
      <c r="X992" s="7" t="inlineStr">
        <is>
          <t>AG. MEDIÇÃO</t>
        </is>
      </c>
      <c r="Y992" s="11">
        <f>IF(AND(L992&lt;&gt;"", S992&lt;&gt;""), S992-L992, IF(L992&lt;&gt;"", TODAY()-L992, ""))</f>
        <v/>
      </c>
      <c r="Z992" s="7">
        <f>IF(Y992="", "", IF(Y992&lt;=3, "NO PRAZO", "ATRASADO"))</f>
        <v/>
      </c>
      <c r="AA992" s="8" t="inlineStr"/>
    </row>
    <row r="993" ht="20" customHeight="1">
      <c r="A993" s="7" t="inlineStr">
        <is>
          <t>RSCLER0987</t>
        </is>
      </c>
      <c r="B993" s="8" t="inlineStr">
        <is>
          <t>PORTO ALEGRE</t>
        </is>
      </c>
      <c r="C993" s="7" t="inlineStr">
        <is>
          <t>CNTAA</t>
        </is>
      </c>
      <c r="D993" s="7" t="inlineStr">
        <is>
          <t>CNTAL</t>
        </is>
      </c>
      <c r="E993" s="7" t="inlineStr">
        <is>
          <t>PAE MF</t>
        </is>
      </c>
      <c r="F993" s="8" t="inlineStr"/>
      <c r="G993" s="8" t="inlineStr">
        <is>
          <t>R 24 DE MAIO 244</t>
        </is>
      </c>
      <c r="H993" s="7" t="inlineStr">
        <is>
          <t>CNTAA.134.M030</t>
        </is>
      </c>
      <c r="I993" s="8" t="inlineStr">
        <is>
          <t>FOI LANÇADO 80 METROS DE CABO, 4 ABERTURA E FECHAMENTO, 8 FUSÃO, 2 DERIVAÇÃO, 2 TESTE</t>
        </is>
      </c>
      <c r="J993" s="8" t="inlineStr">
        <is>
          <t>MAURICIO</t>
        </is>
      </c>
      <c r="K993" s="8" t="inlineStr">
        <is>
          <t>MAURICIO</t>
        </is>
      </c>
      <c r="L993" s="9" t="n">
        <v>46225</v>
      </c>
      <c r="M993" s="7" t="inlineStr"/>
      <c r="N993" s="7" t="inlineStr"/>
      <c r="O993" s="9" t="n">
        <v>46225</v>
      </c>
      <c r="P993" s="9" t="n">
        <v>46247</v>
      </c>
      <c r="Q993" s="9" t="n">
        <v>46247</v>
      </c>
      <c r="R993" s="7" t="inlineStr">
        <is>
          <t>Concluído Campo</t>
        </is>
      </c>
      <c r="S993" s="7" t="inlineStr"/>
      <c r="T993" s="10" t="inlineStr"/>
      <c r="U993" s="7" t="inlineStr"/>
      <c r="V993" s="7" t="inlineStr"/>
      <c r="W993" s="7" t="inlineStr"/>
      <c r="X993" s="7" t="inlineStr">
        <is>
          <t>AG. MEDIÇÃO</t>
        </is>
      </c>
      <c r="Y993" s="11">
        <f>IF(AND(L993&lt;&gt;"", S993&lt;&gt;""), S993-L993, IF(L993&lt;&gt;"", TODAY()-L993, ""))</f>
        <v/>
      </c>
      <c r="Z993" s="7">
        <f>IF(Y993="", "", IF(Y993&lt;=3, "NO PRAZO", "ATRASADO"))</f>
        <v/>
      </c>
      <c r="AA993" s="8" t="inlineStr"/>
    </row>
    <row r="994" ht="20" customHeight="1">
      <c r="A994" s="7" t="inlineStr">
        <is>
          <t>RSCLER0988</t>
        </is>
      </c>
      <c r="B994" s="8" t="inlineStr">
        <is>
          <t>VIAMÃO</t>
        </is>
      </c>
      <c r="C994" s="7" t="inlineStr">
        <is>
          <t>UMBAA</t>
        </is>
      </c>
      <c r="D994" s="7" t="inlineStr"/>
      <c r="E994" s="7" t="inlineStr"/>
      <c r="F994" s="8" t="inlineStr">
        <is>
          <t>Condomínio Residencial VIVER COOMETAL</t>
        </is>
      </c>
      <c r="G994" s="8" t="inlineStr">
        <is>
          <t>Estr. Caminho do Meio, 4772</t>
        </is>
      </c>
      <c r="H994" s="7" t="inlineStr">
        <is>
          <t>UMBAA.401/UMBAA.402</t>
        </is>
      </c>
      <c r="I994" s="8" t="inlineStr">
        <is>
          <t>FOI LANÇADO 520 METROS DE CABO AS, E 3810 METROS DE CABO DDS, COBRAR 2400 METROS DE CORDOALHA. 1 ABERTURA E FECHAMENTO, 3 CX NOVAS, 19 NAPS NOVAS, 4 DERIVAÇÕES, 122 FUSÕES,</t>
        </is>
      </c>
      <c r="J994" s="8" t="inlineStr">
        <is>
          <t>CLEVERSON- FALTA 300 METROS PARA ESPINAR</t>
        </is>
      </c>
      <c r="K994" s="8" t="inlineStr">
        <is>
          <t>CLEVERSON</t>
        </is>
      </c>
      <c r="L994" s="9" t="n">
        <v>46223</v>
      </c>
      <c r="M994" s="7" t="inlineStr"/>
      <c r="N994" s="9" t="n">
        <v>46227</v>
      </c>
      <c r="O994" s="9" t="n">
        <v>46234</v>
      </c>
      <c r="P994" s="7" t="inlineStr">
        <is>
          <t>Não Precisa</t>
        </is>
      </c>
      <c r="Q994" s="7" t="inlineStr"/>
      <c r="R994" s="7" t="inlineStr">
        <is>
          <t>Concluído Campo</t>
        </is>
      </c>
      <c r="S994" s="7" t="inlineStr"/>
      <c r="T994" s="10" t="inlineStr"/>
      <c r="U994" s="7" t="inlineStr"/>
      <c r="V994" s="7" t="inlineStr"/>
      <c r="W994" s="7" t="inlineStr"/>
      <c r="X994" s="7" t="inlineStr">
        <is>
          <t>AG. RELATÓRIO</t>
        </is>
      </c>
      <c r="Y994" s="11">
        <f>IF(AND(L994&lt;&gt;"", S994&lt;&gt;""), S994-L994, IF(L994&lt;&gt;"", TODAY()-L994, ""))</f>
        <v/>
      </c>
      <c r="Z994" s="7">
        <f>IF(Y994="", "", IF(Y994&lt;=3, "NO PRAZO", "ATRASADO"))</f>
        <v/>
      </c>
      <c r="AA994" s="8" t="inlineStr"/>
    </row>
    <row r="995" ht="20" customHeight="1">
      <c r="A995" s="7" t="inlineStr">
        <is>
          <t>RSCLER0989</t>
        </is>
      </c>
      <c r="B995" s="8" t="inlineStr">
        <is>
          <t>PORTO ALEGRE</t>
        </is>
      </c>
      <c r="C995" s="7" t="inlineStr">
        <is>
          <t>PETAA</t>
        </is>
      </c>
      <c r="D995" s="7" t="inlineStr">
        <is>
          <t>PETAX</t>
        </is>
      </c>
      <c r="E995" s="7" t="inlineStr">
        <is>
          <t>RSPLE11</t>
        </is>
      </c>
      <c r="F995" s="8" t="inlineStr">
        <is>
          <t>Edifício The Elegance</t>
        </is>
      </c>
      <c r="G995" s="8" t="inlineStr">
        <is>
          <t>AV PALMEIRA 228</t>
        </is>
      </c>
      <c r="H995" s="7" t="inlineStr">
        <is>
          <t>PETAA.101.M040</t>
        </is>
      </c>
      <c r="I995" s="8" t="inlineStr">
        <is>
          <t>2 ABERTURA E FECHAMENTO, 2 FUSÕES, 1 DERIVAÇÃO, 1 TESTE.</t>
        </is>
      </c>
      <c r="J995" s="8" t="inlineStr"/>
      <c r="K995" s="8" t="inlineStr">
        <is>
          <t>CATIA</t>
        </is>
      </c>
      <c r="L995" s="9" t="n">
        <v>46224</v>
      </c>
      <c r="M995" s="7" t="inlineStr"/>
      <c r="N995" s="7" t="inlineStr"/>
      <c r="O995" s="9" t="n">
        <v>46227</v>
      </c>
      <c r="P995" s="9" t="n">
        <v>46252</v>
      </c>
      <c r="Q995" s="9" t="n">
        <v>46252</v>
      </c>
      <c r="R995" s="7" t="inlineStr">
        <is>
          <t>Concluído Campo</t>
        </is>
      </c>
      <c r="S995" s="7" t="inlineStr"/>
      <c r="T995" s="10" t="inlineStr"/>
      <c r="U995" s="7" t="inlineStr"/>
      <c r="V995" s="7" t="inlineStr"/>
      <c r="W995" s="7" t="inlineStr"/>
      <c r="X995" s="7" t="inlineStr">
        <is>
          <t>AG. MEDIÇÃO</t>
        </is>
      </c>
      <c r="Y995" s="11">
        <f>IF(AND(L995&lt;&gt;"", S995&lt;&gt;""), S995-L995, IF(L995&lt;&gt;"", TODAY()-L995, ""))</f>
        <v/>
      </c>
      <c r="Z995" s="7">
        <f>IF(Y995="", "", IF(Y995&lt;=3, "NO PRAZO", "ATRASADO"))</f>
        <v/>
      </c>
      <c r="AA995" s="8" t="inlineStr"/>
    </row>
    <row r="996" ht="20" customHeight="1">
      <c r="A996" s="7" t="inlineStr">
        <is>
          <t>RSCLER0990</t>
        </is>
      </c>
      <c r="B996" s="8" t="inlineStr">
        <is>
          <t>PORTO ALEGRE</t>
        </is>
      </c>
      <c r="C996" s="7" t="inlineStr">
        <is>
          <t>BFMAA</t>
        </is>
      </c>
      <c r="D996" s="7" t="inlineStr">
        <is>
          <t>FLOAPB</t>
        </is>
      </c>
      <c r="E996" s="7" t="inlineStr">
        <is>
          <t>PAE IND</t>
        </is>
      </c>
      <c r="F996" s="8" t="inlineStr"/>
      <c r="G996" s="8" t="inlineStr">
        <is>
          <t>R CDOR AZEVEDO 497</t>
        </is>
      </c>
      <c r="H996" s="7" t="inlineStr">
        <is>
          <t>BFMAA.033.M030</t>
        </is>
      </c>
      <c r="I996" s="8" t="inlineStr">
        <is>
          <t>2 ABERTURA E FECHAMENTO, 2 FUSÕES, 1 TESTES, 1 TESTE OTDR</t>
        </is>
      </c>
      <c r="J996" s="8" t="inlineStr"/>
      <c r="K996" s="8" t="inlineStr">
        <is>
          <t>CATIA</t>
        </is>
      </c>
      <c r="L996" s="9" t="n">
        <v>46224</v>
      </c>
      <c r="M996" s="7" t="inlineStr"/>
      <c r="N996" s="7" t="inlineStr"/>
      <c r="O996" s="9" t="n">
        <v>46226</v>
      </c>
      <c r="P996" s="9" t="n">
        <v>46252</v>
      </c>
      <c r="Q996" s="9" t="n">
        <v>46252</v>
      </c>
      <c r="R996" s="7" t="inlineStr">
        <is>
          <t>Concluído Campo</t>
        </is>
      </c>
      <c r="S996" s="7" t="inlineStr"/>
      <c r="T996" s="10" t="inlineStr"/>
      <c r="U996" s="7" t="inlineStr"/>
      <c r="V996" s="7" t="inlineStr"/>
      <c r="W996" s="7" t="inlineStr"/>
      <c r="X996" s="7" t="inlineStr">
        <is>
          <t>AG. MEDIÇÃO</t>
        </is>
      </c>
      <c r="Y996" s="11">
        <f>IF(AND(L996&lt;&gt;"", S996&lt;&gt;""), S996-L996, IF(L996&lt;&gt;"", TODAY()-L996, ""))</f>
        <v/>
      </c>
      <c r="Z996" s="7">
        <f>IF(Y996="", "", IF(Y996&lt;=3, "NO PRAZO", "ATRASADO"))</f>
        <v/>
      </c>
      <c r="AA996" s="8" t="inlineStr"/>
    </row>
    <row r="997" ht="20" customHeight="1">
      <c r="A997" s="7" t="inlineStr">
        <is>
          <t>RSCLER0991</t>
        </is>
      </c>
      <c r="B997" s="8" t="inlineStr">
        <is>
          <t>PORTO ALEGRE</t>
        </is>
      </c>
      <c r="C997" s="7" t="inlineStr">
        <is>
          <t>BFMAA</t>
        </is>
      </c>
      <c r="D997" s="7" t="inlineStr">
        <is>
          <t>FLOAJ</t>
        </is>
      </c>
      <c r="E997" s="7" t="inlineStr">
        <is>
          <t>PAE IND</t>
        </is>
      </c>
      <c r="F997" s="8" t="inlineStr"/>
      <c r="G997" s="8" t="inlineStr">
        <is>
          <t>AV CRISTOVÃO COLOMBO 840</t>
        </is>
      </c>
      <c r="H997" s="7" t="inlineStr">
        <is>
          <t>BFMAA.041.M010</t>
        </is>
      </c>
      <c r="I997" s="8" t="inlineStr">
        <is>
          <t>2 ABERTURA E FECHAMENTO, 4 FUSÕES, 2 TESTES, 2 TESTES OTDR.</t>
        </is>
      </c>
      <c r="J997" s="8" t="inlineStr"/>
      <c r="K997" s="8" t="inlineStr">
        <is>
          <t>CATIA</t>
        </is>
      </c>
      <c r="L997" s="9" t="n">
        <v>46224</v>
      </c>
      <c r="M997" s="7" t="inlineStr"/>
      <c r="N997" s="7" t="inlineStr"/>
      <c r="O997" s="9" t="n">
        <v>46227</v>
      </c>
      <c r="P997" s="9" t="n">
        <v>46252</v>
      </c>
      <c r="Q997" s="9" t="n">
        <v>46252</v>
      </c>
      <c r="R997" s="7" t="inlineStr">
        <is>
          <t>Concluído Campo</t>
        </is>
      </c>
      <c r="S997" s="7" t="inlineStr"/>
      <c r="T997" s="10" t="inlineStr"/>
      <c r="U997" s="7" t="inlineStr"/>
      <c r="V997" s="7" t="inlineStr"/>
      <c r="W997" s="7" t="inlineStr"/>
      <c r="X997" s="7" t="inlineStr">
        <is>
          <t>AG. MEDIÇÃO</t>
        </is>
      </c>
      <c r="Y997" s="11">
        <f>IF(AND(L997&lt;&gt;"", S997&lt;&gt;""), S997-L997, IF(L997&lt;&gt;"", TODAY()-L997, ""))</f>
        <v/>
      </c>
      <c r="Z997" s="7">
        <f>IF(Y997="", "", IF(Y997&lt;=3, "NO PRAZO", "ATRASADO"))</f>
        <v/>
      </c>
      <c r="AA997" s="8" t="inlineStr"/>
    </row>
    <row r="998" ht="20" customHeight="1">
      <c r="A998" s="7" t="inlineStr">
        <is>
          <t>RSCLER0992</t>
        </is>
      </c>
      <c r="B998" s="8" t="inlineStr">
        <is>
          <t>PORTO ALEGRE</t>
        </is>
      </c>
      <c r="C998" s="7" t="inlineStr">
        <is>
          <t>FLOAA</t>
        </is>
      </c>
      <c r="D998" s="7" t="inlineStr">
        <is>
          <t>FLOAB</t>
        </is>
      </c>
      <c r="E998" s="7" t="inlineStr">
        <is>
          <t>RSPNO11</t>
        </is>
      </c>
      <c r="F998" s="8" t="inlineStr">
        <is>
          <t>Edifício Ipiranga</t>
        </is>
      </c>
      <c r="G998" s="8" t="inlineStr">
        <is>
          <t>AV CRISTOVAO COLOMBO 911</t>
        </is>
      </c>
      <c r="H998" s="7" t="inlineStr">
        <is>
          <t>FLOAA.104.M080</t>
        </is>
      </c>
      <c r="I998" s="8" t="inlineStr">
        <is>
          <t>FOI LANÇADO 408 METROS DE CABO DE 24FO, 5 ABERTURA E FECHAMENTO, 23 FUSÕES, 1 DERIVAÇÃO, 1 CX NOVA, 3 TESTES, 8 TESTES OTDR.</t>
        </is>
      </c>
      <c r="J998" s="8" t="inlineStr">
        <is>
          <t>TIAGO FERREIRA</t>
        </is>
      </c>
      <c r="K998" s="8" t="inlineStr">
        <is>
          <t>CATIA</t>
        </is>
      </c>
      <c r="L998" s="9" t="n">
        <v>46226</v>
      </c>
      <c r="M998" s="7" t="inlineStr"/>
      <c r="N998" s="9" t="n">
        <v>46230</v>
      </c>
      <c r="O998" s="9" t="n">
        <v>46230</v>
      </c>
      <c r="P998" s="9" t="n">
        <v>46245</v>
      </c>
      <c r="Q998" s="9" t="n">
        <v>46245</v>
      </c>
      <c r="R998" s="7" t="inlineStr">
        <is>
          <t>Concluído Campo</t>
        </is>
      </c>
      <c r="S998" s="7" t="inlineStr"/>
      <c r="T998" s="10" t="inlineStr"/>
      <c r="U998" s="7" t="inlineStr"/>
      <c r="V998" s="7" t="inlineStr"/>
      <c r="W998" s="7" t="inlineStr"/>
      <c r="X998" s="7" t="inlineStr">
        <is>
          <t>AG. MEDIÇÃO</t>
        </is>
      </c>
      <c r="Y998" s="11">
        <f>IF(AND(L998&lt;&gt;"", S998&lt;&gt;""), S998-L998, IF(L998&lt;&gt;"", TODAY()-L998, ""))</f>
        <v/>
      </c>
      <c r="Z998" s="7">
        <f>IF(Y998="", "", IF(Y998&lt;=3, "NO PRAZO", "ATRASADO"))</f>
        <v/>
      </c>
      <c r="AA998" s="8" t="inlineStr"/>
    </row>
    <row r="999" ht="20" customHeight="1">
      <c r="A999" s="7" t="inlineStr">
        <is>
          <t>RSCLER0993</t>
        </is>
      </c>
      <c r="B999" s="8" t="inlineStr">
        <is>
          <t>PORTO ALEGRE</t>
        </is>
      </c>
      <c r="C999" s="7" t="inlineStr">
        <is>
          <t>JBOAA</t>
        </is>
      </c>
      <c r="D999" s="7" t="inlineStr"/>
      <c r="E999" s="7" t="inlineStr"/>
      <c r="F999" s="8" t="inlineStr">
        <is>
          <t>Edifício Hermitage</t>
        </is>
      </c>
      <c r="G999" s="8" t="inlineStr">
        <is>
          <t>R BORGES DO CANTO 189</t>
        </is>
      </c>
      <c r="H999" s="7" t="inlineStr">
        <is>
          <t>JBOAA.051.M070</t>
        </is>
      </c>
      <c r="I999" s="8" t="inlineStr">
        <is>
          <t>2 ABERTURA E FECHAMENTO, 1 FUSÃO, 1 TESTE..</t>
        </is>
      </c>
      <c r="J999" s="8" t="inlineStr"/>
      <c r="K999" s="8" t="inlineStr">
        <is>
          <t>CATIA</t>
        </is>
      </c>
      <c r="L999" s="9" t="n">
        <v>46219</v>
      </c>
      <c r="M999" s="7" t="inlineStr"/>
      <c r="N999" s="7" t="inlineStr"/>
      <c r="O999" s="9" t="n">
        <v>46226</v>
      </c>
      <c r="P999" s="9" t="n">
        <v>46252</v>
      </c>
      <c r="Q999" s="9" t="n">
        <v>46252</v>
      </c>
      <c r="R999" s="7" t="inlineStr">
        <is>
          <t>Concluído Campo</t>
        </is>
      </c>
      <c r="S999" s="7" t="inlineStr"/>
      <c r="T999" s="10" t="inlineStr"/>
      <c r="U999" s="7" t="inlineStr"/>
      <c r="V999" s="7" t="inlineStr"/>
      <c r="W999" s="7" t="inlineStr"/>
      <c r="X999" s="7" t="inlineStr">
        <is>
          <t>AG. MEDIÇÃO</t>
        </is>
      </c>
      <c r="Y999" s="11">
        <f>IF(AND(L999&lt;&gt;"", S999&lt;&gt;""), S999-L999, IF(L999&lt;&gt;"", TODAY()-L999, ""))</f>
        <v/>
      </c>
      <c r="Z999" s="7">
        <f>IF(Y999="", "", IF(Y999&lt;=3, "NO PRAZO", "ATRASADO"))</f>
        <v/>
      </c>
      <c r="AA999" s="8" t="inlineStr"/>
    </row>
    <row r="1000" ht="20" customHeight="1">
      <c r="A1000" s="7" t="inlineStr">
        <is>
          <t>RSCLER0994</t>
        </is>
      </c>
      <c r="B1000" s="8" t="inlineStr">
        <is>
          <t>PORTO ALEGRE</t>
        </is>
      </c>
      <c r="C1000" s="7" t="inlineStr">
        <is>
          <t>SRDAA</t>
        </is>
      </c>
      <c r="D1000" s="7" t="inlineStr">
        <is>
          <t>SRDAI</t>
        </is>
      </c>
      <c r="E1000" s="7" t="inlineStr">
        <is>
          <t>RSPNO08</t>
        </is>
      </c>
      <c r="F1000" s="8" t="inlineStr">
        <is>
          <t>Cond. Ed. Nuevo Laredo</t>
        </is>
      </c>
      <c r="G1000" s="8" t="inlineStr">
        <is>
          <t>R FIGUEIREDO MASCARENHAS 1011</t>
        </is>
      </c>
      <c r="H1000" s="7" t="inlineStr">
        <is>
          <t>SRDAA.061.M010</t>
        </is>
      </c>
      <c r="I1000" s="8" t="inlineStr">
        <is>
          <t>FOI LANÇADO 84 METROS DE CABO DE 36FO, E 357 METROS DE CABO DE 24FO, 4 ABERTURA E FECHAMENTO, 2 CX NOVA, 1 DERIVAÇÃO, 35 FUSÕES, 27 TESTES.</t>
        </is>
      </c>
      <c r="J1000" s="8" t="inlineStr">
        <is>
          <t>TIAGO FERREIRA</t>
        </is>
      </c>
      <c r="K1000" s="8" t="inlineStr">
        <is>
          <t>CATIA</t>
        </is>
      </c>
      <c r="L1000" s="9" t="n">
        <v>46227</v>
      </c>
      <c r="M1000" s="7" t="inlineStr"/>
      <c r="N1000" s="9" t="n">
        <v>46230</v>
      </c>
      <c r="O1000" s="9" t="n">
        <v>46230</v>
      </c>
      <c r="P1000" s="9" t="n">
        <v>46253</v>
      </c>
      <c r="Q1000" s="9" t="n">
        <v>46253</v>
      </c>
      <c r="R1000" s="7" t="inlineStr">
        <is>
          <t>Concluído Campo</t>
        </is>
      </c>
      <c r="S1000" s="7" t="inlineStr"/>
      <c r="T1000" s="10" t="inlineStr"/>
      <c r="U1000" s="7" t="inlineStr"/>
      <c r="V1000" s="7" t="inlineStr"/>
      <c r="W1000" s="7" t="inlineStr"/>
      <c r="X1000" s="7" t="inlineStr">
        <is>
          <t>AG. MEDIÇÃO</t>
        </is>
      </c>
      <c r="Y1000" s="11">
        <f>IF(AND(L1000&lt;&gt;"", S1000&lt;&gt;""), S1000-L1000, IF(L1000&lt;&gt;"", TODAY()-L1000, ""))</f>
        <v/>
      </c>
      <c r="Z1000" s="7">
        <f>IF(Y1000="", "", IF(Y1000&lt;=3, "NO PRAZO", "ATRASADO"))</f>
        <v/>
      </c>
      <c r="AA1000" s="8" t="inlineStr"/>
    </row>
    <row r="1001" ht="20" customHeight="1">
      <c r="A1001" s="7" t="inlineStr">
        <is>
          <t>RSCLER0995</t>
        </is>
      </c>
      <c r="B1001" s="8" t="inlineStr">
        <is>
          <t>PORTO ALEGRE</t>
        </is>
      </c>
      <c r="C1001" s="7" t="inlineStr">
        <is>
          <t>SRDAA</t>
        </is>
      </c>
      <c r="D1001" s="7" t="inlineStr">
        <is>
          <t>SRDAI</t>
        </is>
      </c>
      <c r="E1001" s="7" t="inlineStr">
        <is>
          <t>RSPNO08</t>
        </is>
      </c>
      <c r="F1001" s="8" t="inlineStr">
        <is>
          <t>Cond. San Diego</t>
        </is>
      </c>
      <c r="G1001" s="8" t="inlineStr">
        <is>
          <t>R FIGUEIREDO MASCARENHAS 980</t>
        </is>
      </c>
      <c r="H1001" s="7" t="inlineStr">
        <is>
          <t>SRDAA.061.M010</t>
        </is>
      </c>
      <c r="I1001" s="8" t="inlineStr">
        <is>
          <t>FOI COBRADO JUNTO A OS RSCLER0994.</t>
        </is>
      </c>
      <c r="J1001" s="8" t="inlineStr"/>
      <c r="K1001" s="8" t="inlineStr">
        <is>
          <t>CATIA</t>
        </is>
      </c>
      <c r="L1001" s="9" t="n">
        <v>46227</v>
      </c>
      <c r="M1001" s="7" t="inlineStr"/>
      <c r="N1001" s="9" t="n">
        <v>46230</v>
      </c>
      <c r="O1001" s="9" t="n">
        <v>46230</v>
      </c>
      <c r="P1001" s="9" t="n">
        <v>46253</v>
      </c>
      <c r="Q1001" s="9" t="n">
        <v>46253</v>
      </c>
      <c r="R1001" s="7" t="inlineStr">
        <is>
          <t>Concluído Campo</t>
        </is>
      </c>
      <c r="S1001" s="7" t="inlineStr"/>
      <c r="T1001" s="10" t="inlineStr"/>
      <c r="U1001" s="7" t="inlineStr"/>
      <c r="V1001" s="7" t="inlineStr"/>
      <c r="W1001" s="7" t="inlineStr"/>
      <c r="X1001" s="7" t="inlineStr">
        <is>
          <t>AG. MEDIÇÃO</t>
        </is>
      </c>
      <c r="Y1001" s="11">
        <f>IF(AND(L1001&lt;&gt;"", S1001&lt;&gt;""), S1001-L1001, IF(L1001&lt;&gt;"", TODAY()-L1001, ""))</f>
        <v/>
      </c>
      <c r="Z1001" s="7">
        <f>IF(Y1001="", "", IF(Y1001&lt;=3, "NO PRAZO", "ATRASADO"))</f>
        <v/>
      </c>
      <c r="AA1001" s="8" t="inlineStr"/>
    </row>
    <row r="1002" ht="20" customHeight="1">
      <c r="A1002" s="7" t="inlineStr">
        <is>
          <t>RSCLER0996</t>
        </is>
      </c>
      <c r="B1002" s="8" t="inlineStr">
        <is>
          <t>PORTO ALEGRE</t>
        </is>
      </c>
      <c r="C1002" s="7" t="inlineStr">
        <is>
          <t>SRDAA</t>
        </is>
      </c>
      <c r="D1002" s="7" t="inlineStr">
        <is>
          <t>SRDAI</t>
        </is>
      </c>
      <c r="E1002" s="7" t="inlineStr">
        <is>
          <t>RSPNO08</t>
        </is>
      </c>
      <c r="F1002" s="8" t="inlineStr">
        <is>
          <t>Cond. Ed. Piedras Blancas</t>
        </is>
      </c>
      <c r="G1002" s="8" t="inlineStr">
        <is>
          <t>R FIGUEIREDO MASCARENHAS 991</t>
        </is>
      </c>
      <c r="H1002" s="7" t="inlineStr">
        <is>
          <t>SRDAA.061.M010</t>
        </is>
      </c>
      <c r="I1002" s="8" t="inlineStr">
        <is>
          <t>FOI COBRADO JUNTO A OS RSCLER0994.</t>
        </is>
      </c>
      <c r="J1002" s="8" t="inlineStr"/>
      <c r="K1002" s="8" t="inlineStr">
        <is>
          <t>CATIA</t>
        </is>
      </c>
      <c r="L1002" s="9" t="n">
        <v>46227</v>
      </c>
      <c r="M1002" s="7" t="inlineStr"/>
      <c r="N1002" s="9" t="n">
        <v>46230</v>
      </c>
      <c r="O1002" s="9" t="n">
        <v>46230</v>
      </c>
      <c r="P1002" s="9" t="n">
        <v>46253</v>
      </c>
      <c r="Q1002" s="9" t="n">
        <v>46253</v>
      </c>
      <c r="R1002" s="7" t="inlineStr">
        <is>
          <t>Concluído Campo</t>
        </is>
      </c>
      <c r="S1002" s="7" t="inlineStr"/>
      <c r="T1002" s="10" t="inlineStr"/>
      <c r="U1002" s="7" t="inlineStr"/>
      <c r="V1002" s="7" t="inlineStr"/>
      <c r="W1002" s="7" t="inlineStr"/>
      <c r="X1002" s="7" t="inlineStr">
        <is>
          <t>AG. MEDIÇÃO</t>
        </is>
      </c>
      <c r="Y1002" s="11">
        <f>IF(AND(L1002&lt;&gt;"", S1002&lt;&gt;""), S1002-L1002, IF(L1002&lt;&gt;"", TODAY()-L1002, ""))</f>
        <v/>
      </c>
      <c r="Z1002" s="7">
        <f>IF(Y1002="", "", IF(Y1002&lt;=3, "NO PRAZO", "ATRASADO"))</f>
        <v/>
      </c>
      <c r="AA1002" s="8" t="inlineStr"/>
    </row>
    <row r="1003" ht="20" customHeight="1">
      <c r="A1003" s="7" t="inlineStr">
        <is>
          <t>RSCLER0997</t>
        </is>
      </c>
      <c r="B1003" s="8" t="inlineStr">
        <is>
          <t>PORTO ALEGRE</t>
        </is>
      </c>
      <c r="C1003" s="7" t="inlineStr">
        <is>
          <t>SRDAA</t>
        </is>
      </c>
      <c r="D1003" s="7" t="inlineStr">
        <is>
          <t>SRDAI</t>
        </is>
      </c>
      <c r="E1003" s="7" t="inlineStr">
        <is>
          <t>RSPNO08</t>
        </is>
      </c>
      <c r="F1003" s="8" t="inlineStr">
        <is>
          <t>Cond. Residencial Bahamas</t>
        </is>
      </c>
      <c r="G1003" s="8" t="inlineStr">
        <is>
          <t>R FIGUEIREDO MASCARENHAS 1020</t>
        </is>
      </c>
      <c r="H1003" s="7" t="inlineStr">
        <is>
          <t>SRDAA.061.M010</t>
        </is>
      </c>
      <c r="I1003" s="8" t="inlineStr">
        <is>
          <t>FOI COBRADO JUNTO A OS RSCLER0994.</t>
        </is>
      </c>
      <c r="J1003" s="8" t="inlineStr"/>
      <c r="K1003" s="8" t="inlineStr">
        <is>
          <t>CATIA</t>
        </is>
      </c>
      <c r="L1003" s="9" t="n">
        <v>46227</v>
      </c>
      <c r="M1003" s="7" t="inlineStr"/>
      <c r="N1003" s="9" t="n">
        <v>46230</v>
      </c>
      <c r="O1003" s="9" t="n">
        <v>46230</v>
      </c>
      <c r="P1003" s="9" t="n">
        <v>46253</v>
      </c>
      <c r="Q1003" s="9" t="n">
        <v>46253</v>
      </c>
      <c r="R1003" s="7" t="inlineStr">
        <is>
          <t>Concluído Campo</t>
        </is>
      </c>
      <c r="S1003" s="7" t="inlineStr"/>
      <c r="T1003" s="10" t="inlineStr"/>
      <c r="U1003" s="7" t="inlineStr"/>
      <c r="V1003" s="7" t="inlineStr"/>
      <c r="W1003" s="7" t="inlineStr"/>
      <c r="X1003" s="7" t="inlineStr">
        <is>
          <t>AG. MEDIÇÃO</t>
        </is>
      </c>
      <c r="Y1003" s="11">
        <f>IF(AND(L1003&lt;&gt;"", S1003&lt;&gt;""), S1003-L1003, IF(L1003&lt;&gt;"", TODAY()-L1003, ""))</f>
        <v/>
      </c>
      <c r="Z1003" s="7">
        <f>IF(Y1003="", "", IF(Y1003&lt;=3, "NO PRAZO", "ATRASADO"))</f>
        <v/>
      </c>
      <c r="AA1003" s="8" t="inlineStr"/>
    </row>
    <row r="1004" ht="20" customHeight="1">
      <c r="A1004" s="7" t="inlineStr">
        <is>
          <t>RSCLER0998</t>
        </is>
      </c>
      <c r="B1004" s="8" t="inlineStr">
        <is>
          <t>PORTO ALEGRE</t>
        </is>
      </c>
      <c r="C1004" s="7" t="inlineStr">
        <is>
          <t>PDRAA</t>
        </is>
      </c>
      <c r="D1004" s="7" t="inlineStr">
        <is>
          <t>SRDAI</t>
        </is>
      </c>
      <c r="E1004" s="7" t="inlineStr">
        <is>
          <t>RSPLE11</t>
        </is>
      </c>
      <c r="F1004" s="8" t="inlineStr">
        <is>
          <t>Villa Parisi</t>
        </is>
      </c>
      <c r="G1004" s="8" t="inlineStr">
        <is>
          <t>R. Sapé, 900</t>
        </is>
      </c>
      <c r="H1004" s="7" t="inlineStr">
        <is>
          <t>PDRAA.111.M020</t>
        </is>
      </c>
      <c r="I1004" s="8" t="inlineStr">
        <is>
          <t>2 ABERTURA E FECHAMENTO, 4 FUSÕES, 2 TESTES.</t>
        </is>
      </c>
      <c r="J1004" s="8" t="inlineStr"/>
      <c r="K1004" s="8" t="inlineStr">
        <is>
          <t>GUILHERME</t>
        </is>
      </c>
      <c r="L1004" s="9" t="n">
        <v>46227</v>
      </c>
      <c r="M1004" s="7" t="inlineStr"/>
      <c r="N1004" s="7" t="inlineStr"/>
      <c r="O1004" s="9" t="n">
        <v>46227</v>
      </c>
      <c r="P1004" s="9" t="n">
        <v>46253</v>
      </c>
      <c r="Q1004" s="9" t="n">
        <v>46253</v>
      </c>
      <c r="R1004" s="7" t="inlineStr">
        <is>
          <t>Concluído Campo</t>
        </is>
      </c>
      <c r="S1004" s="7" t="inlineStr"/>
      <c r="T1004" s="10" t="inlineStr"/>
      <c r="U1004" s="7" t="inlineStr"/>
      <c r="V1004" s="7" t="inlineStr"/>
      <c r="W1004" s="7" t="inlineStr"/>
      <c r="X1004" s="7" t="inlineStr">
        <is>
          <t>AG. MEDIÇÃO</t>
        </is>
      </c>
      <c r="Y1004" s="11">
        <f>IF(AND(L1004&lt;&gt;"", S1004&lt;&gt;""), S1004-L1004, IF(L1004&lt;&gt;"", TODAY()-L1004, ""))</f>
        <v/>
      </c>
      <c r="Z1004" s="7">
        <f>IF(Y1004="", "", IF(Y1004&lt;=3, "NO PRAZO", "ATRASADO"))</f>
        <v/>
      </c>
      <c r="AA1004" s="8" t="inlineStr"/>
    </row>
    <row r="1005" ht="20" customHeight="1">
      <c r="A1005" s="7" t="inlineStr">
        <is>
          <t>RSCLER1007</t>
        </is>
      </c>
      <c r="B1005" s="8" t="inlineStr">
        <is>
          <t>PORTO ALEGRE</t>
        </is>
      </c>
      <c r="C1005" s="7" t="inlineStr">
        <is>
          <t>HPCAA</t>
        </is>
      </c>
      <c r="D1005" s="7" t="inlineStr">
        <is>
          <t>HPCAA</t>
        </is>
      </c>
      <c r="E1005" s="7" t="inlineStr">
        <is>
          <t>RSPSU90</t>
        </is>
      </c>
      <c r="F1005" s="8" t="inlineStr">
        <is>
          <t>COND. IPANEMA GARDEN</t>
        </is>
      </c>
      <c r="G1005" s="8" t="inlineStr">
        <is>
          <t>Av. Juca Batista, 5505 - Hípica</t>
        </is>
      </c>
      <c r="H1005" s="7" t="inlineStr">
        <is>
          <t>HPCAA.402</t>
        </is>
      </c>
      <c r="I1005" s="8" t="inlineStr">
        <is>
          <t>FOI LANÇADO 1631 METROS DE CABO, 4 ABERTURA E FECHAMENTO, 18 FUSÕES, 3 DERIVAÇÕES, 6 TESTES OTDR - paralizado lancou só a parte de fora</t>
        </is>
      </c>
      <c r="J1005" s="8" t="inlineStr">
        <is>
          <t>TIAGO FERREIRA</t>
        </is>
      </c>
      <c r="K1005" s="8" t="inlineStr"/>
      <c r="L1005" s="9" t="n">
        <v>46231</v>
      </c>
      <c r="M1005" s="7" t="inlineStr"/>
      <c r="N1005" s="9" t="n">
        <v>46233</v>
      </c>
      <c r="O1005" s="7" t="inlineStr">
        <is>
          <t>CANCELADO</t>
        </is>
      </c>
      <c r="P1005" s="7" t="inlineStr">
        <is>
          <t>Não Precisa</t>
        </is>
      </c>
      <c r="Q1005" s="7" t="inlineStr"/>
      <c r="R1005" s="7" t="inlineStr">
        <is>
          <t>Cancelado</t>
        </is>
      </c>
      <c r="S1005" s="7" t="inlineStr"/>
      <c r="T1005" s="10" t="inlineStr"/>
      <c r="U1005" s="7" t="inlineStr"/>
      <c r="V1005" s="7" t="inlineStr"/>
      <c r="W1005" s="7" t="inlineStr"/>
      <c r="X1005" s="7" t="inlineStr">
        <is>
          <t>CANCELADO</t>
        </is>
      </c>
      <c r="Y1005" s="11">
        <f>IF(AND(L1005&lt;&gt;"", S1005&lt;&gt;""), S1005-L1005, IF(L1005&lt;&gt;"", TODAY()-L1005, ""))</f>
        <v/>
      </c>
      <c r="Z1005" s="7">
        <f>IF(Y1005="", "", IF(Y1005&lt;=3, "NO PRAZO", "ATRASADO"))</f>
        <v/>
      </c>
      <c r="AA1005" s="8" t="inlineStr"/>
    </row>
    <row r="1006" ht="20" customHeight="1">
      <c r="A1006" s="7" t="inlineStr">
        <is>
          <t>RSCLER1005</t>
        </is>
      </c>
      <c r="B1006" s="8" t="inlineStr">
        <is>
          <t>PORTO ALEGRE</t>
        </is>
      </c>
      <c r="C1006" s="7" t="inlineStr">
        <is>
          <t>BFMAA</t>
        </is>
      </c>
      <c r="D1006" s="7" t="inlineStr"/>
      <c r="E1006" s="7" t="inlineStr">
        <is>
          <t>RSPLE78</t>
        </is>
      </c>
      <c r="F1006" s="8" t="inlineStr">
        <is>
          <t>RAMIRO BARCELOS 1215</t>
        </is>
      </c>
      <c r="G1006" s="8" t="inlineStr">
        <is>
          <t>RAMIRO BARCELOS 1215</t>
        </is>
      </c>
      <c r="H1006" s="7" t="inlineStr">
        <is>
          <t>BFMAA.071.M010</t>
        </is>
      </c>
      <c r="I1006" s="8" t="inlineStr">
        <is>
          <t>4 ABERTURA E FECHAMENTO, 5 FUSÕES, 3 TESTES, 2 TESTES OTDR.</t>
        </is>
      </c>
      <c r="J1006" s="8" t="inlineStr"/>
      <c r="K1006" s="8" t="inlineStr">
        <is>
          <t>CATIA</t>
        </is>
      </c>
      <c r="L1006" s="9" t="n">
        <v>46232</v>
      </c>
      <c r="M1006" s="7" t="inlineStr"/>
      <c r="N1006" s="9" t="n">
        <v>46233</v>
      </c>
      <c r="O1006" s="9" t="n">
        <v>46233</v>
      </c>
      <c r="P1006" s="7" t="inlineStr">
        <is>
          <t>Não Precisa</t>
        </is>
      </c>
      <c r="Q1006" s="7" t="inlineStr"/>
      <c r="R1006" s="7" t="inlineStr">
        <is>
          <t>Concluído Campo</t>
        </is>
      </c>
      <c r="S1006" s="7" t="inlineStr"/>
      <c r="T1006" s="10" t="inlineStr"/>
      <c r="U1006" s="7" t="inlineStr"/>
      <c r="V1006" s="7" t="inlineStr"/>
      <c r="W1006" s="7" t="inlineStr"/>
      <c r="X1006" s="7" t="inlineStr">
        <is>
          <t>AG. RELATÓRIO</t>
        </is>
      </c>
      <c r="Y1006" s="11">
        <f>IF(AND(L1006&lt;&gt;"", S1006&lt;&gt;""), S1006-L1006, IF(L1006&lt;&gt;"", TODAY()-L1006, ""))</f>
        <v/>
      </c>
      <c r="Z1006" s="7">
        <f>IF(Y1006="", "", IF(Y1006&lt;=3, "NO PRAZO", "ATRASADO"))</f>
        <v/>
      </c>
      <c r="AA1006" s="8" t="inlineStr"/>
    </row>
    <row r="1007" ht="20" customHeight="1">
      <c r="A1007" s="7" t="inlineStr">
        <is>
          <t>RSCLER1006</t>
        </is>
      </c>
      <c r="B1007" s="8" t="inlineStr">
        <is>
          <t>PORTO ALEGRE</t>
        </is>
      </c>
      <c r="C1007" s="7" t="inlineStr">
        <is>
          <t>BFMAB</t>
        </is>
      </c>
      <c r="D1007" s="7" t="inlineStr">
        <is>
          <t>RBRAI</t>
        </is>
      </c>
      <c r="E1007" s="7" t="inlineStr">
        <is>
          <t>RSPCE13</t>
        </is>
      </c>
      <c r="F1007" s="8" t="inlineStr">
        <is>
          <t>Edifício Castro Alves</t>
        </is>
      </c>
      <c r="G1007" s="8" t="inlineStr">
        <is>
          <t>R CASTRO ALVES 607</t>
        </is>
      </c>
      <c r="H1007" s="7" t="inlineStr">
        <is>
          <t>BFMAB.182.M020</t>
        </is>
      </c>
      <c r="I1007" s="8" t="inlineStr">
        <is>
          <t>2 ABERTURA E FECHAMENTO, 2 FUSÕES, 1 TESTE, 1 OTDR.</t>
        </is>
      </c>
      <c r="J1007" s="8" t="inlineStr"/>
      <c r="K1007" s="8" t="inlineStr">
        <is>
          <t>CATIA</t>
        </is>
      </c>
      <c r="L1007" s="9" t="n">
        <v>46232</v>
      </c>
      <c r="M1007" s="7" t="inlineStr"/>
      <c r="N1007" s="9" t="n">
        <v>46233</v>
      </c>
      <c r="O1007" s="9" t="n">
        <v>46232</v>
      </c>
      <c r="P1007" s="7" t="inlineStr">
        <is>
          <t>Não Precisa</t>
        </is>
      </c>
      <c r="Q1007" s="7" t="inlineStr"/>
      <c r="R1007" s="7" t="inlineStr">
        <is>
          <t>Concluído Campo</t>
        </is>
      </c>
      <c r="S1007" s="7" t="inlineStr"/>
      <c r="T1007" s="10" t="inlineStr"/>
      <c r="U1007" s="7" t="inlineStr"/>
      <c r="V1007" s="7" t="inlineStr"/>
      <c r="W1007" s="7" t="inlineStr"/>
      <c r="X1007" s="7" t="inlineStr">
        <is>
          <t>AG. RELATÓRIO</t>
        </is>
      </c>
      <c r="Y1007" s="11">
        <f>IF(AND(L1007&lt;&gt;"", S1007&lt;&gt;""), S1007-L1007, IF(L1007&lt;&gt;"", TODAY()-L1007, ""))</f>
        <v/>
      </c>
      <c r="Z1007" s="7">
        <f>IF(Y1007="", "", IF(Y1007&lt;=3, "NO PRAZO", "ATRASADO"))</f>
        <v/>
      </c>
      <c r="AA1007" s="8" t="inlineStr"/>
    </row>
    <row r="1008" ht="20" customHeight="1">
      <c r="A1008" s="7" t="inlineStr">
        <is>
          <t>RSCLER1050</t>
        </is>
      </c>
      <c r="B1008" s="8" t="inlineStr">
        <is>
          <t>PORTO ALEGRE</t>
        </is>
      </c>
      <c r="C1008" s="7" t="inlineStr">
        <is>
          <t>JITAB</t>
        </is>
      </c>
      <c r="D1008" s="7" t="inlineStr">
        <is>
          <t>JITAIA</t>
        </is>
      </c>
      <c r="E1008" s="7" t="inlineStr">
        <is>
          <t>RSPNO75</t>
        </is>
      </c>
      <c r="F1008" s="8" t="inlineStr"/>
      <c r="G1008" s="8" t="inlineStr">
        <is>
          <t>Rua Joaquim G De Campos Netto, 35</t>
        </is>
      </c>
      <c r="H1008" s="7" t="inlineStr">
        <is>
          <t>JITAB.153.M070</t>
        </is>
      </c>
      <c r="I1008" s="8" t="inlineStr">
        <is>
          <t>8 ABERTURA E FECHAMENTO, 13 FUSÕES, 4 TESTES OTDR, 3 TESTES.</t>
        </is>
      </c>
      <c r="J1008" s="8" t="inlineStr"/>
      <c r="K1008" s="8" t="inlineStr">
        <is>
          <t>CATIA</t>
        </is>
      </c>
      <c r="L1008" s="9" t="n">
        <v>46233</v>
      </c>
      <c r="M1008" s="7" t="inlineStr"/>
      <c r="N1008" s="7" t="inlineStr"/>
      <c r="O1008" s="9" t="n">
        <v>46234</v>
      </c>
      <c r="P1008" s="7" t="inlineStr">
        <is>
          <t>Não Precisa</t>
        </is>
      </c>
      <c r="Q1008" s="7" t="inlineStr"/>
      <c r="R1008" s="7" t="inlineStr">
        <is>
          <t>Concluído Campo</t>
        </is>
      </c>
      <c r="S1008" s="7" t="inlineStr"/>
      <c r="T1008" s="10" t="inlineStr"/>
      <c r="U1008" s="7" t="inlineStr"/>
      <c r="V1008" s="7" t="inlineStr"/>
      <c r="W1008" s="7" t="inlineStr"/>
      <c r="X1008" s="7" t="inlineStr">
        <is>
          <t>AG. RELATÓRIO</t>
        </is>
      </c>
      <c r="Y1008" s="11">
        <f>IF(AND(L1008&lt;&gt;"", S1008&lt;&gt;""), S1008-L1008, IF(L1008&lt;&gt;"", TODAY()-L1008, ""))</f>
        <v/>
      </c>
      <c r="Z1008" s="7">
        <f>IF(Y1008="", "", IF(Y1008&lt;=3, "NO PRAZO", "ATRASADO"))</f>
        <v/>
      </c>
      <c r="AA1008" s="8" t="inlineStr"/>
    </row>
    <row r="1009" ht="20" customHeight="1">
      <c r="A1009" s="7" t="inlineStr">
        <is>
          <t>RSCLER0999</t>
        </is>
      </c>
      <c r="B1009" s="8" t="inlineStr">
        <is>
          <t>PORTO ALEGRE</t>
        </is>
      </c>
      <c r="C1009" s="7" t="inlineStr">
        <is>
          <t>BFMAA</t>
        </is>
      </c>
      <c r="D1009" s="7" t="inlineStr">
        <is>
          <t>BFMACA</t>
        </is>
      </c>
      <c r="E1009" s="7" t="inlineStr">
        <is>
          <t>PAE IND</t>
        </is>
      </c>
      <c r="F1009" s="8" t="inlineStr">
        <is>
          <t>EDIFICIO CARAIBA</t>
        </is>
      </c>
      <c r="G1009" s="8" t="inlineStr">
        <is>
          <t>R OSVALDO ARANHA 232</t>
        </is>
      </c>
      <c r="H1009" s="7" t="inlineStr">
        <is>
          <t>(BFMAA.141.M020)</t>
        </is>
      </c>
      <c r="I1009" s="8" t="inlineStr">
        <is>
          <t>2 ABERTURA E FECHAMENTO, 4 FUSÕES, 2 TESTES, 2 TESTES OTDR.</t>
        </is>
      </c>
      <c r="J1009" s="8" t="inlineStr"/>
      <c r="K1009" s="8" t="inlineStr">
        <is>
          <t>CATIA</t>
        </is>
      </c>
      <c r="L1009" s="9" t="n">
        <v>46234</v>
      </c>
      <c r="M1009" s="7" t="inlineStr"/>
      <c r="N1009" s="9" t="n">
        <v>46234</v>
      </c>
      <c r="O1009" s="9" t="n">
        <v>46234</v>
      </c>
      <c r="P1009" s="7" t="inlineStr">
        <is>
          <t>Não Precisa</t>
        </is>
      </c>
      <c r="Q1009" s="7" t="inlineStr"/>
      <c r="R1009" s="7" t="inlineStr">
        <is>
          <t>Concluído Campo</t>
        </is>
      </c>
      <c r="S1009" s="7" t="inlineStr"/>
      <c r="T1009" s="10" t="inlineStr"/>
      <c r="U1009" s="7" t="inlineStr"/>
      <c r="V1009" s="7" t="inlineStr"/>
      <c r="W1009" s="7" t="inlineStr"/>
      <c r="X1009" s="7" t="inlineStr">
        <is>
          <t>AG. RELATÓRIO</t>
        </is>
      </c>
      <c r="Y1009" s="11">
        <f>IF(AND(L1009&lt;&gt;"", S1009&lt;&gt;""), S1009-L1009, IF(L1009&lt;&gt;"", TODAY()-L1009, ""))</f>
        <v/>
      </c>
      <c r="Z1009" s="7">
        <f>IF(Y1009="", "", IF(Y1009&lt;=3, "NO PRAZO", "ATRASADO"))</f>
        <v/>
      </c>
      <c r="AA1009" s="8" t="inlineStr"/>
    </row>
    <row r="1010" ht="20" customHeight="1">
      <c r="A1010" s="7" t="inlineStr">
        <is>
          <t>RSCLER1000</t>
        </is>
      </c>
      <c r="B1010" s="8" t="inlineStr">
        <is>
          <t>PORTO ALEGRE</t>
        </is>
      </c>
      <c r="C1010" s="7" t="inlineStr">
        <is>
          <t>PETAA</t>
        </is>
      </c>
      <c r="D1010" s="7" t="inlineStr"/>
      <c r="E1010" s="7" t="inlineStr">
        <is>
          <t>RSPLE11</t>
        </is>
      </c>
      <c r="F1010" s="8" t="inlineStr">
        <is>
          <t>Cond. Edifício Dora</t>
        </is>
      </c>
      <c r="G1010" s="8" t="inlineStr">
        <is>
          <t>AV PROTASIO ALVES 3210</t>
        </is>
      </c>
      <c r="H1010" s="7" t="inlineStr">
        <is>
          <t>PETAA.153.M040</t>
        </is>
      </c>
      <c r="I1010" s="8" t="inlineStr">
        <is>
          <t>5 ABERTURA E FECHAMENTO, 17 FUSÕES, 1 CX NOVA, 1 DERIVAÇÃO, 4 TESTES OTDR, 8 TESTES.</t>
        </is>
      </c>
      <c r="J1010" s="8" t="inlineStr">
        <is>
          <t>TIAGO FERREIRA</t>
        </is>
      </c>
      <c r="K1010" s="8" t="inlineStr">
        <is>
          <t>CATIA</t>
        </is>
      </c>
      <c r="L1010" s="9" t="n">
        <v>46234</v>
      </c>
      <c r="M1010" s="7" t="inlineStr"/>
      <c r="N1010" s="9" t="n">
        <v>46238</v>
      </c>
      <c r="O1010" s="9" t="n">
        <v>46238</v>
      </c>
      <c r="P1010" s="7" t="inlineStr">
        <is>
          <t>Não Precisa</t>
        </is>
      </c>
      <c r="Q1010" s="7" t="inlineStr"/>
      <c r="R1010" s="7" t="inlineStr">
        <is>
          <t>Concluído Campo</t>
        </is>
      </c>
      <c r="S1010" s="7" t="inlineStr"/>
      <c r="T1010" s="10" t="inlineStr"/>
      <c r="U1010" s="7" t="inlineStr"/>
      <c r="V1010" s="7" t="inlineStr"/>
      <c r="W1010" s="7" t="inlineStr"/>
      <c r="X1010" s="7" t="inlineStr">
        <is>
          <t>AG. RELATÓRIO</t>
        </is>
      </c>
      <c r="Y1010" s="11">
        <f>IF(AND(L1010&lt;&gt;"", S1010&lt;&gt;""), S1010-L1010, IF(L1010&lt;&gt;"", TODAY()-L1010, ""))</f>
        <v/>
      </c>
      <c r="Z1010" s="7">
        <f>IF(Y1010="", "", IF(Y1010&lt;=3, "NO PRAZO", "ATRASADO"))</f>
        <v/>
      </c>
      <c r="AA1010" s="8" t="inlineStr"/>
    </row>
    <row r="1011" ht="20" customHeight="1">
      <c r="A1011" s="7" t="inlineStr">
        <is>
          <t>RSCLER1001</t>
        </is>
      </c>
      <c r="B1011" s="8" t="inlineStr">
        <is>
          <t>PORTO ALEGRE</t>
        </is>
      </c>
      <c r="C1011" s="7" t="inlineStr">
        <is>
          <t>PETAA</t>
        </is>
      </c>
      <c r="D1011" s="7" t="inlineStr"/>
      <c r="E1011" s="7" t="inlineStr">
        <is>
          <t>RSPLE11</t>
        </is>
      </c>
      <c r="F1011" s="8" t="inlineStr">
        <is>
          <t>ED MONTENEGRO</t>
        </is>
      </c>
      <c r="G1011" s="8" t="inlineStr">
        <is>
          <t>AV PROTASIO ALVES 3020</t>
        </is>
      </c>
      <c r="H1011" s="7" t="inlineStr">
        <is>
          <t>PETAA.153.M041</t>
        </is>
      </c>
      <c r="I1011" s="8" t="inlineStr"/>
      <c r="J1011" s="8" t="inlineStr"/>
      <c r="K1011" s="8" t="inlineStr">
        <is>
          <t>CATIA</t>
        </is>
      </c>
      <c r="L1011" s="9" t="n">
        <v>46234</v>
      </c>
      <c r="M1011" s="7" t="inlineStr"/>
      <c r="N1011" s="9" t="n">
        <v>46238</v>
      </c>
      <c r="O1011" s="9" t="n">
        <v>46238</v>
      </c>
      <c r="P1011" s="7" t="inlineStr">
        <is>
          <t>Não Precisa</t>
        </is>
      </c>
      <c r="Q1011" s="7" t="inlineStr"/>
      <c r="R1011" s="7" t="inlineStr">
        <is>
          <t>Concluído Campo</t>
        </is>
      </c>
      <c r="S1011" s="7" t="inlineStr"/>
      <c r="T1011" s="10" t="inlineStr"/>
      <c r="U1011" s="7" t="inlineStr"/>
      <c r="V1011" s="7" t="inlineStr"/>
      <c r="W1011" s="7" t="inlineStr"/>
      <c r="X1011" s="7" t="inlineStr">
        <is>
          <t>AG. RELATÓRIO</t>
        </is>
      </c>
      <c r="Y1011" s="11">
        <f>IF(AND(L1011&lt;&gt;"", S1011&lt;&gt;""), S1011-L1011, IF(L1011&lt;&gt;"", TODAY()-L1011, ""))</f>
        <v/>
      </c>
      <c r="Z1011" s="7">
        <f>IF(Y1011="", "", IF(Y1011&lt;=3, "NO PRAZO", "ATRASADO"))</f>
        <v/>
      </c>
      <c r="AA1011" s="8" t="inlineStr"/>
    </row>
    <row r="1012" ht="20" customHeight="1">
      <c r="A1012" s="7" t="inlineStr">
        <is>
          <t>RSCLER1002</t>
        </is>
      </c>
      <c r="B1012" s="8" t="inlineStr">
        <is>
          <t>PORTO ALEGRE</t>
        </is>
      </c>
      <c r="C1012" s="7" t="inlineStr">
        <is>
          <t>PETAA</t>
        </is>
      </c>
      <c r="D1012" s="7" t="inlineStr"/>
      <c r="E1012" s="7" t="inlineStr">
        <is>
          <t>RSPLE11</t>
        </is>
      </c>
      <c r="F1012" s="8" t="inlineStr">
        <is>
          <t>ED MONTENEGRO</t>
        </is>
      </c>
      <c r="G1012" s="8" t="inlineStr">
        <is>
          <t>AV PROTASIO ALVES 3032</t>
        </is>
      </c>
      <c r="H1012" s="7" t="inlineStr">
        <is>
          <t>PETAA.153.M042</t>
        </is>
      </c>
      <c r="I1012" s="8" t="inlineStr"/>
      <c r="J1012" s="8" t="inlineStr"/>
      <c r="K1012" s="8" t="inlineStr">
        <is>
          <t>CATIA</t>
        </is>
      </c>
      <c r="L1012" s="9" t="n">
        <v>46234</v>
      </c>
      <c r="M1012" s="7" t="inlineStr"/>
      <c r="N1012" s="9" t="n">
        <v>46238</v>
      </c>
      <c r="O1012" s="9" t="n">
        <v>46238</v>
      </c>
      <c r="P1012" s="7" t="inlineStr">
        <is>
          <t>Não Precisa</t>
        </is>
      </c>
      <c r="Q1012" s="7" t="inlineStr"/>
      <c r="R1012" s="7" t="inlineStr">
        <is>
          <t>Concluído Campo</t>
        </is>
      </c>
      <c r="S1012" s="7" t="inlineStr"/>
      <c r="T1012" s="10" t="inlineStr"/>
      <c r="U1012" s="7" t="inlineStr"/>
      <c r="V1012" s="7" t="inlineStr"/>
      <c r="W1012" s="7" t="inlineStr"/>
      <c r="X1012" s="7" t="inlineStr">
        <is>
          <t>AG. RELATÓRIO</t>
        </is>
      </c>
      <c r="Y1012" s="11">
        <f>IF(AND(L1012&lt;&gt;"", S1012&lt;&gt;""), S1012-L1012, IF(L1012&lt;&gt;"", TODAY()-L1012, ""))</f>
        <v/>
      </c>
      <c r="Z1012" s="7">
        <f>IF(Y1012="", "", IF(Y1012&lt;=3, "NO PRAZO", "ATRASADO"))</f>
        <v/>
      </c>
      <c r="AA1012" s="8" t="inlineStr"/>
    </row>
    <row r="1013" ht="20" customHeight="1">
      <c r="A1013" s="7" t="inlineStr">
        <is>
          <t>RSCLER1003</t>
        </is>
      </c>
      <c r="B1013" s="8" t="inlineStr">
        <is>
          <t>PORTO ALEGRE</t>
        </is>
      </c>
      <c r="C1013" s="7" t="inlineStr">
        <is>
          <t>PETAA</t>
        </is>
      </c>
      <c r="D1013" s="7" t="inlineStr"/>
      <c r="E1013" s="7" t="inlineStr">
        <is>
          <t>RSPLE11</t>
        </is>
      </c>
      <c r="F1013" s="8" t="inlineStr">
        <is>
          <t>ED MONTENEGRO</t>
        </is>
      </c>
      <c r="G1013" s="8" t="inlineStr">
        <is>
          <t>AV PROTASIO ALVES 3062</t>
        </is>
      </c>
      <c r="H1013" s="7" t="inlineStr">
        <is>
          <t>PETAA.153.M043</t>
        </is>
      </c>
      <c r="I1013" s="8" t="inlineStr"/>
      <c r="J1013" s="8" t="inlineStr"/>
      <c r="K1013" s="8" t="inlineStr">
        <is>
          <t>CATIA</t>
        </is>
      </c>
      <c r="L1013" s="9" t="n">
        <v>46234</v>
      </c>
      <c r="M1013" s="7" t="inlineStr"/>
      <c r="N1013" s="9" t="n">
        <v>46238</v>
      </c>
      <c r="O1013" s="9" t="n">
        <v>46238</v>
      </c>
      <c r="P1013" s="7" t="inlineStr">
        <is>
          <t>Não Precisa</t>
        </is>
      </c>
      <c r="Q1013" s="7" t="inlineStr"/>
      <c r="R1013" s="7" t="inlineStr">
        <is>
          <t>Concluído Campo</t>
        </is>
      </c>
      <c r="S1013" s="7" t="inlineStr"/>
      <c r="T1013" s="10" t="inlineStr"/>
      <c r="U1013" s="7" t="inlineStr"/>
      <c r="V1013" s="7" t="inlineStr"/>
      <c r="W1013" s="7" t="inlineStr"/>
      <c r="X1013" s="7" t="inlineStr">
        <is>
          <t>AG. RELATÓRIO</t>
        </is>
      </c>
      <c r="Y1013" s="11">
        <f>IF(AND(L1013&lt;&gt;"", S1013&lt;&gt;""), S1013-L1013, IF(L1013&lt;&gt;"", TODAY()-L1013, ""))</f>
        <v/>
      </c>
      <c r="Z1013" s="7">
        <f>IF(Y1013="", "", IF(Y1013&lt;=3, "NO PRAZO", "ATRASADO"))</f>
        <v/>
      </c>
      <c r="AA1013" s="8" t="inlineStr"/>
    </row>
    <row r="1014" ht="20" customHeight="1">
      <c r="A1014" s="7" t="inlineStr">
        <is>
          <t>RSCLER1004</t>
        </is>
      </c>
      <c r="B1014" s="8" t="inlineStr">
        <is>
          <t>PORTO ALEGRE</t>
        </is>
      </c>
      <c r="C1014" s="7" t="inlineStr">
        <is>
          <t>BFMAB</t>
        </is>
      </c>
      <c r="D1014" s="7" t="inlineStr">
        <is>
          <t>RBRAH</t>
        </is>
      </c>
      <c r="E1014" s="7" t="inlineStr">
        <is>
          <t>RSPCE13</t>
        </is>
      </c>
      <c r="F1014" s="8" t="inlineStr">
        <is>
          <t>Edificio Prado</t>
        </is>
      </c>
      <c r="G1014" s="8" t="inlineStr">
        <is>
          <t>R MOSTARDEIRO 539</t>
        </is>
      </c>
      <c r="H1014" s="7" t="inlineStr">
        <is>
          <t>BFMAB.164.M30</t>
        </is>
      </c>
      <c r="I1014" s="8" t="inlineStr">
        <is>
          <t>2 ABERTURA E FECHAMENTO, 1 FUSÃO, 1 TESTE.</t>
        </is>
      </c>
      <c r="J1014" s="8" t="inlineStr"/>
      <c r="K1014" s="8" t="inlineStr">
        <is>
          <t>CATIA</t>
        </is>
      </c>
      <c r="L1014" s="9" t="n">
        <v>46234</v>
      </c>
      <c r="M1014" s="7" t="inlineStr"/>
      <c r="N1014" s="9" t="n">
        <v>46238</v>
      </c>
      <c r="O1014" s="9" t="n">
        <v>46206</v>
      </c>
      <c r="P1014" s="7" t="inlineStr">
        <is>
          <t>Não Precisa</t>
        </is>
      </c>
      <c r="Q1014" s="7" t="inlineStr"/>
      <c r="R1014" s="7" t="inlineStr">
        <is>
          <t>Concluído Campo</t>
        </is>
      </c>
      <c r="S1014" s="7" t="inlineStr"/>
      <c r="T1014" s="10" t="inlineStr"/>
      <c r="U1014" s="7" t="inlineStr"/>
      <c r="V1014" s="7" t="inlineStr"/>
      <c r="W1014" s="7" t="inlineStr"/>
      <c r="X1014" s="7" t="inlineStr">
        <is>
          <t>AG. RELATÓRIO</t>
        </is>
      </c>
      <c r="Y1014" s="11">
        <f>IF(AND(L1014&lt;&gt;"", S1014&lt;&gt;""), S1014-L1014, IF(L1014&lt;&gt;"", TODAY()-L1014, ""))</f>
        <v/>
      </c>
      <c r="Z1014" s="7">
        <f>IF(Y1014="", "", IF(Y1014&lt;=3, "NO PRAZO", "ATRASADO"))</f>
        <v/>
      </c>
      <c r="AA1014" s="8" t="inlineStr"/>
    </row>
    <row r="1015" ht="20" customHeight="1">
      <c r="A1015" s="7" t="inlineStr">
        <is>
          <t>RSCLER1013</t>
        </is>
      </c>
      <c r="B1015" s="8" t="inlineStr">
        <is>
          <t>PORTO ALEGRE</t>
        </is>
      </c>
      <c r="C1015" s="7" t="inlineStr">
        <is>
          <t>BFMAA</t>
        </is>
      </c>
      <c r="D1015" s="7" t="inlineStr">
        <is>
          <t>FLOAPB</t>
        </is>
      </c>
      <c r="E1015" s="7" t="inlineStr">
        <is>
          <t>RSPLE78</t>
        </is>
      </c>
      <c r="F1015" s="8" t="inlineStr">
        <is>
          <t>DOM CAMILO</t>
        </is>
      </c>
      <c r="G1015" s="8" t="inlineStr">
        <is>
          <t>R CDOR AZEVEDO 464</t>
        </is>
      </c>
      <c r="H1015" s="7" t="inlineStr">
        <is>
          <t>BFMAA.033.M030</t>
        </is>
      </c>
      <c r="I1015" s="8" t="inlineStr">
        <is>
          <t>2 ABERTURA E FECHAMENTO, 6 FUSÕES, 3 TESTES, 3 TESTES OTDR.</t>
        </is>
      </c>
      <c r="J1015" s="8" t="inlineStr"/>
      <c r="K1015" s="8" t="inlineStr">
        <is>
          <t>CATIA</t>
        </is>
      </c>
      <c r="L1015" s="9" t="n">
        <v>46234</v>
      </c>
      <c r="M1015" s="7" t="inlineStr"/>
      <c r="N1015" s="9" t="n">
        <v>46234</v>
      </c>
      <c r="O1015" s="9" t="n">
        <v>46234</v>
      </c>
      <c r="P1015" s="7" t="inlineStr">
        <is>
          <t>Não Precisa</t>
        </is>
      </c>
      <c r="Q1015" s="7" t="inlineStr"/>
      <c r="R1015" s="7" t="inlineStr">
        <is>
          <t>Concluído Campo</t>
        </is>
      </c>
      <c r="S1015" s="7" t="inlineStr"/>
      <c r="T1015" s="10" t="inlineStr"/>
      <c r="U1015" s="7" t="inlineStr"/>
      <c r="V1015" s="7" t="inlineStr"/>
      <c r="W1015" s="7" t="inlineStr"/>
      <c r="X1015" s="7" t="inlineStr">
        <is>
          <t>AG. RELATÓRIO</t>
        </is>
      </c>
      <c r="Y1015" s="11">
        <f>IF(AND(L1015&lt;&gt;"", S1015&lt;&gt;""), S1015-L1015, IF(L1015&lt;&gt;"", TODAY()-L1015, ""))</f>
        <v/>
      </c>
      <c r="Z1015" s="7">
        <f>IF(Y1015="", "", IF(Y1015&lt;=3, "NO PRAZO", "ATRASADO"))</f>
        <v/>
      </c>
      <c r="AA1015" s="8" t="inlineStr"/>
    </row>
    <row r="1016" ht="20" customHeight="1">
      <c r="A1016" s="7" t="inlineStr">
        <is>
          <t>RSCLER1009</t>
        </is>
      </c>
      <c r="B1016" s="8" t="inlineStr">
        <is>
          <t>PORTO ALEGRE</t>
        </is>
      </c>
      <c r="C1016" s="7" t="inlineStr">
        <is>
          <t>PETAA</t>
        </is>
      </c>
      <c r="D1016" s="7" t="inlineStr"/>
      <c r="E1016" s="7" t="inlineStr">
        <is>
          <t>RSPLE11</t>
        </is>
      </c>
      <c r="F1016" s="8" t="inlineStr">
        <is>
          <t>ED MILENE</t>
        </is>
      </c>
      <c r="G1016" s="8" t="inlineStr">
        <is>
          <t>AV PROTASIO ALVES 2468</t>
        </is>
      </c>
      <c r="H1016" s="7" t="inlineStr">
        <is>
          <t>PETAA.156.M020</t>
        </is>
      </c>
      <c r="I1016" s="8" t="inlineStr">
        <is>
          <t>5 ABERTURA E FECHAMENTO, 6 FUSÕES, 2 TESTES OTDR, 1 TESTE.</t>
        </is>
      </c>
      <c r="J1016" s="8" t="inlineStr"/>
      <c r="K1016" s="8" t="inlineStr">
        <is>
          <t>CATIA</t>
        </is>
      </c>
      <c r="L1016" s="9" t="n">
        <v>46237</v>
      </c>
      <c r="M1016" s="7" t="inlineStr"/>
      <c r="N1016" s="7" t="inlineStr"/>
      <c r="O1016" s="9" t="n">
        <v>46238</v>
      </c>
      <c r="P1016" s="7" t="inlineStr">
        <is>
          <t>Não Precisa</t>
        </is>
      </c>
      <c r="Q1016" s="7" t="inlineStr"/>
      <c r="R1016" s="7" t="inlineStr">
        <is>
          <t>Concluído Campo</t>
        </is>
      </c>
      <c r="S1016" s="7" t="inlineStr"/>
      <c r="T1016" s="10" t="inlineStr"/>
      <c r="U1016" s="7" t="inlineStr"/>
      <c r="V1016" s="7" t="inlineStr"/>
      <c r="W1016" s="7" t="inlineStr"/>
      <c r="X1016" s="7" t="inlineStr">
        <is>
          <t>AG. RELATÓRIO</t>
        </is>
      </c>
      <c r="Y1016" s="11">
        <f>IF(AND(L1016&lt;&gt;"", S1016&lt;&gt;""), S1016-L1016, IF(L1016&lt;&gt;"", TODAY()-L1016, ""))</f>
        <v/>
      </c>
      <c r="Z1016" s="7">
        <f>IF(Y1016="", "", IF(Y1016&lt;=3, "NO PRAZO", "ATRASADO"))</f>
        <v/>
      </c>
      <c r="AA1016" s="8" t="inlineStr"/>
    </row>
    <row r="1017" ht="20" customHeight="1">
      <c r="A1017" s="7" t="inlineStr">
        <is>
          <t>RSCLER1010</t>
        </is>
      </c>
      <c r="B1017" s="8" t="inlineStr">
        <is>
          <t>PORTO ALEGRE</t>
        </is>
      </c>
      <c r="C1017" s="7" t="inlineStr">
        <is>
          <t>PETAA</t>
        </is>
      </c>
      <c r="D1017" s="7" t="inlineStr"/>
      <c r="E1017" s="7" t="inlineStr">
        <is>
          <t>RSPLE11</t>
        </is>
      </c>
      <c r="F1017" s="8" t="inlineStr">
        <is>
          <t>ED TARASCONE</t>
        </is>
      </c>
      <c r="G1017" s="8" t="inlineStr">
        <is>
          <t>AV PROTASIO ALVES 3560</t>
        </is>
      </c>
      <c r="H1017" s="7" t="inlineStr">
        <is>
          <t>PETAA.063.M020</t>
        </is>
      </c>
      <c r="I1017" s="8" t="inlineStr">
        <is>
          <t>2 ABERTURA E FECHAMENTO, 4 FUSÕES, 2 TESTES, 2 TESTES OTDR.</t>
        </is>
      </c>
      <c r="J1017" s="8" t="inlineStr"/>
      <c r="K1017" s="8" t="inlineStr">
        <is>
          <t>CATIA</t>
        </is>
      </c>
      <c r="L1017" s="9" t="n">
        <v>46238</v>
      </c>
      <c r="M1017" s="7" t="inlineStr"/>
      <c r="N1017" s="9" t="n">
        <v>46241</v>
      </c>
      <c r="O1017" s="9" t="n">
        <v>46238</v>
      </c>
      <c r="P1017" s="7" t="inlineStr">
        <is>
          <t>Não Precisa</t>
        </is>
      </c>
      <c r="Q1017" s="7" t="inlineStr"/>
      <c r="R1017" s="7" t="inlineStr">
        <is>
          <t>Concluído Campo</t>
        </is>
      </c>
      <c r="S1017" s="7" t="inlineStr"/>
      <c r="T1017" s="10" t="inlineStr"/>
      <c r="U1017" s="7" t="inlineStr"/>
      <c r="V1017" s="7" t="inlineStr"/>
      <c r="W1017" s="7" t="inlineStr"/>
      <c r="X1017" s="7" t="inlineStr">
        <is>
          <t>AG. RELATÓRIO</t>
        </is>
      </c>
      <c r="Y1017" s="11">
        <f>IF(AND(L1017&lt;&gt;"", S1017&lt;&gt;""), S1017-L1017, IF(L1017&lt;&gt;"", TODAY()-L1017, ""))</f>
        <v/>
      </c>
      <c r="Z1017" s="7">
        <f>IF(Y1017="", "", IF(Y1017&lt;=3, "NO PRAZO", "ATRASADO"))</f>
        <v/>
      </c>
      <c r="AA1017" s="8" t="inlineStr"/>
    </row>
    <row r="1018" ht="20" customHeight="1">
      <c r="A1018" s="7" t="inlineStr">
        <is>
          <t>RSCLER1012</t>
        </is>
      </c>
      <c r="B1018" s="8" t="inlineStr">
        <is>
          <t>PORTO ALEGRE</t>
        </is>
      </c>
      <c r="C1018" s="7" t="inlineStr">
        <is>
          <t>VIPAA</t>
        </is>
      </c>
      <c r="D1018" s="7" t="inlineStr">
        <is>
          <t>SPEAJ</t>
        </is>
      </c>
      <c r="E1018" s="7" t="inlineStr">
        <is>
          <t>RSPNO019</t>
        </is>
      </c>
      <c r="F1018" s="8" t="inlineStr">
        <is>
          <t>Edifício Planalto</t>
        </is>
      </c>
      <c r="G1018" s="8" t="inlineStr">
        <is>
          <t>R ADÃO BAINO 680</t>
        </is>
      </c>
      <c r="H1018" s="7" t="inlineStr">
        <is>
          <t>VIPAA.124.M020</t>
        </is>
      </c>
      <c r="I1018" s="8" t="inlineStr">
        <is>
          <t>FOI LANÇADO 842 METTROS DE CABO DE 36FO, 2 ABERTURA E FECHAMENTO, 2 CX NOVA,  8 FUSÕES, 1 DERIVAÇÃO, 4 TESTES, 1 TESTE OTDR.</t>
        </is>
      </c>
      <c r="J1018" s="8" t="inlineStr">
        <is>
          <t>TIAGO FERREIRA</t>
        </is>
      </c>
      <c r="K1018" s="8" t="inlineStr">
        <is>
          <t>CATIA</t>
        </is>
      </c>
      <c r="L1018" s="9" t="n">
        <v>46239</v>
      </c>
      <c r="M1018" s="7" t="inlineStr"/>
      <c r="N1018" s="7" t="inlineStr"/>
      <c r="O1018" s="9" t="n">
        <v>46245</v>
      </c>
      <c r="P1018" s="9" t="n">
        <v>46254</v>
      </c>
      <c r="Q1018" s="9" t="n">
        <v>46254</v>
      </c>
      <c r="R1018" s="7" t="inlineStr">
        <is>
          <t>Concluído Campo</t>
        </is>
      </c>
      <c r="S1018" s="7" t="inlineStr"/>
      <c r="T1018" s="10" t="inlineStr"/>
      <c r="U1018" s="7" t="inlineStr"/>
      <c r="V1018" s="7" t="inlineStr"/>
      <c r="W1018" s="7" t="inlineStr"/>
      <c r="X1018" s="7" t="inlineStr">
        <is>
          <t>AG. MEDIÇÃO</t>
        </is>
      </c>
      <c r="Y1018" s="11">
        <f>IF(AND(L1018&lt;&gt;"", S1018&lt;&gt;""), S1018-L1018, IF(L1018&lt;&gt;"", TODAY()-L1018, ""))</f>
        <v/>
      </c>
      <c r="Z1018" s="7">
        <f>IF(Y1018="", "", IF(Y1018&lt;=3, "NO PRAZO", "ATRASADO"))</f>
        <v/>
      </c>
      <c r="AA1018" s="8" t="inlineStr"/>
    </row>
    <row r="1019" ht="20" customHeight="1">
      <c r="A1019" s="7" t="inlineStr">
        <is>
          <t>RSCLER1011</t>
        </is>
      </c>
      <c r="B1019" s="8" t="inlineStr">
        <is>
          <t>PORTO ALEGRE</t>
        </is>
      </c>
      <c r="C1019" s="7" t="inlineStr">
        <is>
          <t>MNDAC</t>
        </is>
      </c>
      <c r="D1019" s="7" t="inlineStr">
        <is>
          <t>mndamb</t>
        </is>
      </c>
      <c r="E1019" s="7" t="inlineStr">
        <is>
          <t>RSPSU02</t>
        </is>
      </c>
      <c r="F1019" s="8" t="inlineStr">
        <is>
          <t>Edifício Monroe</t>
        </is>
      </c>
      <c r="G1019" s="8" t="inlineStr">
        <is>
          <t>R MONROE 67</t>
        </is>
      </c>
      <c r="H1019" s="7" t="inlineStr">
        <is>
          <t>MNDAC.111.M020</t>
        </is>
      </c>
      <c r="I1019" s="8" t="inlineStr">
        <is>
          <t>3 ABERTURA E FECHAMENTO, 3 FUSÕES, 1 TESTE, 2 OTDR.</t>
        </is>
      </c>
      <c r="J1019" s="8" t="inlineStr"/>
      <c r="K1019" s="8" t="inlineStr">
        <is>
          <t>CATIA</t>
        </is>
      </c>
      <c r="L1019" s="9" t="n">
        <v>46238</v>
      </c>
      <c r="M1019" s="7" t="inlineStr"/>
      <c r="N1019" s="7" t="inlineStr"/>
      <c r="O1019" s="9" t="n">
        <v>46239</v>
      </c>
      <c r="P1019" s="7" t="inlineStr">
        <is>
          <t>OK</t>
        </is>
      </c>
      <c r="Q1019" s="7" t="inlineStr"/>
      <c r="R1019" s="7" t="inlineStr">
        <is>
          <t>Concluído Campo</t>
        </is>
      </c>
      <c r="S1019" s="7" t="inlineStr"/>
      <c r="T1019" s="10" t="inlineStr"/>
      <c r="U1019" s="7" t="inlineStr"/>
      <c r="V1019" s="7" t="inlineStr"/>
      <c r="W1019" s="7" t="inlineStr"/>
      <c r="X1019" s="7" t="inlineStr">
        <is>
          <t>AG. RELATÓRIO</t>
        </is>
      </c>
      <c r="Y1019" s="11">
        <f>IF(AND(L1019&lt;&gt;"", S1019&lt;&gt;""), S1019-L1019, IF(L1019&lt;&gt;"", TODAY()-L1019, ""))</f>
        <v/>
      </c>
      <c r="Z1019" s="7">
        <f>IF(Y1019="", "", IF(Y1019&lt;=3, "NO PRAZO", "ATRASADO"))</f>
        <v/>
      </c>
      <c r="AA1019" s="8" t="inlineStr"/>
    </row>
    <row r="1020" ht="20" customHeight="1">
      <c r="A1020" s="7" t="inlineStr">
        <is>
          <t>RSCLER1014</t>
        </is>
      </c>
      <c r="B1020" s="8" t="inlineStr">
        <is>
          <t>PORTO ALEGRE</t>
        </is>
      </c>
      <c r="C1020" s="7" t="inlineStr">
        <is>
          <t>PETAA</t>
        </is>
      </c>
      <c r="D1020" s="7" t="inlineStr">
        <is>
          <t>PETAR</t>
        </is>
      </c>
      <c r="E1020" s="7" t="inlineStr">
        <is>
          <t>RSPLE11</t>
        </is>
      </c>
      <c r="F1020" s="8" t="inlineStr">
        <is>
          <t>Edifício Carazinho</t>
        </is>
      </c>
      <c r="G1020" s="8" t="inlineStr">
        <is>
          <t>R CARAZINHO 245</t>
        </is>
      </c>
      <c r="H1020" s="7" t="inlineStr">
        <is>
          <t>PETAA.152.M010</t>
        </is>
      </c>
      <c r="I1020" s="8" t="inlineStr">
        <is>
          <t>3 ABERTURA E FECHAMENTO, 4 FUSÕES, 2 TESTES, 2 TESTES OTDR</t>
        </is>
      </c>
      <c r="J1020" s="8" t="inlineStr"/>
      <c r="K1020" s="8" t="inlineStr">
        <is>
          <t>CATIA</t>
        </is>
      </c>
      <c r="L1020" s="9" t="n">
        <v>46240</v>
      </c>
      <c r="M1020" s="7" t="inlineStr"/>
      <c r="N1020" s="7" t="inlineStr"/>
      <c r="O1020" s="9" t="n">
        <v>46241</v>
      </c>
      <c r="P1020" s="9" t="n">
        <v>46254</v>
      </c>
      <c r="Q1020" s="9" t="n">
        <v>46254</v>
      </c>
      <c r="R1020" s="7" t="inlineStr">
        <is>
          <t>Concluído Campo</t>
        </is>
      </c>
      <c r="S1020" s="7" t="inlineStr"/>
      <c r="T1020" s="10" t="inlineStr"/>
      <c r="U1020" s="7" t="inlineStr"/>
      <c r="V1020" s="7" t="inlineStr"/>
      <c r="W1020" s="7" t="inlineStr"/>
      <c r="X1020" s="7" t="inlineStr">
        <is>
          <t>AG. MEDIÇÃO</t>
        </is>
      </c>
      <c r="Y1020" s="11">
        <f>IF(AND(L1020&lt;&gt;"", S1020&lt;&gt;""), S1020-L1020, IF(L1020&lt;&gt;"", TODAY()-L1020, ""))</f>
        <v/>
      </c>
      <c r="Z1020" s="7">
        <f>IF(Y1020="", "", IF(Y1020&lt;=3, "NO PRAZO", "ATRASADO"))</f>
        <v/>
      </c>
      <c r="AA1020" s="8" t="inlineStr"/>
    </row>
    <row r="1021" ht="20" customHeight="1">
      <c r="A1021" s="7" t="inlineStr">
        <is>
          <t>RSCLER1015</t>
        </is>
      </c>
      <c r="B1021" s="8" t="inlineStr">
        <is>
          <t>PORTO ALEGRE</t>
        </is>
      </c>
      <c r="C1021" s="7" t="inlineStr">
        <is>
          <t>PETAA</t>
        </is>
      </c>
      <c r="D1021" s="7" t="inlineStr">
        <is>
          <t>PETAR</t>
        </is>
      </c>
      <c r="E1021" s="7" t="inlineStr">
        <is>
          <t>RSPLE11</t>
        </is>
      </c>
      <c r="F1021" s="8" t="inlineStr">
        <is>
          <t>Cond. Edifício Ijuí</t>
        </is>
      </c>
      <c r="G1021" s="8" t="inlineStr">
        <is>
          <t>AV IJUÍ 141</t>
        </is>
      </c>
      <c r="H1021" s="7" t="inlineStr">
        <is>
          <t>PETAA.152.M030</t>
        </is>
      </c>
      <c r="I1021" s="8" t="inlineStr">
        <is>
          <t>COBRAR JUNTO COM A OS RSCLER1014</t>
        </is>
      </c>
      <c r="J1021" s="8" t="inlineStr"/>
      <c r="K1021" s="8" t="inlineStr">
        <is>
          <t>CATIA</t>
        </is>
      </c>
      <c r="L1021" s="9" t="n">
        <v>46240</v>
      </c>
      <c r="M1021" s="7" t="inlineStr"/>
      <c r="N1021" s="7" t="inlineStr"/>
      <c r="O1021" s="9" t="n">
        <v>46241</v>
      </c>
      <c r="P1021" s="9" t="n">
        <v>46254</v>
      </c>
      <c r="Q1021" s="9" t="n">
        <v>46254</v>
      </c>
      <c r="R1021" s="7" t="inlineStr">
        <is>
          <t>Concluído Campo</t>
        </is>
      </c>
      <c r="S1021" s="7" t="inlineStr"/>
      <c r="T1021" s="10" t="inlineStr"/>
      <c r="U1021" s="7" t="inlineStr"/>
      <c r="V1021" s="7" t="inlineStr"/>
      <c r="W1021" s="7" t="inlineStr"/>
      <c r="X1021" s="7" t="inlineStr">
        <is>
          <t>AG. MEDIÇÃO</t>
        </is>
      </c>
      <c r="Y1021" s="11">
        <f>IF(AND(L1021&lt;&gt;"", S1021&lt;&gt;""), S1021-L1021, IF(L1021&lt;&gt;"", TODAY()-L1021, ""))</f>
        <v/>
      </c>
      <c r="Z1021" s="7">
        <f>IF(Y1021="", "", IF(Y1021&lt;=3, "NO PRAZO", "ATRASADO"))</f>
        <v/>
      </c>
      <c r="AA1021" s="8" t="inlineStr"/>
    </row>
    <row r="1022" ht="20" customHeight="1">
      <c r="A1022" s="7" t="inlineStr">
        <is>
          <t>RSCLER1016</t>
        </is>
      </c>
      <c r="B1022" s="8" t="inlineStr">
        <is>
          <t>PORTO ALEGRE</t>
        </is>
      </c>
      <c r="C1022" s="7" t="inlineStr">
        <is>
          <t>BFMAB</t>
        </is>
      </c>
      <c r="D1022" s="7" t="inlineStr">
        <is>
          <t>BFMAF</t>
        </is>
      </c>
      <c r="E1022" s="7" t="inlineStr">
        <is>
          <t>RSPCE13</t>
        </is>
      </c>
      <c r="F1022" s="8" t="inlineStr">
        <is>
          <t>Edifício Julieta</t>
        </is>
      </c>
      <c r="G1022" s="8" t="inlineStr">
        <is>
          <t>R GEN. JOÃO TELLES 292</t>
        </is>
      </c>
      <c r="H1022" s="7" t="inlineStr">
        <is>
          <t>BFMAB.282.M040</t>
        </is>
      </c>
      <c r="I1022" s="8" t="inlineStr">
        <is>
          <t>2 ABERTURA E FECHAMENTO, 2 FUSÕES, 1 TESTE, 1 TESTE OTDR.</t>
        </is>
      </c>
      <c r="J1022" s="8" t="inlineStr"/>
      <c r="K1022" s="8" t="inlineStr">
        <is>
          <t>CATIA</t>
        </is>
      </c>
      <c r="L1022" s="9" t="n">
        <v>46241</v>
      </c>
      <c r="M1022" s="7" t="inlineStr"/>
      <c r="N1022" s="7" t="inlineStr"/>
      <c r="O1022" s="9" t="n">
        <v>46241</v>
      </c>
      <c r="P1022" s="9" t="n">
        <v>46254</v>
      </c>
      <c r="Q1022" s="9" t="n">
        <v>46254</v>
      </c>
      <c r="R1022" s="7" t="inlineStr">
        <is>
          <t>Concluído Campo</t>
        </is>
      </c>
      <c r="S1022" s="7" t="inlineStr"/>
      <c r="T1022" s="10" t="inlineStr"/>
      <c r="U1022" s="7" t="inlineStr"/>
      <c r="V1022" s="7" t="inlineStr"/>
      <c r="W1022" s="7" t="inlineStr"/>
      <c r="X1022" s="7" t="inlineStr">
        <is>
          <t>AG. MEDIÇÃO</t>
        </is>
      </c>
      <c r="Y1022" s="11">
        <f>IF(AND(L1022&lt;&gt;"", S1022&lt;&gt;""), S1022-L1022, IF(L1022&lt;&gt;"", TODAY()-L1022, ""))</f>
        <v/>
      </c>
      <c r="Z1022" s="7">
        <f>IF(Y1022="", "", IF(Y1022&lt;=3, "NO PRAZO", "ATRASADO"))</f>
        <v/>
      </c>
      <c r="AA1022" s="8" t="inlineStr"/>
    </row>
    <row r="1023" ht="20" customHeight="1">
      <c r="A1023" s="7" t="inlineStr">
        <is>
          <t>RSCLER1017</t>
        </is>
      </c>
      <c r="B1023" s="8" t="inlineStr">
        <is>
          <t>PORTO ALEGRE</t>
        </is>
      </c>
      <c r="C1023" s="7" t="inlineStr">
        <is>
          <t>JCVAA</t>
        </is>
      </c>
      <c r="D1023" s="7" t="inlineStr">
        <is>
          <t>MSTAC</t>
        </is>
      </c>
      <c r="E1023" s="7" t="inlineStr">
        <is>
          <t>RSPNO24</t>
        </is>
      </c>
      <c r="F1023" s="8" t="inlineStr">
        <is>
          <t>COND. THE SLIM</t>
        </is>
      </c>
      <c r="G1023" s="8" t="inlineStr">
        <is>
          <t>R NEY DA GAMA AHRENDS 51</t>
        </is>
      </c>
      <c r="H1023" s="7" t="inlineStr">
        <is>
          <t>JCVAA.071.M010</t>
        </is>
      </c>
      <c r="I1023" s="8" t="inlineStr">
        <is>
          <t>3 ABERTURA E FECHAMENTO, 4 FUSÕES, 2 TESTES</t>
        </is>
      </c>
      <c r="J1023" s="8" t="inlineStr"/>
      <c r="K1023" s="8" t="inlineStr">
        <is>
          <t>MAURICIO</t>
        </is>
      </c>
      <c r="L1023" s="9" t="n">
        <v>46241</v>
      </c>
      <c r="M1023" s="7" t="inlineStr"/>
      <c r="N1023" s="7" t="inlineStr"/>
      <c r="O1023" s="9" t="n">
        <v>46242</v>
      </c>
      <c r="P1023" s="9" t="n">
        <v>46254</v>
      </c>
      <c r="Q1023" s="9" t="n">
        <v>46254</v>
      </c>
      <c r="R1023" s="7" t="inlineStr">
        <is>
          <t>Concluído Campo</t>
        </is>
      </c>
      <c r="S1023" s="7" t="inlineStr"/>
      <c r="T1023" s="10" t="inlineStr"/>
      <c r="U1023" s="7" t="inlineStr"/>
      <c r="V1023" s="7" t="inlineStr"/>
      <c r="W1023" s="7" t="inlineStr"/>
      <c r="X1023" s="7" t="inlineStr">
        <is>
          <t>AG. MEDIÇÃO</t>
        </is>
      </c>
      <c r="Y1023" s="11">
        <f>IF(AND(L1023&lt;&gt;"", S1023&lt;&gt;""), S1023-L1023, IF(L1023&lt;&gt;"", TODAY()-L1023, ""))</f>
        <v/>
      </c>
      <c r="Z1023" s="7">
        <f>IF(Y1023="", "", IF(Y1023&lt;=3, "NO PRAZO", "ATRASADO"))</f>
        <v/>
      </c>
      <c r="AA1023" s="8" t="inlineStr"/>
    </row>
    <row r="1024" ht="20" customHeight="1">
      <c r="A1024" s="7" t="inlineStr">
        <is>
          <t>RSCLER1018</t>
        </is>
      </c>
      <c r="B1024" s="8" t="inlineStr">
        <is>
          <t>PORTO ALEGRE</t>
        </is>
      </c>
      <c r="C1024" s="7" t="inlineStr">
        <is>
          <t>BFMAA</t>
        </is>
      </c>
      <c r="D1024" s="7" t="inlineStr">
        <is>
          <t>BFMACA</t>
        </is>
      </c>
      <c r="E1024" s="7" t="inlineStr">
        <is>
          <t>PAE IND</t>
        </is>
      </c>
      <c r="F1024" s="8" t="inlineStr">
        <is>
          <t>TOM 219</t>
        </is>
      </c>
      <c r="G1024" s="8" t="inlineStr">
        <is>
          <t>R TOMAZ FLORES 219</t>
        </is>
      </c>
      <c r="H1024" s="7" t="inlineStr">
        <is>
          <t>BFMAA.143.M040</t>
        </is>
      </c>
      <c r="I1024" s="8" t="inlineStr">
        <is>
          <t>9 ABERTURA E FECHAMENTO, 14 FUSÕES, 1 TESTES, 9 TESTES OTDR.</t>
        </is>
      </c>
      <c r="J1024" s="8" t="inlineStr"/>
      <c r="K1024" s="8" t="inlineStr">
        <is>
          <t>CATIA</t>
        </is>
      </c>
      <c r="L1024" s="9" t="n">
        <v>46242</v>
      </c>
      <c r="M1024" s="7" t="inlineStr"/>
      <c r="N1024" s="7" t="inlineStr"/>
      <c r="O1024" s="9" t="n">
        <v>46248</v>
      </c>
      <c r="P1024" s="9" t="n">
        <v>46254</v>
      </c>
      <c r="Q1024" s="9" t="n">
        <v>46254</v>
      </c>
      <c r="R1024" s="7" t="inlineStr">
        <is>
          <t>Concluído Campo</t>
        </is>
      </c>
      <c r="S1024" s="7" t="inlineStr"/>
      <c r="T1024" s="10" t="inlineStr"/>
      <c r="U1024" s="7" t="inlineStr"/>
      <c r="V1024" s="7" t="inlineStr"/>
      <c r="W1024" s="7" t="inlineStr"/>
      <c r="X1024" s="7" t="inlineStr">
        <is>
          <t>AG. MEDIÇÃO</t>
        </is>
      </c>
      <c r="Y1024" s="11">
        <f>IF(AND(L1024&lt;&gt;"", S1024&lt;&gt;""), S1024-L1024, IF(L1024&lt;&gt;"", TODAY()-L1024, ""))</f>
        <v/>
      </c>
      <c r="Z1024" s="7">
        <f>IF(Y1024="", "", IF(Y1024&lt;=3, "NO PRAZO", "ATRASADO"))</f>
        <v/>
      </c>
      <c r="AA1024" s="8" t="inlineStr"/>
    </row>
    <row r="1025" ht="20" customHeight="1">
      <c r="A1025" s="7" t="inlineStr">
        <is>
          <t>RSCLER1021</t>
        </is>
      </c>
      <c r="B1025" s="8" t="inlineStr">
        <is>
          <t>PORTO ALEGRE</t>
        </is>
      </c>
      <c r="C1025" s="7" t="inlineStr">
        <is>
          <t>AZNAA</t>
        </is>
      </c>
      <c r="D1025" s="7" t="inlineStr">
        <is>
          <t>AZNAF</t>
        </is>
      </c>
      <c r="E1025" s="7" t="inlineStr">
        <is>
          <t>RSPLE17</t>
        </is>
      </c>
      <c r="F1025" s="8" t="inlineStr">
        <is>
          <t>Edifício Sabará</t>
        </is>
      </c>
      <c r="G1025" s="8" t="inlineStr">
        <is>
          <t>R DR. VOLTAIRE PIRES 260</t>
        </is>
      </c>
      <c r="H1025" s="7" t="inlineStr">
        <is>
          <t>AZNAA.052.M040</t>
        </is>
      </c>
      <c r="I1025" s="8" t="inlineStr">
        <is>
          <t>2 ABERTURA E FECHAMENTO, 1 FUSÃO, 1 TESTE.</t>
        </is>
      </c>
      <c r="J1025" s="8" t="inlineStr"/>
      <c r="K1025" s="8" t="inlineStr">
        <is>
          <t>CATIA</t>
        </is>
      </c>
      <c r="L1025" s="9" t="n">
        <v>46244</v>
      </c>
      <c r="M1025" s="7" t="inlineStr"/>
      <c r="N1025" s="7" t="inlineStr"/>
      <c r="O1025" s="9" t="n">
        <v>46244</v>
      </c>
      <c r="P1025" s="9" t="n">
        <v>46258</v>
      </c>
      <c r="Q1025" s="9" t="n">
        <v>46258</v>
      </c>
      <c r="R1025" s="7" t="inlineStr">
        <is>
          <t>Concluído Campo</t>
        </is>
      </c>
      <c r="S1025" s="7" t="inlineStr"/>
      <c r="T1025" s="10" t="inlineStr"/>
      <c r="U1025" s="7" t="inlineStr"/>
      <c r="V1025" s="7" t="inlineStr"/>
      <c r="W1025" s="7" t="inlineStr"/>
      <c r="X1025" s="7" t="inlineStr">
        <is>
          <t>AG. MEDIÇÃO</t>
        </is>
      </c>
      <c r="Y1025" s="11">
        <f>IF(AND(L1025&lt;&gt;"", S1025&lt;&gt;""), S1025-L1025, IF(L1025&lt;&gt;"", TODAY()-L1025, ""))</f>
        <v/>
      </c>
      <c r="Z1025" s="7">
        <f>IF(Y1025="", "", IF(Y1025&lt;=3, "NO PRAZO", "ATRASADO"))</f>
        <v/>
      </c>
      <c r="AA1025" s="8" t="inlineStr"/>
    </row>
    <row r="1026" ht="20" customHeight="1">
      <c r="A1026" s="7" t="inlineStr">
        <is>
          <t>RSCLER1020</t>
        </is>
      </c>
      <c r="B1026" s="8" t="inlineStr">
        <is>
          <t>PORTO ALEGRE</t>
        </is>
      </c>
      <c r="C1026" s="7" t="inlineStr">
        <is>
          <t>VIPAA</t>
        </is>
      </c>
      <c r="D1026" s="7" t="inlineStr">
        <is>
          <t>SPEAH</t>
        </is>
      </c>
      <c r="E1026" s="7" t="inlineStr">
        <is>
          <t>RSPNO19</t>
        </is>
      </c>
      <c r="F1026" s="8" t="inlineStr">
        <is>
          <t>Residencial Fernando Cortez</t>
        </is>
      </c>
      <c r="G1026" s="8" t="inlineStr">
        <is>
          <t>R FERNANDO CORTEZ 137</t>
        </is>
      </c>
      <c r="H1026" s="7" t="inlineStr">
        <is>
          <t>VIPAA.021.M050</t>
        </is>
      </c>
      <c r="I1026" s="8" t="inlineStr">
        <is>
          <t>3 ABERTURA E FECHAMENTO, 2 FUSÕES, 1 TESTE.</t>
        </is>
      </c>
      <c r="J1026" s="8" t="inlineStr"/>
      <c r="K1026" s="8" t="inlineStr">
        <is>
          <t>CATIA</t>
        </is>
      </c>
      <c r="L1026" s="9" t="n">
        <v>46242</v>
      </c>
      <c r="M1026" s="7" t="inlineStr"/>
      <c r="N1026" s="7" t="inlineStr"/>
      <c r="O1026" s="9" t="n">
        <v>46244</v>
      </c>
      <c r="P1026" s="9" t="n">
        <v>46254</v>
      </c>
      <c r="Q1026" s="9" t="n">
        <v>46254</v>
      </c>
      <c r="R1026" s="7" t="inlineStr">
        <is>
          <t>Concluído Campo</t>
        </is>
      </c>
      <c r="S1026" s="7" t="inlineStr"/>
      <c r="T1026" s="10" t="inlineStr"/>
      <c r="U1026" s="7" t="inlineStr"/>
      <c r="V1026" s="7" t="inlineStr"/>
      <c r="W1026" s="7" t="inlineStr"/>
      <c r="X1026" s="7" t="inlineStr">
        <is>
          <t>AG. MEDIÇÃO</t>
        </is>
      </c>
      <c r="Y1026" s="11">
        <f>IF(AND(L1026&lt;&gt;"", S1026&lt;&gt;""), S1026-L1026, IF(L1026&lt;&gt;"", TODAY()-L1026, ""))</f>
        <v/>
      </c>
      <c r="Z1026" s="7">
        <f>IF(Y1026="", "", IF(Y1026&lt;=3, "NO PRAZO", "ATRASADO"))</f>
        <v/>
      </c>
      <c r="AA1026" s="8" t="inlineStr"/>
    </row>
    <row r="1027" ht="20" customHeight="1">
      <c r="A1027" s="7" t="inlineStr">
        <is>
          <t>RSCLER1025</t>
        </is>
      </c>
      <c r="B1027" s="8" t="inlineStr">
        <is>
          <t>PORTO ALEGRE</t>
        </is>
      </c>
      <c r="C1027" s="7" t="inlineStr">
        <is>
          <t>BFMAA</t>
        </is>
      </c>
      <c r="D1027" s="7" t="inlineStr">
        <is>
          <t>BFMADA</t>
        </is>
      </c>
      <c r="E1027" s="7" t="inlineStr">
        <is>
          <t>PAE IND</t>
        </is>
      </c>
      <c r="F1027" s="8" t="inlineStr">
        <is>
          <t>Cond. Edifício Astarte</t>
        </is>
      </c>
      <c r="G1027" s="8" t="inlineStr">
        <is>
          <t>R SANTO ANTONIO 638</t>
        </is>
      </c>
      <c r="H1027" s="7" t="inlineStr">
        <is>
          <t>BFMAA.021.M030</t>
        </is>
      </c>
      <c r="I1027" s="8" t="inlineStr">
        <is>
          <t>5 ABERTURA E FECHAMENTO, 16 FUSÕES, 4 TESTES.</t>
        </is>
      </c>
      <c r="J1027" s="8" t="inlineStr"/>
      <c r="K1027" s="8" t="inlineStr">
        <is>
          <t>CATIA</t>
        </is>
      </c>
      <c r="L1027" s="9" t="n">
        <v>46245</v>
      </c>
      <c r="M1027" s="7" t="inlineStr"/>
      <c r="N1027" s="7" t="inlineStr"/>
      <c r="O1027" s="9" t="n">
        <v>46248</v>
      </c>
      <c r="P1027" s="9" t="n">
        <v>46258</v>
      </c>
      <c r="Q1027" s="9" t="n">
        <v>46258</v>
      </c>
      <c r="R1027" s="7" t="inlineStr">
        <is>
          <t>Concluído Campo</t>
        </is>
      </c>
      <c r="S1027" s="7" t="inlineStr"/>
      <c r="T1027" s="10" t="inlineStr"/>
      <c r="U1027" s="7" t="inlineStr"/>
      <c r="V1027" s="7" t="inlineStr"/>
      <c r="W1027" s="7" t="inlineStr"/>
      <c r="X1027" s="7" t="inlineStr">
        <is>
          <t>AG. MEDIÇÃO</t>
        </is>
      </c>
      <c r="Y1027" s="11">
        <f>IF(AND(L1027&lt;&gt;"", S1027&lt;&gt;""), S1027-L1027, IF(L1027&lt;&gt;"", TODAY()-L1027, ""))</f>
        <v/>
      </c>
      <c r="Z1027" s="7">
        <f>IF(Y1027="", "", IF(Y1027&lt;=3, "NO PRAZO", "ATRASADO"))</f>
        <v/>
      </c>
      <c r="AA1027" s="8" t="inlineStr"/>
    </row>
    <row r="1028" ht="20" customHeight="1">
      <c r="A1028" s="7" t="inlineStr">
        <is>
          <t>RSCLER1026</t>
        </is>
      </c>
      <c r="B1028" s="8" t="inlineStr">
        <is>
          <t>PORTO ALEGRE</t>
        </is>
      </c>
      <c r="C1028" s="7" t="inlineStr">
        <is>
          <t>SANAA</t>
        </is>
      </c>
      <c r="D1028" s="7" t="inlineStr">
        <is>
          <t>CBXAH</t>
        </is>
      </c>
      <c r="E1028" s="7" t="inlineStr">
        <is>
          <t>RSPCE22</t>
        </is>
      </c>
      <c r="F1028" s="8" t="inlineStr">
        <is>
          <t>Edifício Paladium</t>
        </is>
      </c>
      <c r="G1028" s="8" t="inlineStr">
        <is>
          <t>AV JOÃO PESSOA 211</t>
        </is>
      </c>
      <c r="H1028" s="7" t="inlineStr">
        <is>
          <t>SANAA.272.M060</t>
        </is>
      </c>
      <c r="I1028" s="8" t="inlineStr">
        <is>
          <t>2 ABERTURA E FECHAMENTO, 5 FUSÕES, 5 TESTES.</t>
        </is>
      </c>
      <c r="J1028" s="8" t="inlineStr"/>
      <c r="K1028" s="8" t="inlineStr">
        <is>
          <t>CATIA</t>
        </is>
      </c>
      <c r="L1028" s="9" t="n">
        <v>46245</v>
      </c>
      <c r="M1028" s="7" t="inlineStr"/>
      <c r="N1028" s="7" t="inlineStr"/>
      <c r="O1028" s="9" t="n">
        <v>46245</v>
      </c>
      <c r="P1028" s="9" t="n">
        <v>46258</v>
      </c>
      <c r="Q1028" s="9" t="n">
        <v>46258</v>
      </c>
      <c r="R1028" s="7" t="inlineStr">
        <is>
          <t>Concluído Campo</t>
        </is>
      </c>
      <c r="S1028" s="7" t="inlineStr"/>
      <c r="T1028" s="10" t="inlineStr"/>
      <c r="U1028" s="7" t="inlineStr"/>
      <c r="V1028" s="7" t="inlineStr"/>
      <c r="W1028" s="7" t="inlineStr"/>
      <c r="X1028" s="7" t="inlineStr">
        <is>
          <t>AG. MEDIÇÃO</t>
        </is>
      </c>
      <c r="Y1028" s="11">
        <f>IF(AND(L1028&lt;&gt;"", S1028&lt;&gt;""), S1028-L1028, IF(L1028&lt;&gt;"", TODAY()-L1028, ""))</f>
        <v/>
      </c>
      <c r="Z1028" s="7">
        <f>IF(Y1028="", "", IF(Y1028&lt;=3, "NO PRAZO", "ATRASADO"))</f>
        <v/>
      </c>
      <c r="AA1028" s="8" t="inlineStr"/>
    </row>
    <row r="1029" ht="20" customHeight="1">
      <c r="A1029" s="7" t="inlineStr">
        <is>
          <t>RSCLER1022</t>
        </is>
      </c>
      <c r="B1029" s="8" t="inlineStr">
        <is>
          <t>PORTO ALEGRE</t>
        </is>
      </c>
      <c r="C1029" s="7" t="inlineStr">
        <is>
          <t>SSOAA</t>
        </is>
      </c>
      <c r="D1029" s="7" t="inlineStr">
        <is>
          <t>SSAOFA</t>
        </is>
      </c>
      <c r="E1029" s="7" t="inlineStr">
        <is>
          <t>RSPNO07</t>
        </is>
      </c>
      <c r="F1029" s="8" t="inlineStr">
        <is>
          <t>Edifício Roberta</t>
        </is>
      </c>
      <c r="G1029" s="8" t="inlineStr">
        <is>
          <t>R OURO PRETO 65</t>
        </is>
      </c>
      <c r="H1029" s="7" t="inlineStr">
        <is>
          <t>SSOAA.091.M100</t>
        </is>
      </c>
      <c r="I1029" s="8" t="inlineStr">
        <is>
          <t>4 ABERTURA E FECHAMENTO, 8 FUSÕES, 2 DERIVAÇÕES, 2 TESTES.</t>
        </is>
      </c>
      <c r="J1029" s="8" t="inlineStr"/>
      <c r="K1029" s="8" t="inlineStr">
        <is>
          <t>CATIA</t>
        </is>
      </c>
      <c r="L1029" s="9" t="n">
        <v>46246</v>
      </c>
      <c r="M1029" s="7" t="inlineStr"/>
      <c r="N1029" s="7" t="inlineStr"/>
      <c r="O1029" s="9" t="n">
        <v>46249</v>
      </c>
      <c r="P1029" s="9" t="n">
        <v>46258</v>
      </c>
      <c r="Q1029" s="9" t="n">
        <v>46258</v>
      </c>
      <c r="R1029" s="7" t="inlineStr">
        <is>
          <t>Concluído Campo</t>
        </is>
      </c>
      <c r="S1029" s="7" t="inlineStr"/>
      <c r="T1029" s="10" t="inlineStr"/>
      <c r="U1029" s="7" t="inlineStr"/>
      <c r="V1029" s="7" t="inlineStr"/>
      <c r="W1029" s="7" t="inlineStr"/>
      <c r="X1029" s="7" t="inlineStr">
        <is>
          <t>AG. MEDIÇÃO</t>
        </is>
      </c>
      <c r="Y1029" s="11">
        <f>IF(AND(L1029&lt;&gt;"", S1029&lt;&gt;""), S1029-L1029, IF(L1029&lt;&gt;"", TODAY()-L1029, ""))</f>
        <v/>
      </c>
      <c r="Z1029" s="7">
        <f>IF(Y1029="", "", IF(Y1029&lt;=3, "NO PRAZO", "ATRASADO"))</f>
        <v/>
      </c>
      <c r="AA1029" s="8" t="inlineStr"/>
    </row>
    <row r="1030" ht="20" customHeight="1">
      <c r="A1030" s="7" t="inlineStr">
        <is>
          <t>RSCLER1023</t>
        </is>
      </c>
      <c r="B1030" s="8" t="inlineStr">
        <is>
          <t>PORTO ALEGRE</t>
        </is>
      </c>
      <c r="C1030" s="7" t="inlineStr">
        <is>
          <t>SSOAA</t>
        </is>
      </c>
      <c r="D1030" s="7" t="inlineStr">
        <is>
          <t>SSAOFA</t>
        </is>
      </c>
      <c r="E1030" s="7" t="inlineStr">
        <is>
          <t>RSPNO07</t>
        </is>
      </c>
      <c r="F1030" s="8" t="inlineStr">
        <is>
          <t>Edifício Ana Paula</t>
        </is>
      </c>
      <c r="G1030" s="8" t="inlineStr">
        <is>
          <t>R OURO PRETO 71</t>
        </is>
      </c>
      <c r="H1030" s="7" t="inlineStr">
        <is>
          <t>SSOAA.091.M100</t>
        </is>
      </c>
      <c r="I1030" s="8" t="inlineStr">
        <is>
          <t>COBRAR JUNTO COM A OS RSCLER1022.</t>
        </is>
      </c>
      <c r="J1030" s="8" t="inlineStr"/>
      <c r="K1030" s="8" t="inlineStr">
        <is>
          <t>CATIA</t>
        </is>
      </c>
      <c r="L1030" s="9" t="n">
        <v>46246</v>
      </c>
      <c r="M1030" s="7" t="inlineStr"/>
      <c r="N1030" s="7" t="inlineStr"/>
      <c r="O1030" s="9" t="n">
        <v>46249</v>
      </c>
      <c r="P1030" s="9" t="n">
        <v>46258</v>
      </c>
      <c r="Q1030" s="9" t="n">
        <v>46258</v>
      </c>
      <c r="R1030" s="7" t="inlineStr">
        <is>
          <t>Concluído Campo</t>
        </is>
      </c>
      <c r="S1030" s="7" t="inlineStr"/>
      <c r="T1030" s="10" t="inlineStr"/>
      <c r="U1030" s="7" t="inlineStr"/>
      <c r="V1030" s="7" t="inlineStr"/>
      <c r="W1030" s="7" t="inlineStr"/>
      <c r="X1030" s="7" t="inlineStr">
        <is>
          <t>AG. MEDIÇÃO</t>
        </is>
      </c>
      <c r="Y1030" s="11">
        <f>IF(AND(L1030&lt;&gt;"", S1030&lt;&gt;""), S1030-L1030, IF(L1030&lt;&gt;"", TODAY()-L1030, ""))</f>
        <v/>
      </c>
      <c r="Z1030" s="7">
        <f>IF(Y1030="", "", IF(Y1030&lt;=3, "NO PRAZO", "ATRASADO"))</f>
        <v/>
      </c>
      <c r="AA1030" s="8" t="inlineStr"/>
    </row>
    <row r="1031" ht="20" customHeight="1">
      <c r="A1031" s="7" t="inlineStr">
        <is>
          <t>RSCLER1024</t>
        </is>
      </c>
      <c r="B1031" s="8" t="inlineStr">
        <is>
          <t>PORTO ALEGRE</t>
        </is>
      </c>
      <c r="C1031" s="7" t="inlineStr">
        <is>
          <t>BFMAA</t>
        </is>
      </c>
      <c r="D1031" s="7" t="inlineStr"/>
      <c r="E1031" s="7" t="inlineStr">
        <is>
          <t>PAE IND</t>
        </is>
      </c>
      <c r="F1031" s="8" t="inlineStr">
        <is>
          <t>Cond. Edifício Armenia</t>
        </is>
      </c>
      <c r="G1031" s="8" t="inlineStr">
        <is>
          <t>R MOSTARDEIRO 12</t>
        </is>
      </c>
      <c r="H1031" s="7" t="inlineStr">
        <is>
          <t>BFMAA.081.M040</t>
        </is>
      </c>
      <c r="I1031" s="8" t="inlineStr">
        <is>
          <t>3 ABERTURA E FECHAMENTO, 6 FUSÕES, 3 TESTES.</t>
        </is>
      </c>
      <c r="J1031" s="8" t="inlineStr"/>
      <c r="K1031" s="8" t="inlineStr">
        <is>
          <t>CATIA</t>
        </is>
      </c>
      <c r="L1031" s="9" t="n">
        <v>46246</v>
      </c>
      <c r="M1031" s="7" t="inlineStr"/>
      <c r="N1031" s="7" t="inlineStr"/>
      <c r="O1031" s="9" t="n">
        <v>46249</v>
      </c>
      <c r="P1031" s="9" t="n">
        <v>46258</v>
      </c>
      <c r="Q1031" s="9" t="n">
        <v>46258</v>
      </c>
      <c r="R1031" s="7" t="inlineStr">
        <is>
          <t>Concluído Campo</t>
        </is>
      </c>
      <c r="S1031" s="7" t="inlineStr"/>
      <c r="T1031" s="10" t="inlineStr"/>
      <c r="U1031" s="7" t="inlineStr"/>
      <c r="V1031" s="7" t="inlineStr"/>
      <c r="W1031" s="7" t="inlineStr"/>
      <c r="X1031" s="7" t="inlineStr">
        <is>
          <t>AG. MEDIÇÃO</t>
        </is>
      </c>
      <c r="Y1031" s="11">
        <f>IF(AND(L1031&lt;&gt;"", S1031&lt;&gt;""), S1031-L1031, IF(L1031&lt;&gt;"", TODAY()-L1031, ""))</f>
        <v/>
      </c>
      <c r="Z1031" s="7">
        <f>IF(Y1031="", "", IF(Y1031&lt;=3, "NO PRAZO", "ATRASADO"))</f>
        <v/>
      </c>
      <c r="AA1031" s="8" t="inlineStr"/>
    </row>
    <row r="1032" ht="20" customHeight="1">
      <c r="A1032" s="7" t="inlineStr">
        <is>
          <t>RSCLER1032</t>
        </is>
      </c>
      <c r="B1032" s="8" t="inlineStr">
        <is>
          <t>PORTO ALEGRE</t>
        </is>
      </c>
      <c r="C1032" s="7" t="inlineStr">
        <is>
          <t>BFMAA</t>
        </is>
      </c>
      <c r="D1032" s="7" t="inlineStr">
        <is>
          <t>BFMAA</t>
        </is>
      </c>
      <c r="E1032" s="7" t="inlineStr">
        <is>
          <t>PAE IND</t>
        </is>
      </c>
      <c r="F1032" s="8" t="inlineStr">
        <is>
          <t>Edifício Cintia</t>
        </is>
      </c>
      <c r="G1032" s="8" t="inlineStr">
        <is>
          <t>R DR BARROS CASSAL 531</t>
        </is>
      </c>
      <c r="H1032" s="7" t="inlineStr">
        <is>
          <t>BFMAA.112.M050</t>
        </is>
      </c>
      <c r="I1032" s="8" t="inlineStr">
        <is>
          <t>4 ABERTURA E FECHAMENTO, 7 FUSÕES, 3 TESTES, 1 TESTES OTDR.</t>
        </is>
      </c>
      <c r="J1032" s="8" t="inlineStr"/>
      <c r="K1032" s="8" t="inlineStr">
        <is>
          <t>CATIA</t>
        </is>
      </c>
      <c r="L1032" s="9" t="n">
        <v>46246</v>
      </c>
      <c r="M1032" s="7" t="inlineStr"/>
      <c r="N1032" s="7" t="inlineStr"/>
      <c r="O1032" s="9" t="n">
        <v>46251</v>
      </c>
      <c r="P1032" s="9" t="n">
        <v>46259</v>
      </c>
      <c r="Q1032" s="9" t="n">
        <v>46259</v>
      </c>
      <c r="R1032" s="7" t="inlineStr">
        <is>
          <t>Concluído Campo</t>
        </is>
      </c>
      <c r="S1032" s="7" t="inlineStr"/>
      <c r="T1032" s="10" t="inlineStr"/>
      <c r="U1032" s="7" t="inlineStr"/>
      <c r="V1032" s="7" t="inlineStr"/>
      <c r="W1032" s="7" t="inlineStr"/>
      <c r="X1032" s="7" t="inlineStr">
        <is>
          <t>AG. MEDIÇÃO</t>
        </is>
      </c>
      <c r="Y1032" s="11">
        <f>IF(AND(L1032&lt;&gt;"", S1032&lt;&gt;""), S1032-L1032, IF(L1032&lt;&gt;"", TODAY()-L1032, ""))</f>
        <v/>
      </c>
      <c r="Z1032" s="7">
        <f>IF(Y1032="", "", IF(Y1032&lt;=3, "NO PRAZO", "ATRASADO"))</f>
        <v/>
      </c>
      <c r="AA1032" s="8" t="inlineStr"/>
    </row>
    <row r="1033" ht="20" customHeight="1">
      <c r="A1033" s="7" t="inlineStr">
        <is>
          <t>RSCLER1027</t>
        </is>
      </c>
      <c r="B1033" s="8" t="inlineStr">
        <is>
          <t>PORTO ALEGRE</t>
        </is>
      </c>
      <c r="C1033" s="7" t="inlineStr">
        <is>
          <t>RBTAB</t>
        </is>
      </c>
      <c r="D1033" s="7" t="inlineStr">
        <is>
          <t>RBTAD</t>
        </is>
      </c>
      <c r="E1033" s="7" t="inlineStr">
        <is>
          <t>RSPNO22</t>
        </is>
      </c>
      <c r="F1033" s="8" t="inlineStr"/>
      <c r="G1033" s="8" t="inlineStr">
        <is>
          <t>R CARLOS ESTEVÃO 460</t>
        </is>
      </c>
      <c r="H1033" s="7" t="inlineStr">
        <is>
          <t>RBTAB.034.M010</t>
        </is>
      </c>
      <c r="I1033" s="8" t="inlineStr">
        <is>
          <t>5 ABERTURA E FECHAMENTO, 15 FUSÕES, 8 TESTES, 1 TESTE OTDR.</t>
        </is>
      </c>
      <c r="J1033" s="8" t="inlineStr"/>
      <c r="K1033" s="8" t="inlineStr">
        <is>
          <t>CATIA</t>
        </is>
      </c>
      <c r="L1033" s="9" t="n">
        <v>46244</v>
      </c>
      <c r="M1033" s="7" t="inlineStr"/>
      <c r="N1033" s="7" t="inlineStr"/>
      <c r="O1033" s="9" t="n">
        <v>46248</v>
      </c>
      <c r="P1033" s="9" t="n">
        <v>46254</v>
      </c>
      <c r="Q1033" s="9" t="n">
        <v>46254</v>
      </c>
      <c r="R1033" s="7" t="inlineStr">
        <is>
          <t>Concluído Campo</t>
        </is>
      </c>
      <c r="S1033" s="7" t="inlineStr"/>
      <c r="T1033" s="10" t="inlineStr"/>
      <c r="U1033" s="7" t="inlineStr"/>
      <c r="V1033" s="7" t="inlineStr"/>
      <c r="W1033" s="7" t="inlineStr"/>
      <c r="X1033" s="7" t="inlineStr">
        <is>
          <t>AG. MEDIÇÃO</t>
        </is>
      </c>
      <c r="Y1033" s="11">
        <f>IF(AND(L1033&lt;&gt;"", S1033&lt;&gt;""), S1033-L1033, IF(L1033&lt;&gt;"", TODAY()-L1033, ""))</f>
        <v/>
      </c>
      <c r="Z1033" s="7">
        <f>IF(Y1033="", "", IF(Y1033&lt;=3, "NO PRAZO", "ATRASADO"))</f>
        <v/>
      </c>
      <c r="AA1033" s="8" t="inlineStr"/>
    </row>
    <row r="1034" ht="20" customHeight="1">
      <c r="A1034" s="7" t="inlineStr">
        <is>
          <t>RSCLER1028</t>
        </is>
      </c>
      <c r="B1034" s="8" t="inlineStr">
        <is>
          <t>NOVO HAMBURGO</t>
        </is>
      </c>
      <c r="C1034" s="7" t="inlineStr">
        <is>
          <t>GRIAA</t>
        </is>
      </c>
      <c r="D1034" s="7" t="inlineStr">
        <is>
          <t>GRIAAA</t>
        </is>
      </c>
      <c r="E1034" s="7" t="inlineStr">
        <is>
          <t>RSNHO01</t>
        </is>
      </c>
      <c r="F1034" s="8" t="inlineStr">
        <is>
          <t>Edifício Hamburgo Living</t>
        </is>
      </c>
      <c r="G1034" s="8" t="inlineStr">
        <is>
          <t>R SÃO LUIS GONZAGA 140, 150</t>
        </is>
      </c>
      <c r="H1034" s="7" t="inlineStr">
        <is>
          <t>GRIAA.053.M040</t>
        </is>
      </c>
      <c r="I1034" s="8" t="inlineStr">
        <is>
          <t>FOI LANÇADO 261 METROS DE CABO, 3 ABERTURA E FECHAMENTO, 1 CX NOVA, 1 DERIVAÇÃO, 16 FUSÕES,12 TESTES.</t>
        </is>
      </c>
      <c r="J1034" s="8" t="inlineStr">
        <is>
          <t>CLEVERSON</t>
        </is>
      </c>
      <c r="K1034" s="8" t="inlineStr">
        <is>
          <t>CLEVERSON</t>
        </is>
      </c>
      <c r="L1034" s="9" t="n">
        <v>46247</v>
      </c>
      <c r="M1034" s="7" t="inlineStr"/>
      <c r="N1034" s="7" t="inlineStr"/>
      <c r="O1034" s="9" t="n">
        <v>46248</v>
      </c>
      <c r="P1034" s="9" t="n">
        <v>46259</v>
      </c>
      <c r="Q1034" s="9" t="n">
        <v>46259</v>
      </c>
      <c r="R1034" s="7" t="inlineStr">
        <is>
          <t>Concluído Campo</t>
        </is>
      </c>
      <c r="S1034" s="7" t="inlineStr"/>
      <c r="T1034" s="10" t="inlineStr"/>
      <c r="U1034" s="7" t="inlineStr"/>
      <c r="V1034" s="7" t="inlineStr"/>
      <c r="W1034" s="7" t="inlineStr"/>
      <c r="X1034" s="7" t="inlineStr">
        <is>
          <t>AG. MEDIÇÃO</t>
        </is>
      </c>
      <c r="Y1034" s="11">
        <f>IF(AND(L1034&lt;&gt;"", S1034&lt;&gt;""), S1034-L1034, IF(L1034&lt;&gt;"", TODAY()-L1034, ""))</f>
        <v/>
      </c>
      <c r="Z1034" s="7">
        <f>IF(Y1034="", "", IF(Y1034&lt;=3, "NO PRAZO", "ATRASADO"))</f>
        <v/>
      </c>
      <c r="AA1034" s="8" t="inlineStr"/>
    </row>
    <row r="1035" ht="20" customHeight="1">
      <c r="A1035" s="7" t="inlineStr">
        <is>
          <t>RSCLER1047</t>
        </is>
      </c>
      <c r="B1035" s="8" t="inlineStr">
        <is>
          <t>PORTO ALEGRE</t>
        </is>
      </c>
      <c r="C1035" s="7" t="inlineStr">
        <is>
          <t>NAVAB</t>
        </is>
      </c>
      <c r="D1035" s="7" t="inlineStr"/>
      <c r="E1035" s="7" t="inlineStr"/>
      <c r="F1035" s="8" t="inlineStr">
        <is>
          <t>ED SIMONE</t>
        </is>
      </c>
      <c r="G1035" s="8" t="inlineStr">
        <is>
          <t>R MARQUES DO ALEGRETE 291</t>
        </is>
      </c>
      <c r="H1035" s="7" t="inlineStr">
        <is>
          <t>NAVAB.043.M050</t>
        </is>
      </c>
      <c r="I1035" s="8" t="inlineStr">
        <is>
          <t>FOI LANÇADO 150 METROS DE CABO DE 12FO, 4 ABERTURA E FECHAMENTO, 14 FUSÕES,1 DERIVAÇÃO,1 CX NOVA, 6 TESTE OTDR, 2 TESTES.</t>
        </is>
      </c>
      <c r="J1035" s="8" t="inlineStr">
        <is>
          <t>TIAGO FERREIRA</t>
        </is>
      </c>
      <c r="K1035" s="8" t="inlineStr">
        <is>
          <t>CATIA</t>
        </is>
      </c>
      <c r="L1035" s="9" t="n">
        <v>46238</v>
      </c>
      <c r="M1035" s="7" t="inlineStr"/>
      <c r="N1035" s="7" t="inlineStr"/>
      <c r="O1035" s="9" t="n">
        <v>46240</v>
      </c>
      <c r="P1035" s="7" t="inlineStr">
        <is>
          <t>Não Precisa</t>
        </is>
      </c>
      <c r="Q1035" s="7" t="inlineStr"/>
      <c r="R1035" s="7" t="inlineStr">
        <is>
          <t>Concluído Campo</t>
        </is>
      </c>
      <c r="S1035" s="7" t="inlineStr"/>
      <c r="T1035" s="10" t="inlineStr"/>
      <c r="U1035" s="7" t="inlineStr"/>
      <c r="V1035" s="7" t="inlineStr"/>
      <c r="W1035" s="7" t="inlineStr"/>
      <c r="X1035" s="7" t="inlineStr">
        <is>
          <t>AG. RELATÓRIO</t>
        </is>
      </c>
      <c r="Y1035" s="11">
        <f>IF(AND(L1035&lt;&gt;"", S1035&lt;&gt;""), S1035-L1035, IF(L1035&lt;&gt;"", TODAY()-L1035, ""))</f>
        <v/>
      </c>
      <c r="Z1035" s="7">
        <f>IF(Y1035="", "", IF(Y1035&lt;=3, "NO PRAZO", "ATRASADO"))</f>
        <v/>
      </c>
      <c r="AA1035" s="8" t="inlineStr"/>
    </row>
    <row r="1036" ht="20" customHeight="1">
      <c r="A1036" s="7" t="inlineStr">
        <is>
          <t>RSCLER1029</t>
        </is>
      </c>
      <c r="B1036" s="8" t="inlineStr">
        <is>
          <t>PORTO ALEGRE</t>
        </is>
      </c>
      <c r="C1036" s="7" t="inlineStr">
        <is>
          <t>PETAA</t>
        </is>
      </c>
      <c r="D1036" s="7" t="inlineStr">
        <is>
          <t>PETAR</t>
        </is>
      </c>
      <c r="E1036" s="7" t="inlineStr">
        <is>
          <t>RSPLE11</t>
        </is>
      </c>
      <c r="F1036" s="8" t="inlineStr">
        <is>
          <t>COND. LOUZANNE</t>
        </is>
      </c>
      <c r="G1036" s="8" t="inlineStr">
        <is>
          <t>R CARAZINHO 217</t>
        </is>
      </c>
      <c r="H1036" s="7" t="inlineStr">
        <is>
          <t>PETAA.152.M030</t>
        </is>
      </c>
      <c r="I1036" s="8" t="inlineStr">
        <is>
          <t>4 ABERTURA E FECHAMENTO, 6 FUSÕES, 3 TESTES.</t>
        </is>
      </c>
      <c r="J1036" s="8" t="inlineStr"/>
      <c r="K1036" s="8" t="inlineStr">
        <is>
          <t>CATIA</t>
        </is>
      </c>
      <c r="L1036" s="9" t="n">
        <v>46247</v>
      </c>
      <c r="M1036" s="7" t="inlineStr"/>
      <c r="N1036" s="7" t="inlineStr"/>
      <c r="O1036" s="9" t="n">
        <v>46251</v>
      </c>
      <c r="P1036" s="9" t="n">
        <v>46259</v>
      </c>
      <c r="Q1036" s="9" t="n">
        <v>46259</v>
      </c>
      <c r="R1036" s="7" t="inlineStr">
        <is>
          <t>Concluído Campo</t>
        </is>
      </c>
      <c r="S1036" s="7" t="inlineStr"/>
      <c r="T1036" s="10" t="inlineStr"/>
      <c r="U1036" s="7" t="inlineStr"/>
      <c r="V1036" s="7" t="inlineStr"/>
      <c r="W1036" s="7" t="inlineStr"/>
      <c r="X1036" s="7" t="inlineStr">
        <is>
          <t>AG. MEDIÇÃO</t>
        </is>
      </c>
      <c r="Y1036" s="11">
        <f>IF(AND(L1036&lt;&gt;"", S1036&lt;&gt;""), S1036-L1036, IF(L1036&lt;&gt;"", TODAY()-L1036, ""))</f>
        <v/>
      </c>
      <c r="Z1036" s="7">
        <f>IF(Y1036="", "", IF(Y1036&lt;=3, "NO PRAZO", "ATRASADO"))</f>
        <v/>
      </c>
      <c r="AA1036" s="8" t="inlineStr"/>
    </row>
    <row r="1037" ht="20" customHeight="1">
      <c r="A1037" s="7" t="inlineStr">
        <is>
          <t>RSCLER1030</t>
        </is>
      </c>
      <c r="B1037" s="8" t="inlineStr">
        <is>
          <t>PORTO ALEGRE</t>
        </is>
      </c>
      <c r="C1037" s="7" t="inlineStr">
        <is>
          <t>PETAA</t>
        </is>
      </c>
      <c r="D1037" s="7" t="inlineStr">
        <is>
          <t>PETAW</t>
        </is>
      </c>
      <c r="E1037" s="7" t="inlineStr">
        <is>
          <t>RSPLE11</t>
        </is>
      </c>
      <c r="F1037" s="8" t="inlineStr"/>
      <c r="G1037" s="8" t="inlineStr">
        <is>
          <t>AV IGUASSÚ 57</t>
        </is>
      </c>
      <c r="H1037" s="7" t="inlineStr">
        <is>
          <t>PETAA.061.M030</t>
        </is>
      </c>
      <c r="I1037" s="8" t="inlineStr">
        <is>
          <t>4 ABERTURA E FECHAMENTO, 3 FUSÕES, 1 TESTE, 3 TESTES OTDR.</t>
        </is>
      </c>
      <c r="J1037" s="8" t="inlineStr"/>
      <c r="K1037" s="8" t="inlineStr">
        <is>
          <t>CATIA</t>
        </is>
      </c>
      <c r="L1037" s="9" t="n">
        <v>46247</v>
      </c>
      <c r="M1037" s="7" t="inlineStr"/>
      <c r="N1037" s="7" t="inlineStr"/>
      <c r="O1037" s="9" t="n">
        <v>46251</v>
      </c>
      <c r="P1037" s="9" t="n">
        <v>46259</v>
      </c>
      <c r="Q1037" s="9" t="n">
        <v>46259</v>
      </c>
      <c r="R1037" s="7" t="inlineStr">
        <is>
          <t>Concluído Campo</t>
        </is>
      </c>
      <c r="S1037" s="7" t="inlineStr"/>
      <c r="T1037" s="10" t="inlineStr"/>
      <c r="U1037" s="7" t="inlineStr"/>
      <c r="V1037" s="7" t="inlineStr"/>
      <c r="W1037" s="7" t="inlineStr"/>
      <c r="X1037" s="7" t="inlineStr">
        <is>
          <t>AG. MEDIÇÃO</t>
        </is>
      </c>
      <c r="Y1037" s="11">
        <f>IF(AND(L1037&lt;&gt;"", S1037&lt;&gt;""), S1037-L1037, IF(L1037&lt;&gt;"", TODAY()-L1037, ""))</f>
        <v/>
      </c>
      <c r="Z1037" s="7">
        <f>IF(Y1037="", "", IF(Y1037&lt;=3, "NO PRAZO", "ATRASADO"))</f>
        <v/>
      </c>
      <c r="AA1037" s="8" t="inlineStr"/>
    </row>
    <row r="1038" ht="20" customHeight="1">
      <c r="A1038" s="7" t="inlineStr">
        <is>
          <t>RSCLER1031</t>
        </is>
      </c>
      <c r="B1038" s="8" t="inlineStr">
        <is>
          <t>PORTO ALEGRE</t>
        </is>
      </c>
      <c r="C1038" s="7" t="inlineStr">
        <is>
          <t>BFMAA</t>
        </is>
      </c>
      <c r="D1038" s="7" t="inlineStr">
        <is>
          <t>FLOAKA</t>
        </is>
      </c>
      <c r="E1038" s="7" t="inlineStr">
        <is>
          <t>PAE IND</t>
        </is>
      </c>
      <c r="F1038" s="8" t="inlineStr">
        <is>
          <t>Edifício Professor Lucchesi</t>
        </is>
      </c>
      <c r="G1038" s="8" t="inlineStr">
        <is>
          <t>R SANTO ANTONIO 325</t>
        </is>
      </c>
      <c r="H1038" s="7" t="inlineStr">
        <is>
          <t>BFMAA.103.M010</t>
        </is>
      </c>
      <c r="I1038" s="8" t="inlineStr">
        <is>
          <t>2 ABERTURA E FECHAMENTO, 4 FUSÕES, 2 TESTES, 2 TESTES OTDR.</t>
        </is>
      </c>
      <c r="J1038" s="8" t="inlineStr"/>
      <c r="K1038" s="8" t="inlineStr">
        <is>
          <t>CATIA</t>
        </is>
      </c>
      <c r="L1038" s="9" t="n">
        <v>46248</v>
      </c>
      <c r="M1038" s="7" t="inlineStr"/>
      <c r="N1038" s="7" t="inlineStr"/>
      <c r="O1038" s="9" t="n">
        <v>46248</v>
      </c>
      <c r="P1038" s="9" t="n">
        <v>46259</v>
      </c>
      <c r="Q1038" s="9" t="n">
        <v>46259</v>
      </c>
      <c r="R1038" s="7" t="inlineStr">
        <is>
          <t>Concluído Campo</t>
        </is>
      </c>
      <c r="S1038" s="7" t="inlineStr"/>
      <c r="T1038" s="10" t="inlineStr"/>
      <c r="U1038" s="7" t="inlineStr"/>
      <c r="V1038" s="7" t="inlineStr"/>
      <c r="W1038" s="7" t="inlineStr"/>
      <c r="X1038" s="7" t="inlineStr">
        <is>
          <t>AG. MEDIÇÃO</t>
        </is>
      </c>
      <c r="Y1038" s="11">
        <f>IF(AND(L1038&lt;&gt;"", S1038&lt;&gt;""), S1038-L1038, IF(L1038&lt;&gt;"", TODAY()-L1038, ""))</f>
        <v/>
      </c>
      <c r="Z1038" s="7">
        <f>IF(Y1038="", "", IF(Y1038&lt;=3, "NO PRAZO", "ATRASADO"))</f>
        <v/>
      </c>
      <c r="AA1038" s="8" t="inlineStr"/>
    </row>
    <row r="1039" ht="20" customHeight="1">
      <c r="A1039" s="7" t="inlineStr">
        <is>
          <t>RSCLER1033</t>
        </is>
      </c>
      <c r="B1039" s="8" t="inlineStr">
        <is>
          <t>PORTO ALEGRE</t>
        </is>
      </c>
      <c r="C1039" s="7" t="inlineStr">
        <is>
          <t>RBRAA</t>
        </is>
      </c>
      <c r="D1039" s="7" t="inlineStr">
        <is>
          <t>RBRAA</t>
        </is>
      </c>
      <c r="E1039" s="7" t="inlineStr">
        <is>
          <t>RSPLE08</t>
        </is>
      </c>
      <c r="F1039" s="8" t="inlineStr">
        <is>
          <t>COND. OURO VELHO</t>
        </is>
      </c>
      <c r="G1039" s="8" t="inlineStr">
        <is>
          <t>R DONA ALICE, 34</t>
        </is>
      </c>
      <c r="H1039" s="7" t="inlineStr">
        <is>
          <t>RBRAA.091.M040</t>
        </is>
      </c>
      <c r="I1039" s="8" t="inlineStr">
        <is>
          <t>3 ABERTURA E FECHAMENTO, 2 FUSÕES, 1 TESTE.</t>
        </is>
      </c>
      <c r="J1039" s="8" t="inlineStr"/>
      <c r="K1039" s="8" t="inlineStr">
        <is>
          <t>CATIA</t>
        </is>
      </c>
      <c r="L1039" s="9" t="n">
        <v>46248</v>
      </c>
      <c r="M1039" s="7" t="inlineStr"/>
      <c r="N1039" s="7" t="inlineStr"/>
      <c r="O1039" s="9" t="n">
        <v>46251</v>
      </c>
      <c r="P1039" s="9" t="n">
        <v>46259</v>
      </c>
      <c r="Q1039" s="9" t="n">
        <v>46259</v>
      </c>
      <c r="R1039" s="7" t="inlineStr">
        <is>
          <t>Concluído Campo</t>
        </is>
      </c>
      <c r="S1039" s="7" t="inlineStr"/>
      <c r="T1039" s="10" t="inlineStr"/>
      <c r="U1039" s="7" t="inlineStr"/>
      <c r="V1039" s="7" t="inlineStr"/>
      <c r="W1039" s="7" t="inlineStr"/>
      <c r="X1039" s="7" t="inlineStr">
        <is>
          <t>AG. MEDIÇÃO</t>
        </is>
      </c>
      <c r="Y1039" s="11">
        <f>IF(AND(L1039&lt;&gt;"", S1039&lt;&gt;""), S1039-L1039, IF(L1039&lt;&gt;"", TODAY()-L1039, ""))</f>
        <v/>
      </c>
      <c r="Z1039" s="7">
        <f>IF(Y1039="", "", IF(Y1039&lt;=3, "NO PRAZO", "ATRASADO"))</f>
        <v/>
      </c>
      <c r="AA1039" s="8" t="inlineStr"/>
    </row>
    <row r="1040" ht="20" customHeight="1">
      <c r="A1040" s="7" t="inlineStr">
        <is>
          <t>RSCLER1034</t>
        </is>
      </c>
      <c r="B1040" s="8" t="inlineStr">
        <is>
          <t>PORTO ALEGRE</t>
        </is>
      </c>
      <c r="C1040" s="7" t="inlineStr">
        <is>
          <t>BFMAB</t>
        </is>
      </c>
      <c r="D1040" s="7" t="inlineStr">
        <is>
          <t>FLOAT</t>
        </is>
      </c>
      <c r="E1040" s="7" t="inlineStr">
        <is>
          <t>RSPCE13</t>
        </is>
      </c>
      <c r="F1040" s="8" t="inlineStr">
        <is>
          <t>ED CENTRO PROFISSIONAL SAVERIO TRUDA</t>
        </is>
      </c>
      <c r="G1040" s="8" t="inlineStr">
        <is>
          <t>R LUCIANA DE ABREU 337</t>
        </is>
      </c>
      <c r="H1040" s="7" t="inlineStr">
        <is>
          <t>BFMAB.071.M020</t>
        </is>
      </c>
      <c r="I1040" s="8" t="inlineStr">
        <is>
          <t>2 ABERTURA E FECHAMENTO, 4 FUSÕES, 2 TESTES, 2 TESTES OTDR.</t>
        </is>
      </c>
      <c r="J1040" s="8" t="inlineStr"/>
      <c r="K1040" s="8" t="inlineStr">
        <is>
          <t>CATIA</t>
        </is>
      </c>
      <c r="L1040" s="9" t="n">
        <v>46251</v>
      </c>
      <c r="M1040" s="7" t="inlineStr"/>
      <c r="N1040" s="7" t="inlineStr"/>
      <c r="O1040" s="9" t="n">
        <v>46251</v>
      </c>
      <c r="P1040" s="9" t="n">
        <v>46259</v>
      </c>
      <c r="Q1040" s="9" t="n">
        <v>46259</v>
      </c>
      <c r="R1040" s="7" t="inlineStr">
        <is>
          <t>Concluído Campo</t>
        </is>
      </c>
      <c r="S1040" s="7" t="inlineStr"/>
      <c r="T1040" s="10" t="inlineStr"/>
      <c r="U1040" s="7" t="inlineStr"/>
      <c r="V1040" s="7" t="inlineStr"/>
      <c r="W1040" s="7" t="inlineStr"/>
      <c r="X1040" s="7" t="inlineStr">
        <is>
          <t>AG. MEDIÇÃO</t>
        </is>
      </c>
      <c r="Y1040" s="11">
        <f>IF(AND(L1040&lt;&gt;"", S1040&lt;&gt;""), S1040-L1040, IF(L1040&lt;&gt;"", TODAY()-L1040, ""))</f>
        <v/>
      </c>
      <c r="Z1040" s="7">
        <f>IF(Y1040="", "", IF(Y1040&lt;=3, "NO PRAZO", "ATRASADO"))</f>
        <v/>
      </c>
      <c r="AA1040" s="8" t="inlineStr"/>
    </row>
    <row r="1041" ht="20" customHeight="1">
      <c r="A1041" s="7" t="inlineStr">
        <is>
          <t>RSCLER1035</t>
        </is>
      </c>
      <c r="B1041" s="8" t="inlineStr">
        <is>
          <t>PORTO ALEGRE</t>
        </is>
      </c>
      <c r="C1041" s="7" t="inlineStr">
        <is>
          <t>TRZAA</t>
        </is>
      </c>
      <c r="D1041" s="7" t="inlineStr">
        <is>
          <t>TRZAAB</t>
        </is>
      </c>
      <c r="E1041" s="7" t="inlineStr">
        <is>
          <t>RSPAU11</t>
        </is>
      </c>
      <c r="F1041" s="8" t="inlineStr">
        <is>
          <t>COND. VILA MONTANA</t>
        </is>
      </c>
      <c r="G1041" s="8" t="inlineStr">
        <is>
          <t>R CEL. MARCOS 240</t>
        </is>
      </c>
      <c r="H1041" s="7" t="inlineStr">
        <is>
          <t>TRZAA.141.M020</t>
        </is>
      </c>
      <c r="I1041" s="8" t="inlineStr">
        <is>
          <t>2 ABERTURA E FECHAMENTO, 1 FUSÃO, 1 TESTE.</t>
        </is>
      </c>
      <c r="J1041" s="8" t="inlineStr"/>
      <c r="K1041" s="8" t="inlineStr">
        <is>
          <t>CATIA</t>
        </is>
      </c>
      <c r="L1041" s="9" t="n">
        <v>46251</v>
      </c>
      <c r="M1041" s="7" t="inlineStr"/>
      <c r="N1041" s="7" t="inlineStr"/>
      <c r="O1041" s="9" t="n">
        <v>46252</v>
      </c>
      <c r="P1041" s="9" t="n">
        <v>46259</v>
      </c>
      <c r="Q1041" s="9" t="n">
        <v>46259</v>
      </c>
      <c r="R1041" s="7" t="inlineStr">
        <is>
          <t>Concluído Campo</t>
        </is>
      </c>
      <c r="S1041" s="7" t="inlineStr"/>
      <c r="T1041" s="10" t="inlineStr"/>
      <c r="U1041" s="7" t="inlineStr"/>
      <c r="V1041" s="7" t="inlineStr"/>
      <c r="W1041" s="7" t="inlineStr"/>
      <c r="X1041" s="7" t="inlineStr">
        <is>
          <t>AG. MEDIÇÃO</t>
        </is>
      </c>
      <c r="Y1041" s="11">
        <f>IF(AND(L1041&lt;&gt;"", S1041&lt;&gt;""), S1041-L1041, IF(L1041&lt;&gt;"", TODAY()-L1041, ""))</f>
        <v/>
      </c>
      <c r="Z1041" s="7">
        <f>IF(Y1041="", "", IF(Y1041&lt;=3, "NO PRAZO", "ATRASADO"))</f>
        <v/>
      </c>
      <c r="AA1041" s="8" t="inlineStr"/>
    </row>
    <row r="1042" ht="20" customHeight="1">
      <c r="A1042" s="7" t="inlineStr">
        <is>
          <t>RSCLER1036</t>
        </is>
      </c>
      <c r="B1042" s="8" t="inlineStr">
        <is>
          <t>ALVORADA</t>
        </is>
      </c>
      <c r="C1042" s="7" t="inlineStr">
        <is>
          <t>UMBAA</t>
        </is>
      </c>
      <c r="D1042" s="7" t="inlineStr"/>
      <c r="E1042" s="7" t="inlineStr"/>
      <c r="F1042" s="8" t="inlineStr">
        <is>
          <t>Condomínio Residencial Viver COOHAGIG</t>
        </is>
      </c>
      <c r="G1042" s="8" t="inlineStr">
        <is>
          <t>Estr. Caminho do Meio, 4250</t>
        </is>
      </c>
      <c r="H1042" s="7" t="inlineStr">
        <is>
          <t>UMBAA.403/UMBAA.404</t>
        </is>
      </c>
      <c r="I1042" s="8" t="inlineStr"/>
      <c r="J1042" s="8" t="inlineStr">
        <is>
          <t>CLEVERSON</t>
        </is>
      </c>
      <c r="K1042" s="8" t="inlineStr"/>
      <c r="L1042" s="9" t="n">
        <v>46252</v>
      </c>
      <c r="M1042" s="7" t="inlineStr"/>
      <c r="N1042" s="7" t="inlineStr"/>
      <c r="O1042" s="7" t="inlineStr">
        <is>
          <t>PARALISADO</t>
        </is>
      </c>
      <c r="P1042" s="7" t="inlineStr">
        <is>
          <t>Não Precisa</t>
        </is>
      </c>
      <c r="Q1042" s="7" t="inlineStr"/>
      <c r="R1042" s="7" t="inlineStr">
        <is>
          <t>Paralisado</t>
        </is>
      </c>
      <c r="S1042" s="7" t="inlineStr"/>
      <c r="T1042" s="10" t="inlineStr"/>
      <c r="U1042" s="7" t="inlineStr"/>
      <c r="V1042" s="7" t="inlineStr"/>
      <c r="W1042" s="7" t="inlineStr"/>
      <c r="X1042" s="7" t="inlineStr">
        <is>
          <t>PARALISADO</t>
        </is>
      </c>
      <c r="Y1042" s="11">
        <f>IF(AND(L1042&lt;&gt;"", S1042&lt;&gt;""), S1042-L1042, IF(L1042&lt;&gt;"", TODAY()-L1042, ""))</f>
        <v/>
      </c>
      <c r="Z1042" s="7">
        <f>IF(Y1042="", "", IF(Y1042&lt;=3, "NO PRAZO", "ATRASADO"))</f>
        <v/>
      </c>
      <c r="AA1042" s="8" t="inlineStr"/>
    </row>
    <row r="1043" ht="20" customHeight="1">
      <c r="A1043" s="7" t="inlineStr">
        <is>
          <t>RSCLER1037</t>
        </is>
      </c>
      <c r="B1043" s="8" t="inlineStr">
        <is>
          <t>PORTO ALEGRE</t>
        </is>
      </c>
      <c r="C1043" s="7" t="inlineStr">
        <is>
          <t>VIPAA</t>
        </is>
      </c>
      <c r="D1043" s="7" t="inlineStr">
        <is>
          <t>SPEAH</t>
        </is>
      </c>
      <c r="E1043" s="7" t="inlineStr">
        <is>
          <t>RSPNO19</t>
        </is>
      </c>
      <c r="F1043" s="8" t="inlineStr">
        <is>
          <t>ED RESIDENCIAL NORMANDIE</t>
        </is>
      </c>
      <c r="G1043" s="8" t="inlineStr">
        <is>
          <t>R FERNANDO CORTEZ 151</t>
        </is>
      </c>
      <c r="H1043" s="7" t="inlineStr">
        <is>
          <t>VIPAA.021.M050</t>
        </is>
      </c>
      <c r="I1043" s="8" t="inlineStr">
        <is>
          <t>FOI LANÇADO 362 METROS DE CABO DE 24FO, 3 ABERTURAS E FECHAMENTOS, 2 DERIVAÇÕES, 7 FUSÕES, 1 TESTE OTDR, 3 TESTES.</t>
        </is>
      </c>
      <c r="J1043" s="8" t="inlineStr">
        <is>
          <t>TIAGO FERREIRA</t>
        </is>
      </c>
      <c r="K1043" s="8" t="inlineStr">
        <is>
          <t>CATIA</t>
        </is>
      </c>
      <c r="L1043" s="9" t="n">
        <v>46252</v>
      </c>
      <c r="M1043" s="7" t="inlineStr"/>
      <c r="N1043" s="7" t="inlineStr"/>
      <c r="O1043" s="9" t="n">
        <v>46255</v>
      </c>
      <c r="P1043" s="9" t="n">
        <v>46259</v>
      </c>
      <c r="Q1043" s="9" t="n">
        <v>46259</v>
      </c>
      <c r="R1043" s="7" t="inlineStr">
        <is>
          <t>Concluído Campo</t>
        </is>
      </c>
      <c r="S1043" s="7" t="inlineStr"/>
      <c r="T1043" s="10" t="inlineStr"/>
      <c r="U1043" s="7" t="inlineStr"/>
      <c r="V1043" s="7" t="inlineStr"/>
      <c r="W1043" s="7" t="inlineStr"/>
      <c r="X1043" s="7" t="inlineStr">
        <is>
          <t>AG. MEDIÇÃO</t>
        </is>
      </c>
      <c r="Y1043" s="11">
        <f>IF(AND(L1043&lt;&gt;"", S1043&lt;&gt;""), S1043-L1043, IF(L1043&lt;&gt;"", TODAY()-L1043, ""))</f>
        <v/>
      </c>
      <c r="Z1043" s="7">
        <f>IF(Y1043="", "", IF(Y1043&lt;=3, "NO PRAZO", "ATRASADO"))</f>
        <v/>
      </c>
      <c r="AA1043" s="8" t="inlineStr"/>
    </row>
    <row r="1044" ht="20" customHeight="1">
      <c r="A1044" s="7" t="inlineStr">
        <is>
          <t>RSCLER1038</t>
        </is>
      </c>
      <c r="B1044" s="8" t="inlineStr">
        <is>
          <t>PORTO ALEGRE</t>
        </is>
      </c>
      <c r="C1044" s="7" t="inlineStr">
        <is>
          <t>MTSAA</t>
        </is>
      </c>
      <c r="D1044" s="7" t="inlineStr">
        <is>
          <t>MTSAJ</t>
        </is>
      </c>
      <c r="E1044" s="7" t="inlineStr">
        <is>
          <t>PAE BV</t>
        </is>
      </c>
      <c r="F1044" s="8" t="inlineStr"/>
      <c r="G1044" s="8" t="inlineStr">
        <is>
          <t>R SILVA JARDIM 749</t>
        </is>
      </c>
      <c r="H1044" s="7" t="inlineStr">
        <is>
          <t>MTSAA.295.M010</t>
        </is>
      </c>
      <c r="I1044" s="8" t="inlineStr">
        <is>
          <t>2 ABERTURA E FECHAMENTO, 2 FUSÕES, 1 TESTE OTDR, 1 TESTE.</t>
        </is>
      </c>
      <c r="J1044" s="8" t="inlineStr"/>
      <c r="K1044" s="8" t="inlineStr">
        <is>
          <t>CATIA</t>
        </is>
      </c>
      <c r="L1044" s="9" t="n">
        <v>46253</v>
      </c>
      <c r="M1044" s="7" t="inlineStr"/>
      <c r="N1044" s="7" t="inlineStr"/>
      <c r="O1044" s="9" t="n">
        <v>46253</v>
      </c>
      <c r="P1044" s="9" t="n">
        <v>46259</v>
      </c>
      <c r="Q1044" s="9" t="n">
        <v>46259</v>
      </c>
      <c r="R1044" s="7" t="inlineStr">
        <is>
          <t>Concluído Campo</t>
        </is>
      </c>
      <c r="S1044" s="7" t="inlineStr"/>
      <c r="T1044" s="10" t="inlineStr"/>
      <c r="U1044" s="7" t="inlineStr"/>
      <c r="V1044" s="7" t="inlineStr"/>
      <c r="W1044" s="7" t="inlineStr"/>
      <c r="X1044" s="7" t="inlineStr">
        <is>
          <t>AG. MEDIÇÃO</t>
        </is>
      </c>
      <c r="Y1044" s="11">
        <f>IF(AND(L1044&lt;&gt;"", S1044&lt;&gt;""), S1044-L1044, IF(L1044&lt;&gt;"", TODAY()-L1044, ""))</f>
        <v/>
      </c>
      <c r="Z1044" s="7">
        <f>IF(Y1044="", "", IF(Y1044&lt;=3, "NO PRAZO", "ATRASADO"))</f>
        <v/>
      </c>
      <c r="AA1044" s="8" t="inlineStr"/>
    </row>
    <row r="1045" ht="20" customHeight="1">
      <c r="A1045" s="7" t="inlineStr">
        <is>
          <t>RSCLER1039</t>
        </is>
      </c>
      <c r="B1045" s="8" t="inlineStr">
        <is>
          <t>PORTO ALEGRE</t>
        </is>
      </c>
      <c r="C1045" s="7" t="inlineStr">
        <is>
          <t>BVSAB</t>
        </is>
      </c>
      <c r="D1045" s="7" t="inlineStr">
        <is>
          <t>PETAU</t>
        </is>
      </c>
      <c r="E1045" s="7" t="inlineStr">
        <is>
          <t>PAE NR</t>
        </is>
      </c>
      <c r="F1045" s="8" t="inlineStr">
        <is>
          <t>Cond. Edifício Manchester</t>
        </is>
      </c>
      <c r="G1045" s="8" t="inlineStr">
        <is>
          <t>AV PROTÁSIO ALVES, 2950</t>
        </is>
      </c>
      <c r="H1045" s="7" t="inlineStr">
        <is>
          <t>BVSAB.082.M020</t>
        </is>
      </c>
      <c r="I1045" s="8" t="inlineStr">
        <is>
          <t>6 ABERTURA E FECHAMENTO, 10 FUSÕES, 2 TESTES, 6 TESTES OTDR.</t>
        </is>
      </c>
      <c r="J1045" s="8" t="inlineStr"/>
      <c r="K1045" s="8" t="inlineStr">
        <is>
          <t>CATIA</t>
        </is>
      </c>
      <c r="L1045" s="9" t="n">
        <v>46253</v>
      </c>
      <c r="M1045" s="7" t="inlineStr"/>
      <c r="N1045" s="7" t="inlineStr"/>
      <c r="O1045" s="9" t="n">
        <v>46255</v>
      </c>
      <c r="P1045" s="9" t="n">
        <v>46259</v>
      </c>
      <c r="Q1045" s="9" t="n">
        <v>46259</v>
      </c>
      <c r="R1045" s="7" t="inlineStr">
        <is>
          <t>Concluído Campo</t>
        </is>
      </c>
      <c r="S1045" s="7" t="inlineStr"/>
      <c r="T1045" s="10" t="inlineStr"/>
      <c r="U1045" s="7" t="inlineStr"/>
      <c r="V1045" s="7" t="inlineStr"/>
      <c r="W1045" s="7" t="inlineStr"/>
      <c r="X1045" s="7" t="inlineStr">
        <is>
          <t>AG. MEDIÇÃO</t>
        </is>
      </c>
      <c r="Y1045" s="11">
        <f>IF(AND(L1045&lt;&gt;"", S1045&lt;&gt;""), S1045-L1045, IF(L1045&lt;&gt;"", TODAY()-L1045, ""))</f>
        <v/>
      </c>
      <c r="Z1045" s="7">
        <f>IF(Y1045="", "", IF(Y1045&lt;=3, "NO PRAZO", "ATRASADO"))</f>
        <v/>
      </c>
      <c r="AA1045" s="8" t="inlineStr"/>
    </row>
    <row r="1046" ht="20" customHeight="1">
      <c r="A1046" s="7" t="inlineStr">
        <is>
          <t>RSCLER1040</t>
        </is>
      </c>
      <c r="B1046" s="8" t="inlineStr">
        <is>
          <t>PORTO ALEGRE</t>
        </is>
      </c>
      <c r="C1046" s="7" t="inlineStr">
        <is>
          <t>TRLAA</t>
        </is>
      </c>
      <c r="D1046" s="7" t="inlineStr">
        <is>
          <t>STZAC</t>
        </is>
      </c>
      <c r="E1046" s="7" t="inlineStr">
        <is>
          <t>PAE HZS</t>
        </is>
      </c>
      <c r="F1046" s="8" t="inlineStr">
        <is>
          <t>Cond. Edifício Santorini Santa Tereza</t>
        </is>
      </c>
      <c r="G1046" s="8" t="inlineStr">
        <is>
          <t>R SEPÉ TIARAJÚ, 488</t>
        </is>
      </c>
      <c r="H1046" s="7" t="inlineStr">
        <is>
          <t>TRLAA.094.M010</t>
        </is>
      </c>
      <c r="I1046" s="8" t="inlineStr">
        <is>
          <t>4 ABERTURA E FECHAMENTO, 16 FUSÕES, 1 DERIVAÇÃO, 4 TESTES.</t>
        </is>
      </c>
      <c r="J1046" s="8" t="inlineStr"/>
      <c r="K1046" s="8" t="inlineStr">
        <is>
          <t>CATIA</t>
        </is>
      </c>
      <c r="L1046" s="9" t="n">
        <v>46253</v>
      </c>
      <c r="M1046" s="7" t="inlineStr"/>
      <c r="N1046" s="7" t="inlineStr"/>
      <c r="O1046" s="9" t="n">
        <v>46254</v>
      </c>
      <c r="P1046" s="9" t="n">
        <v>46259</v>
      </c>
      <c r="Q1046" s="9" t="n">
        <v>46259</v>
      </c>
      <c r="R1046" s="7" t="inlineStr">
        <is>
          <t>Concluído Campo</t>
        </is>
      </c>
      <c r="S1046" s="7" t="inlineStr"/>
      <c r="T1046" s="10" t="inlineStr"/>
      <c r="U1046" s="7" t="inlineStr"/>
      <c r="V1046" s="7" t="inlineStr"/>
      <c r="W1046" s="7" t="inlineStr"/>
      <c r="X1046" s="7" t="inlineStr">
        <is>
          <t>AG. MEDIÇÃO</t>
        </is>
      </c>
      <c r="Y1046" s="11">
        <f>IF(AND(L1046&lt;&gt;"", S1046&lt;&gt;""), S1046-L1046, IF(L1046&lt;&gt;"", TODAY()-L1046, ""))</f>
        <v/>
      </c>
      <c r="Z1046" s="7">
        <f>IF(Y1046="", "", IF(Y1046&lt;=3, "NO PRAZO", "ATRASADO"))</f>
        <v/>
      </c>
      <c r="AA1046" s="8" t="inlineStr"/>
    </row>
    <row r="1047" ht="20" customHeight="1">
      <c r="A1047" s="7" t="inlineStr">
        <is>
          <t>RSCLER1041</t>
        </is>
      </c>
      <c r="B1047" s="8" t="inlineStr">
        <is>
          <t>PORTO ALEGRE</t>
        </is>
      </c>
      <c r="C1047" s="7" t="inlineStr">
        <is>
          <t>MNDAB</t>
        </is>
      </c>
      <c r="D1047" s="7" t="inlineStr"/>
      <c r="E1047" s="7" t="inlineStr"/>
      <c r="F1047" s="8" t="inlineStr"/>
      <c r="G1047" s="8" t="inlineStr">
        <is>
          <t>COND. R LUIZ AFONSO 603</t>
        </is>
      </c>
      <c r="H1047" s="7" t="inlineStr">
        <is>
          <t>MNDAB.353.M020</t>
        </is>
      </c>
      <c r="I1047" s="8" t="inlineStr">
        <is>
          <t>3 ABERTURA E FECHAMENTO, 3 FUSÕES, 1 DERIVAÇÃO, 1 TESTE.</t>
        </is>
      </c>
      <c r="J1047" s="8" t="inlineStr"/>
      <c r="K1047" s="8" t="inlineStr">
        <is>
          <t>CATIA</t>
        </is>
      </c>
      <c r="L1047" s="9" t="n">
        <v>46253</v>
      </c>
      <c r="M1047" s="7" t="inlineStr"/>
      <c r="N1047" s="7" t="inlineStr"/>
      <c r="O1047" s="9" t="n">
        <v>46253</v>
      </c>
      <c r="P1047" s="7" t="inlineStr">
        <is>
          <t>Não Precisa</t>
        </is>
      </c>
      <c r="Q1047" s="7" t="inlineStr"/>
      <c r="R1047" s="7" t="inlineStr">
        <is>
          <t>Concluído Campo</t>
        </is>
      </c>
      <c r="S1047" s="7" t="inlineStr"/>
      <c r="T1047" s="10" t="inlineStr"/>
      <c r="U1047" s="7" t="inlineStr"/>
      <c r="V1047" s="7" t="inlineStr"/>
      <c r="W1047" s="7" t="inlineStr"/>
      <c r="X1047" s="7" t="inlineStr">
        <is>
          <t>AG. RELATÓRIO</t>
        </is>
      </c>
      <c r="Y1047" s="11">
        <f>IF(AND(L1047&lt;&gt;"", S1047&lt;&gt;""), S1047-L1047, IF(L1047&lt;&gt;"", TODAY()-L1047, ""))</f>
        <v/>
      </c>
      <c r="Z1047" s="7">
        <f>IF(Y1047="", "", IF(Y1047&lt;=3, "NO PRAZO", "ATRASADO"))</f>
        <v/>
      </c>
      <c r="AA1047" s="8" t="inlineStr"/>
    </row>
    <row r="1048" ht="20" customHeight="1">
      <c r="A1048" s="7" t="inlineStr">
        <is>
          <t>RSCLER1042</t>
        </is>
      </c>
      <c r="B1048" s="8" t="inlineStr">
        <is>
          <t>PORTO ALEGRE</t>
        </is>
      </c>
      <c r="C1048" s="7" t="inlineStr">
        <is>
          <t>JBOAA</t>
        </is>
      </c>
      <c r="D1048" s="7" t="inlineStr"/>
      <c r="E1048" s="7" t="inlineStr"/>
      <c r="F1048" s="8" t="inlineStr">
        <is>
          <t>Cond. Edifício Albina</t>
        </is>
      </c>
      <c r="G1048" s="8" t="inlineStr">
        <is>
          <t>R GEN. SOUZA DOCA, 52</t>
        </is>
      </c>
      <c r="H1048" s="7" t="inlineStr">
        <is>
          <t>JBOAA.061.M030</t>
        </is>
      </c>
      <c r="I1048" s="8" t="inlineStr">
        <is>
          <t>3 ABERTURA E FECHAMENTO, 7 FUSÕES, 1 DERIVAÇÃO, 3 TESTES.</t>
        </is>
      </c>
      <c r="J1048" s="8" t="inlineStr"/>
      <c r="K1048" s="8" t="inlineStr">
        <is>
          <t>CATIA</t>
        </is>
      </c>
      <c r="L1048" s="9" t="n">
        <v>46253</v>
      </c>
      <c r="M1048" s="7" t="inlineStr"/>
      <c r="N1048" s="7" t="inlineStr"/>
      <c r="O1048" s="9" t="n">
        <v>46254</v>
      </c>
      <c r="P1048" s="7" t="inlineStr">
        <is>
          <t>Não Precisa</t>
        </is>
      </c>
      <c r="Q1048" s="7" t="inlineStr"/>
      <c r="R1048" s="7" t="inlineStr">
        <is>
          <t>Concluído Campo</t>
        </is>
      </c>
      <c r="S1048" s="7" t="inlineStr"/>
      <c r="T1048" s="10" t="inlineStr"/>
      <c r="U1048" s="7" t="inlineStr"/>
      <c r="V1048" s="7" t="inlineStr"/>
      <c r="W1048" s="7" t="inlineStr"/>
      <c r="X1048" s="7" t="inlineStr">
        <is>
          <t>AG. RELATÓRIO</t>
        </is>
      </c>
      <c r="Y1048" s="11">
        <f>IF(AND(L1048&lt;&gt;"", S1048&lt;&gt;""), S1048-L1048, IF(L1048&lt;&gt;"", TODAY()-L1048, ""))</f>
        <v/>
      </c>
      <c r="Z1048" s="7">
        <f>IF(Y1048="", "", IF(Y1048&lt;=3, "NO PRAZO", "ATRASADO"))</f>
        <v/>
      </c>
      <c r="AA1048" s="8" t="inlineStr"/>
    </row>
    <row r="1049" ht="20" customHeight="1">
      <c r="A1049" s="7" t="inlineStr">
        <is>
          <t>RSCLER1043</t>
        </is>
      </c>
      <c r="B1049" s="8" t="inlineStr">
        <is>
          <t>PORTO ALEGRE</t>
        </is>
      </c>
      <c r="C1049" s="7" t="inlineStr">
        <is>
          <t>BFMAA</t>
        </is>
      </c>
      <c r="D1049" s="7" t="inlineStr"/>
      <c r="E1049" s="7" t="inlineStr"/>
      <c r="F1049" s="8" t="inlineStr">
        <is>
          <t>COND. Bristol</t>
        </is>
      </c>
      <c r="G1049" s="8" t="inlineStr">
        <is>
          <t>R IMO JOSE OTAO 170</t>
        </is>
      </c>
      <c r="H1049" s="7" t="inlineStr">
        <is>
          <t>BFMAA.122.M050</t>
        </is>
      </c>
      <c r="I1049" s="8" t="inlineStr"/>
      <c r="J1049" s="8" t="inlineStr"/>
      <c r="K1049" s="8" t="inlineStr">
        <is>
          <t>LIRA</t>
        </is>
      </c>
      <c r="L1049" s="9" t="n">
        <v>46253</v>
      </c>
      <c r="M1049" s="7" t="inlineStr"/>
      <c r="N1049" s="7" t="inlineStr"/>
      <c r="O1049" s="9" t="n">
        <v>46253</v>
      </c>
      <c r="P1049" s="7" t="inlineStr">
        <is>
          <t>Não Precisa</t>
        </is>
      </c>
      <c r="Q1049" s="7" t="inlineStr"/>
      <c r="R1049" s="7" t="inlineStr">
        <is>
          <t>Concluído Campo</t>
        </is>
      </c>
      <c r="S1049" s="7" t="inlineStr"/>
      <c r="T1049" s="10" t="inlineStr"/>
      <c r="U1049" s="7" t="inlineStr"/>
      <c r="V1049" s="7" t="inlineStr"/>
      <c r="W1049" s="7" t="inlineStr"/>
      <c r="X1049" s="7" t="inlineStr">
        <is>
          <t>AG. RELATÓRIO</t>
        </is>
      </c>
      <c r="Y1049" s="11">
        <f>IF(AND(L1049&lt;&gt;"", S1049&lt;&gt;""), S1049-L1049, IF(L1049&lt;&gt;"", TODAY()-L1049, ""))</f>
        <v/>
      </c>
      <c r="Z1049" s="7">
        <f>IF(Y1049="", "", IF(Y1049&lt;=3, "NO PRAZO", "ATRASADO"))</f>
        <v/>
      </c>
      <c r="AA1049" s="8" t="inlineStr"/>
    </row>
    <row r="1050" ht="20" customHeight="1">
      <c r="A1050" s="7" t="inlineStr">
        <is>
          <t>RSCLER1044</t>
        </is>
      </c>
      <c r="B1050" s="8" t="inlineStr">
        <is>
          <t>PORTO ALEGRE</t>
        </is>
      </c>
      <c r="C1050" s="7" t="inlineStr">
        <is>
          <t>BFMAA</t>
        </is>
      </c>
      <c r="D1050" s="7" t="inlineStr"/>
      <c r="E1050" s="7" t="inlineStr"/>
      <c r="F1050" s="8" t="inlineStr">
        <is>
          <t>COND. ALVARO ESTEVES</t>
        </is>
      </c>
      <c r="G1050" s="8" t="inlineStr">
        <is>
          <t>AV FARRAPOS 1456</t>
        </is>
      </c>
      <c r="H1050" s="7" t="inlineStr">
        <is>
          <t>BFMAA.272.M030</t>
        </is>
      </c>
      <c r="I1050" s="8" t="inlineStr">
        <is>
          <t>3 ABERTURA E FECHAMENTO, 3 FUSÕES, 2 TESTES, 2 TESTES OTDR.</t>
        </is>
      </c>
      <c r="J1050" s="8" t="inlineStr"/>
      <c r="K1050" s="8" t="inlineStr">
        <is>
          <t>CATIA</t>
        </is>
      </c>
      <c r="L1050" s="9" t="n">
        <v>46253</v>
      </c>
      <c r="M1050" s="7" t="inlineStr"/>
      <c r="N1050" s="7" t="inlineStr"/>
      <c r="O1050" s="9" t="n">
        <v>46254</v>
      </c>
      <c r="P1050" s="7" t="inlineStr">
        <is>
          <t>Não Precisa</t>
        </is>
      </c>
      <c r="Q1050" s="7" t="inlineStr"/>
      <c r="R1050" s="7" t="inlineStr">
        <is>
          <t>Concluído Campo</t>
        </is>
      </c>
      <c r="S1050" s="7" t="inlineStr"/>
      <c r="T1050" s="10" t="inlineStr"/>
      <c r="U1050" s="7" t="inlineStr"/>
      <c r="V1050" s="7" t="inlineStr"/>
      <c r="W1050" s="7" t="inlineStr"/>
      <c r="X1050" s="7" t="inlineStr">
        <is>
          <t>AG. RELATÓRIO</t>
        </is>
      </c>
      <c r="Y1050" s="11">
        <f>IF(AND(L1050&lt;&gt;"", S1050&lt;&gt;""), S1050-L1050, IF(L1050&lt;&gt;"", TODAY()-L1050, ""))</f>
        <v/>
      </c>
      <c r="Z1050" s="7">
        <f>IF(Y1050="", "", IF(Y1050&lt;=3, "NO PRAZO", "ATRASADO"))</f>
        <v/>
      </c>
      <c r="AA1050" s="8" t="inlineStr"/>
    </row>
    <row r="1051" ht="20" customHeight="1">
      <c r="A1051" s="7" t="inlineStr">
        <is>
          <t>RSCLER1045</t>
        </is>
      </c>
      <c r="B1051" s="8" t="inlineStr">
        <is>
          <t>NOVO HAMBURGO</t>
        </is>
      </c>
      <c r="C1051" s="7" t="inlineStr">
        <is>
          <t>IDLAA</t>
        </is>
      </c>
      <c r="D1051" s="7" t="inlineStr"/>
      <c r="E1051" s="7" t="inlineStr"/>
      <c r="F1051" s="8" t="inlineStr">
        <is>
          <t>Cond. Residencial Jardim Flamboyant</t>
        </is>
      </c>
      <c r="G1051" s="8" t="inlineStr">
        <is>
          <t>R Voluntários da Pátria,795</t>
        </is>
      </c>
      <c r="H1051" s="7" t="inlineStr">
        <is>
          <t>IDLAA.053.M050</t>
        </is>
      </c>
      <c r="I1051" s="8" t="inlineStr"/>
      <c r="J1051" s="8" t="inlineStr">
        <is>
          <t>TIAGO FERREIRA</t>
        </is>
      </c>
      <c r="K1051" s="8" t="inlineStr">
        <is>
          <t>CATIA</t>
        </is>
      </c>
      <c r="L1051" s="9" t="n">
        <v>46253</v>
      </c>
      <c r="M1051" s="7" t="inlineStr"/>
      <c r="N1051" s="7" t="inlineStr"/>
      <c r="O1051" s="9" t="n">
        <v>46258</v>
      </c>
      <c r="P1051" s="7" t="inlineStr">
        <is>
          <t>Não Precisa</t>
        </is>
      </c>
      <c r="Q1051" s="7" t="inlineStr"/>
      <c r="R1051" s="7" t="inlineStr">
        <is>
          <t>Concluído Campo</t>
        </is>
      </c>
      <c r="S1051" s="7" t="inlineStr"/>
      <c r="T1051" s="10" t="inlineStr"/>
      <c r="U1051" s="7" t="inlineStr"/>
      <c r="V1051" s="7" t="inlineStr"/>
      <c r="W1051" s="7" t="inlineStr"/>
      <c r="X1051" s="7" t="inlineStr">
        <is>
          <t>AG. RELATÓRIO</t>
        </is>
      </c>
      <c r="Y1051" s="11">
        <f>IF(AND(L1051&lt;&gt;"", S1051&lt;&gt;""), S1051-L1051, IF(L1051&lt;&gt;"", TODAY()-L1051, ""))</f>
        <v/>
      </c>
      <c r="Z1051" s="7">
        <f>IF(Y1051="", "", IF(Y1051&lt;=3, "NO PRAZO", "ATRASADO"))</f>
        <v/>
      </c>
      <c r="AA1051" s="8" t="inlineStr"/>
    </row>
    <row r="1052" ht="20" customHeight="1">
      <c r="A1052" s="7" t="inlineStr">
        <is>
          <t>RSCLER1046</t>
        </is>
      </c>
      <c r="B1052" s="8" t="inlineStr">
        <is>
          <t>PORTO ALEGRE</t>
        </is>
      </c>
      <c r="C1052" s="7" t="inlineStr">
        <is>
          <t>BFMAA</t>
        </is>
      </c>
      <c r="D1052" s="7" t="inlineStr"/>
      <c r="E1052" s="7" t="inlineStr"/>
      <c r="F1052" s="8" t="inlineStr">
        <is>
          <t>Ed Senior Living</t>
        </is>
      </c>
      <c r="G1052" s="8" t="inlineStr">
        <is>
          <t>R GONÇALO DE CARVALHO 347</t>
        </is>
      </c>
      <c r="H1052" s="7" t="inlineStr">
        <is>
          <t>BFMAA.241.M040</t>
        </is>
      </c>
      <c r="I1052" s="8" t="inlineStr"/>
      <c r="J1052" s="8" t="inlineStr"/>
      <c r="K1052" s="8" t="inlineStr">
        <is>
          <t>CATIA</t>
        </is>
      </c>
      <c r="L1052" s="9" t="n">
        <v>46253</v>
      </c>
      <c r="M1052" s="7" t="inlineStr"/>
      <c r="N1052" s="7" t="inlineStr"/>
      <c r="O1052" s="9" t="n">
        <v>46254</v>
      </c>
      <c r="P1052" s="7" t="inlineStr">
        <is>
          <t>Não Precisa</t>
        </is>
      </c>
      <c r="Q1052" s="7" t="inlineStr"/>
      <c r="R1052" s="7" t="inlineStr">
        <is>
          <t>Concluído Campo</t>
        </is>
      </c>
      <c r="S1052" s="7" t="inlineStr"/>
      <c r="T1052" s="10" t="inlineStr"/>
      <c r="U1052" s="7" t="inlineStr"/>
      <c r="V1052" s="7" t="inlineStr"/>
      <c r="W1052" s="7" t="inlineStr"/>
      <c r="X1052" s="7" t="inlineStr">
        <is>
          <t>AG. RELATÓRIO</t>
        </is>
      </c>
      <c r="Y1052" s="11">
        <f>IF(AND(L1052&lt;&gt;"", S1052&lt;&gt;""), S1052-L1052, IF(L1052&lt;&gt;"", TODAY()-L1052, ""))</f>
        <v/>
      </c>
      <c r="Z1052" s="7">
        <f>IF(Y1052="", "", IF(Y1052&lt;=3, "NO PRAZO", "ATRASADO"))</f>
        <v/>
      </c>
      <c r="AA1052" s="8" t="inlineStr"/>
    </row>
    <row r="1053" ht="20" customHeight="1">
      <c r="A1053" s="7" t="inlineStr">
        <is>
          <t>RSCLER1049</t>
        </is>
      </c>
      <c r="B1053" s="8" t="inlineStr">
        <is>
          <t>PORTO ALEGRE</t>
        </is>
      </c>
      <c r="C1053" s="7" t="inlineStr">
        <is>
          <t>MNDAB</t>
        </is>
      </c>
      <c r="D1053" s="7" t="inlineStr"/>
      <c r="E1053" s="7" t="inlineStr"/>
      <c r="F1053" s="8" t="inlineStr"/>
      <c r="G1053" s="8" t="inlineStr">
        <is>
          <t>RUA LOPO GONÇALVES 235</t>
        </is>
      </c>
      <c r="H1053" s="7" t="inlineStr">
        <is>
          <t>MNDAB.035.M030</t>
        </is>
      </c>
      <c r="I1053" s="8" t="inlineStr"/>
      <c r="J1053" s="8" t="inlineStr">
        <is>
          <t>TIAGO FERREIRA</t>
        </is>
      </c>
      <c r="K1053" s="8" t="inlineStr">
        <is>
          <t>CATIA</t>
        </is>
      </c>
      <c r="L1053" s="9" t="n">
        <v>46253</v>
      </c>
      <c r="M1053" s="7" t="inlineStr"/>
      <c r="N1053" s="7" t="inlineStr"/>
      <c r="O1053" s="9" t="n">
        <v>46256</v>
      </c>
      <c r="P1053" s="7" t="inlineStr">
        <is>
          <t>Não Precisa</t>
        </is>
      </c>
      <c r="Q1053" s="7" t="inlineStr"/>
      <c r="R1053" s="7" t="inlineStr">
        <is>
          <t>Concluído Campo</t>
        </is>
      </c>
      <c r="S1053" s="7" t="inlineStr"/>
      <c r="T1053" s="10" t="inlineStr"/>
      <c r="U1053" s="7" t="inlineStr"/>
      <c r="V1053" s="7" t="inlineStr"/>
      <c r="W1053" s="7" t="inlineStr"/>
      <c r="X1053" s="7" t="inlineStr">
        <is>
          <t>AG. RELATÓRIO</t>
        </is>
      </c>
      <c r="Y1053" s="11">
        <f>IF(AND(L1053&lt;&gt;"", S1053&lt;&gt;""), S1053-L1053, IF(L1053&lt;&gt;"", TODAY()-L1053, ""))</f>
        <v/>
      </c>
      <c r="Z1053" s="7">
        <f>IF(Y1053="", "", IF(Y1053&lt;=3, "NO PRAZO", "ATRASADO"))</f>
        <v/>
      </c>
      <c r="AA1053" s="8" t="inlineStr"/>
    </row>
    <row r="1054" ht="20" customHeight="1">
      <c r="A1054" s="7" t="inlineStr">
        <is>
          <t>RSCLER1019</t>
        </is>
      </c>
      <c r="B1054" s="8" t="inlineStr">
        <is>
          <t>PORTO ALEGRE</t>
        </is>
      </c>
      <c r="C1054" s="7" t="inlineStr">
        <is>
          <t>FLOAA</t>
        </is>
      </c>
      <c r="D1054" s="7" t="inlineStr">
        <is>
          <t>FLOAB</t>
        </is>
      </c>
      <c r="E1054" s="7" t="inlineStr">
        <is>
          <t>RSPNO11</t>
        </is>
      </c>
      <c r="F1054" s="8" t="inlineStr">
        <is>
          <t>COND ROSARIA</t>
        </is>
      </c>
      <c r="G1054" s="8" t="inlineStr">
        <is>
          <t>AV CRISTOVÃO COLOMBO 878</t>
        </is>
      </c>
      <c r="H1054" s="7" t="inlineStr">
        <is>
          <t>FLOAA.104.M080</t>
        </is>
      </c>
      <c r="I1054" s="8" t="inlineStr"/>
      <c r="J1054" s="8" t="inlineStr">
        <is>
          <t>TIAGO FERREIRA</t>
        </is>
      </c>
      <c r="K1054" s="8" t="inlineStr">
        <is>
          <t>CATIA</t>
        </is>
      </c>
      <c r="L1054" s="9" t="n">
        <v>46254</v>
      </c>
      <c r="M1054" s="7" t="inlineStr"/>
      <c r="N1054" s="7" t="inlineStr"/>
      <c r="O1054" s="9" t="n">
        <v>46258</v>
      </c>
      <c r="P1054" s="7" t="inlineStr">
        <is>
          <t>Não Precisa</t>
        </is>
      </c>
      <c r="Q1054" s="7" t="inlineStr"/>
      <c r="R1054" s="7" t="inlineStr">
        <is>
          <t>Concluído Campo</t>
        </is>
      </c>
      <c r="S1054" s="7" t="inlineStr"/>
      <c r="T1054" s="10" t="inlineStr"/>
      <c r="U1054" s="7" t="inlineStr"/>
      <c r="V1054" s="7" t="inlineStr"/>
      <c r="W1054" s="7" t="inlineStr"/>
      <c r="X1054" s="7" t="inlineStr">
        <is>
          <t>AG. RELATÓRIO</t>
        </is>
      </c>
      <c r="Y1054" s="11">
        <f>IF(AND(L1054&lt;&gt;"", S1054&lt;&gt;""), S1054-L1054, IF(L1054&lt;&gt;"", TODAY()-L1054, ""))</f>
        <v/>
      </c>
      <c r="Z1054" s="7">
        <f>IF(Y1054="", "", IF(Y1054&lt;=3, "NO PRAZO", "ATRASADO"))</f>
        <v/>
      </c>
      <c r="AA1054" s="8" t="inlineStr"/>
    </row>
    <row r="1055" ht="20" customHeight="1">
      <c r="A1055" s="7" t="inlineStr">
        <is>
          <t>RSCLER1008</t>
        </is>
      </c>
      <c r="B1055" s="8" t="inlineStr">
        <is>
          <t>PORTO ALEGRE</t>
        </is>
      </c>
      <c r="C1055" s="7" t="inlineStr">
        <is>
          <t>RBTAB</t>
        </is>
      </c>
      <c r="D1055" s="7" t="inlineStr"/>
      <c r="E1055" s="7" t="inlineStr"/>
      <c r="F1055" s="8" t="inlineStr"/>
      <c r="G1055" s="8" t="inlineStr">
        <is>
          <t>R DR CARLOS MARIA BINS 230</t>
        </is>
      </c>
      <c r="H1055" s="7" t="inlineStr">
        <is>
          <t>RBTAB.034.M040</t>
        </is>
      </c>
      <c r="I1055" s="8" t="inlineStr"/>
      <c r="J1055" s="8" t="inlineStr">
        <is>
          <t>TIAGO FERREIRA</t>
        </is>
      </c>
      <c r="K1055" s="8" t="inlineStr">
        <is>
          <t>CATIA</t>
        </is>
      </c>
      <c r="L1055" s="9" t="n">
        <v>46255</v>
      </c>
      <c r="M1055" s="7" t="inlineStr"/>
      <c r="N1055" s="7" t="inlineStr"/>
      <c r="O1055" s="9" t="n">
        <v>46259</v>
      </c>
      <c r="P1055" s="7" t="inlineStr">
        <is>
          <t>Não Precisa</t>
        </is>
      </c>
      <c r="Q1055" s="7" t="inlineStr"/>
      <c r="R1055" s="7" t="inlineStr">
        <is>
          <t>Concluído Campo</t>
        </is>
      </c>
      <c r="S1055" s="7" t="inlineStr"/>
      <c r="T1055" s="10" t="inlineStr"/>
      <c r="U1055" s="7" t="inlineStr"/>
      <c r="V1055" s="7" t="inlineStr"/>
      <c r="W1055" s="7" t="inlineStr"/>
      <c r="X1055" s="7" t="inlineStr">
        <is>
          <t>AG. RELATÓRIO</t>
        </is>
      </c>
      <c r="Y1055" s="11">
        <f>IF(AND(L1055&lt;&gt;"", S1055&lt;&gt;""), S1055-L1055, IF(L1055&lt;&gt;"", TODAY()-L1055, ""))</f>
        <v/>
      </c>
      <c r="Z1055" s="7">
        <f>IF(Y1055="", "", IF(Y1055&lt;=3, "NO PRAZO", "ATRASADO"))</f>
        <v/>
      </c>
      <c r="AA1055" s="8" t="inlineStr"/>
    </row>
    <row r="1056" ht="20" customHeight="1">
      <c r="A1056" s="7" t="inlineStr">
        <is>
          <t>RSCLER1048</t>
        </is>
      </c>
      <c r="B1056" s="8" t="inlineStr">
        <is>
          <t>PORTO ALEGRE</t>
        </is>
      </c>
      <c r="C1056" s="7" t="inlineStr">
        <is>
          <t>CNTAB</t>
        </is>
      </c>
      <c r="D1056" s="7" t="inlineStr"/>
      <c r="E1056" s="7" t="inlineStr"/>
      <c r="F1056" s="8" t="inlineStr">
        <is>
          <t>Cond. Edifício SEN. ANNIBAL DI PRIMIO BECK</t>
        </is>
      </c>
      <c r="G1056" s="8" t="inlineStr">
        <is>
          <t>R Duque de Caxias, 1284</t>
        </is>
      </c>
      <c r="H1056" s="7" t="inlineStr">
        <is>
          <t>CNTAB.572.M010</t>
        </is>
      </c>
      <c r="I1056" s="8" t="inlineStr"/>
      <c r="J1056" s="8" t="inlineStr"/>
      <c r="K1056" s="8" t="inlineStr">
        <is>
          <t>CATIA</t>
        </is>
      </c>
      <c r="L1056" s="9" t="n">
        <v>46255</v>
      </c>
      <c r="M1056" s="7" t="inlineStr"/>
      <c r="N1056" s="7" t="inlineStr"/>
      <c r="O1056" s="9" t="n">
        <v>46258</v>
      </c>
      <c r="P1056" s="7" t="inlineStr">
        <is>
          <t>Não Precisa</t>
        </is>
      </c>
      <c r="Q1056" s="7" t="inlineStr"/>
      <c r="R1056" s="7" t="inlineStr">
        <is>
          <t>Concluído Campo</t>
        </is>
      </c>
      <c r="S1056" s="7" t="inlineStr"/>
      <c r="T1056" s="10" t="inlineStr"/>
      <c r="U1056" s="7" t="inlineStr"/>
      <c r="V1056" s="7" t="inlineStr"/>
      <c r="W1056" s="7" t="inlineStr"/>
      <c r="X1056" s="7" t="inlineStr">
        <is>
          <t>AG. RELATÓRIO</t>
        </is>
      </c>
      <c r="Y1056" s="11">
        <f>IF(AND(L1056&lt;&gt;"", S1056&lt;&gt;""), S1056-L1056, IF(L1056&lt;&gt;"", TODAY()-L1056, ""))</f>
        <v/>
      </c>
      <c r="Z1056" s="7">
        <f>IF(Y1056="", "", IF(Y1056&lt;=3, "NO PRAZO", "ATRASADO"))</f>
        <v/>
      </c>
      <c r="AA1056" s="8" t="inlineStr"/>
    </row>
    <row r="1057" ht="20" customHeight="1">
      <c r="A1057" s="7" t="inlineStr">
        <is>
          <t>RSCLER1051</t>
        </is>
      </c>
      <c r="B1057" s="8" t="inlineStr">
        <is>
          <t>PORTO ALEGRE</t>
        </is>
      </c>
      <c r="C1057" s="7" t="inlineStr">
        <is>
          <t>RBRAA</t>
        </is>
      </c>
      <c r="D1057" s="7" t="inlineStr"/>
      <c r="E1057" s="7" t="inlineStr"/>
      <c r="F1057" s="8" t="inlineStr">
        <is>
          <t>Cond. Edifício Samuel Morse</t>
        </is>
      </c>
      <c r="G1057" s="8" t="inlineStr">
        <is>
          <t>R Leopoldo Bier,574</t>
        </is>
      </c>
      <c r="H1057" s="7" t="inlineStr">
        <is>
          <t>RBRAA.001.M030</t>
        </is>
      </c>
      <c r="I1057" s="8" t="inlineStr"/>
      <c r="J1057" s="8" t="inlineStr"/>
      <c r="K1057" s="8" t="inlineStr">
        <is>
          <t>CATIA</t>
        </is>
      </c>
      <c r="L1057" s="9" t="n">
        <v>46259</v>
      </c>
      <c r="M1057" s="7" t="inlineStr"/>
      <c r="N1057" s="7" t="inlineStr"/>
      <c r="O1057" s="9" t="n">
        <v>46259</v>
      </c>
      <c r="P1057" s="7" t="inlineStr">
        <is>
          <t>Não Precisa</t>
        </is>
      </c>
      <c r="Q1057" s="7" t="inlineStr"/>
      <c r="R1057" s="7" t="inlineStr">
        <is>
          <t>Concluído Campo</t>
        </is>
      </c>
      <c r="S1057" s="7" t="inlineStr"/>
      <c r="T1057" s="10" t="inlineStr"/>
      <c r="U1057" s="7" t="inlineStr"/>
      <c r="V1057" s="7" t="inlineStr"/>
      <c r="W1057" s="7" t="inlineStr"/>
      <c r="X1057" s="7" t="inlineStr">
        <is>
          <t>AG. RELATÓRIO</t>
        </is>
      </c>
      <c r="Y1057" s="11">
        <f>IF(AND(L1057&lt;&gt;"", S1057&lt;&gt;""), S1057-L1057, IF(L1057&lt;&gt;"", TODAY()-L1057, ""))</f>
        <v/>
      </c>
      <c r="Z1057" s="7">
        <f>IF(Y1057="", "", IF(Y1057&lt;=3, "NO PRAZO", "ATRASADO"))</f>
        <v/>
      </c>
      <c r="AA1057" s="8" t="inlineStr"/>
    </row>
    <row r="1058" ht="20" customHeight="1">
      <c r="A1058" s="7" t="inlineStr">
        <is>
          <t>RSCLER1052</t>
        </is>
      </c>
      <c r="B1058" s="8" t="inlineStr"/>
      <c r="C1058" s="7" t="inlineStr"/>
      <c r="D1058" s="7" t="inlineStr"/>
      <c r="E1058" s="7" t="inlineStr"/>
      <c r="F1058" s="8" t="inlineStr"/>
      <c r="G1058" s="8" t="inlineStr"/>
      <c r="H1058" s="7" t="inlineStr"/>
      <c r="I1058" s="8" t="inlineStr"/>
      <c r="J1058" s="8" t="inlineStr"/>
      <c r="K1058" s="8" t="inlineStr"/>
      <c r="L1058" s="7" t="inlineStr"/>
      <c r="M1058" s="7" t="inlineStr"/>
      <c r="N1058" s="7" t="inlineStr"/>
      <c r="O1058" s="7" t="inlineStr"/>
      <c r="P1058" s="7" t="inlineStr">
        <is>
          <t>Não Precisa</t>
        </is>
      </c>
      <c r="Q1058" s="7" t="inlineStr"/>
      <c r="R1058" s="7" t="inlineStr">
        <is>
          <t>Em Andamento</t>
        </is>
      </c>
      <c r="S1058" s="7" t="inlineStr"/>
      <c r="T1058" s="10" t="inlineStr"/>
      <c r="U1058" s="7" t="inlineStr"/>
      <c r="V1058" s="7" t="inlineStr"/>
      <c r="W1058" s="7" t="inlineStr"/>
      <c r="X1058" s="7" t="inlineStr">
        <is>
          <t>AG. RELATÓRIO</t>
        </is>
      </c>
      <c r="Y1058" s="11">
        <f>IF(AND(L1058&lt;&gt;"", S1058&lt;&gt;""), S1058-L1058, IF(L1058&lt;&gt;"", TODAY()-L1058, ""))</f>
        <v/>
      </c>
      <c r="Z1058" s="7">
        <f>IF(Y1058="", "", IF(Y1058&lt;=3, "NO PRAZO", "ATRASADO"))</f>
        <v/>
      </c>
      <c r="AA1058" s="8" t="inlineStr"/>
    </row>
    <row r="1059" ht="20" customHeight="1">
      <c r="A1059" s="7" t="inlineStr">
        <is>
          <t>RSCLER1053</t>
        </is>
      </c>
      <c r="B1059" s="8" t="inlineStr"/>
      <c r="C1059" s="7" t="inlineStr"/>
      <c r="D1059" s="7" t="inlineStr"/>
      <c r="E1059" s="7" t="inlineStr"/>
      <c r="F1059" s="8" t="inlineStr"/>
      <c r="G1059" s="8" t="inlineStr"/>
      <c r="H1059" s="7" t="inlineStr"/>
      <c r="I1059" s="8" t="inlineStr"/>
      <c r="J1059" s="8" t="inlineStr"/>
      <c r="K1059" s="8" t="inlineStr"/>
      <c r="L1059" s="7" t="inlineStr"/>
      <c r="M1059" s="7" t="inlineStr"/>
      <c r="N1059" s="7" t="inlineStr"/>
      <c r="O1059" s="7" t="inlineStr"/>
      <c r="P1059" s="7" t="inlineStr">
        <is>
          <t>Não Precisa</t>
        </is>
      </c>
      <c r="Q1059" s="7" t="inlineStr"/>
      <c r="R1059" s="7" t="inlineStr">
        <is>
          <t>Em Andamento</t>
        </is>
      </c>
      <c r="S1059" s="7" t="inlineStr"/>
      <c r="T1059" s="10" t="inlineStr"/>
      <c r="U1059" s="7" t="inlineStr"/>
      <c r="V1059" s="7" t="inlineStr"/>
      <c r="W1059" s="7" t="inlineStr"/>
      <c r="X1059" s="7" t="inlineStr">
        <is>
          <t>AG. RELATÓRIO</t>
        </is>
      </c>
      <c r="Y1059" s="11">
        <f>IF(AND(L1059&lt;&gt;"", S1059&lt;&gt;""), S1059-L1059, IF(L1059&lt;&gt;"", TODAY()-L1059, ""))</f>
        <v/>
      </c>
      <c r="Z1059" s="7">
        <f>IF(Y1059="", "", IF(Y1059&lt;=3, "NO PRAZO", "ATRASADO"))</f>
        <v/>
      </c>
      <c r="AA1059" s="8" t="inlineStr"/>
    </row>
    <row r="1060" ht="20" customHeight="1">
      <c r="A1060" s="7" t="inlineStr">
        <is>
          <t>RSCLER1054</t>
        </is>
      </c>
      <c r="B1060" s="8" t="inlineStr"/>
      <c r="C1060" s="7" t="inlineStr"/>
      <c r="D1060" s="7" t="inlineStr"/>
      <c r="E1060" s="7" t="inlineStr"/>
      <c r="F1060" s="8" t="inlineStr"/>
      <c r="G1060" s="8" t="inlineStr"/>
      <c r="H1060" s="7" t="inlineStr"/>
      <c r="I1060" s="8" t="inlineStr"/>
      <c r="J1060" s="8" t="inlineStr"/>
      <c r="K1060" s="8" t="inlineStr"/>
      <c r="L1060" s="7" t="inlineStr"/>
      <c r="M1060" s="7" t="inlineStr"/>
      <c r="N1060" s="7" t="inlineStr"/>
      <c r="O1060" s="7" t="inlineStr"/>
      <c r="P1060" s="7" t="inlineStr">
        <is>
          <t>Não Precisa</t>
        </is>
      </c>
      <c r="Q1060" s="7" t="inlineStr"/>
      <c r="R1060" s="7" t="inlineStr">
        <is>
          <t>Em Andamento</t>
        </is>
      </c>
      <c r="S1060" s="7" t="inlineStr"/>
      <c r="T1060" s="10" t="inlineStr"/>
      <c r="U1060" s="7" t="inlineStr"/>
      <c r="V1060" s="7" t="inlineStr"/>
      <c r="W1060" s="7" t="inlineStr"/>
      <c r="X1060" s="7" t="inlineStr">
        <is>
          <t>AG. RELATÓRIO</t>
        </is>
      </c>
      <c r="Y1060" s="11">
        <f>IF(AND(L1060&lt;&gt;"", S1060&lt;&gt;""), S1060-L1060, IF(L1060&lt;&gt;"", TODAY()-L1060, ""))</f>
        <v/>
      </c>
      <c r="Z1060" s="7">
        <f>IF(Y1060="", "", IF(Y1060&lt;=3, "NO PRAZO", "ATRASADO"))</f>
        <v/>
      </c>
      <c r="AA1060" s="8" t="inlineStr"/>
    </row>
    <row r="1061" ht="20" customHeight="1">
      <c r="A1061" s="7" t="inlineStr">
        <is>
          <t>RSCLER1055</t>
        </is>
      </c>
      <c r="B1061" s="8" t="inlineStr"/>
      <c r="C1061" s="7" t="inlineStr"/>
      <c r="D1061" s="7" t="inlineStr"/>
      <c r="E1061" s="7" t="inlineStr"/>
      <c r="F1061" s="8" t="inlineStr"/>
      <c r="G1061" s="8" t="inlineStr"/>
      <c r="H1061" s="7" t="inlineStr"/>
      <c r="I1061" s="8" t="inlineStr"/>
      <c r="J1061" s="8" t="inlineStr"/>
      <c r="K1061" s="8" t="inlineStr"/>
      <c r="L1061" s="7" t="inlineStr"/>
      <c r="M1061" s="7" t="inlineStr"/>
      <c r="N1061" s="7" t="inlineStr"/>
      <c r="O1061" s="7" t="inlineStr"/>
      <c r="P1061" s="7" t="inlineStr">
        <is>
          <t>Não Precisa</t>
        </is>
      </c>
      <c r="Q1061" s="7" t="inlineStr"/>
      <c r="R1061" s="7" t="inlineStr">
        <is>
          <t>Em Andamento</t>
        </is>
      </c>
      <c r="S1061" s="7" t="inlineStr"/>
      <c r="T1061" s="10" t="inlineStr"/>
      <c r="U1061" s="7" t="inlineStr"/>
      <c r="V1061" s="7" t="inlineStr"/>
      <c r="W1061" s="7" t="inlineStr"/>
      <c r="X1061" s="7" t="inlineStr">
        <is>
          <t>AG. RELATÓRIO</t>
        </is>
      </c>
      <c r="Y1061" s="11">
        <f>IF(AND(L1061&lt;&gt;"", S1061&lt;&gt;""), S1061-L1061, IF(L1061&lt;&gt;"", TODAY()-L1061, ""))</f>
        <v/>
      </c>
      <c r="Z1061" s="7">
        <f>IF(Y1061="", "", IF(Y1061&lt;=3, "NO PRAZO", "ATRASADO"))</f>
        <v/>
      </c>
      <c r="AA1061" s="8" t="inlineStr"/>
    </row>
    <row r="1062" ht="20" customHeight="1">
      <c r="A1062" s="7" t="inlineStr">
        <is>
          <t>RSCLER1056</t>
        </is>
      </c>
      <c r="B1062" s="8" t="inlineStr"/>
      <c r="C1062" s="7" t="inlineStr"/>
      <c r="D1062" s="7" t="inlineStr"/>
      <c r="E1062" s="7" t="inlineStr"/>
      <c r="F1062" s="8" t="inlineStr"/>
      <c r="G1062" s="8" t="inlineStr"/>
      <c r="H1062" s="7" t="inlineStr"/>
      <c r="I1062" s="8" t="inlineStr"/>
      <c r="J1062" s="8" t="inlineStr"/>
      <c r="K1062" s="8" t="inlineStr"/>
      <c r="L1062" s="7" t="inlineStr"/>
      <c r="M1062" s="7" t="inlineStr"/>
      <c r="N1062" s="7" t="inlineStr"/>
      <c r="O1062" s="7" t="inlineStr"/>
      <c r="P1062" s="7" t="inlineStr">
        <is>
          <t>Não Precisa</t>
        </is>
      </c>
      <c r="Q1062" s="7" t="inlineStr"/>
      <c r="R1062" s="7" t="inlineStr">
        <is>
          <t>Em Andamento</t>
        </is>
      </c>
      <c r="S1062" s="7" t="inlineStr"/>
      <c r="T1062" s="10" t="inlineStr"/>
      <c r="U1062" s="7" t="inlineStr"/>
      <c r="V1062" s="7" t="inlineStr"/>
      <c r="W1062" s="7" t="inlineStr"/>
      <c r="X1062" s="7" t="inlineStr">
        <is>
          <t>AG. RELATÓRIO</t>
        </is>
      </c>
      <c r="Y1062" s="11">
        <f>IF(AND(L1062&lt;&gt;"", S1062&lt;&gt;""), S1062-L1062, IF(L1062&lt;&gt;"", TODAY()-L1062, ""))</f>
        <v/>
      </c>
      <c r="Z1062" s="7">
        <f>IF(Y1062="", "", IF(Y1062&lt;=3, "NO PRAZO", "ATRASADO"))</f>
        <v/>
      </c>
      <c r="AA1062" s="8" t="inlineStr"/>
    </row>
    <row r="1063" ht="20" customHeight="1">
      <c r="A1063" s="7" t="inlineStr">
        <is>
          <t>RSCLER1057</t>
        </is>
      </c>
      <c r="B1063" s="8" t="inlineStr"/>
      <c r="C1063" s="7" t="inlineStr"/>
      <c r="D1063" s="7" t="inlineStr"/>
      <c r="E1063" s="7" t="inlineStr"/>
      <c r="F1063" s="8" t="inlineStr"/>
      <c r="G1063" s="8" t="inlineStr"/>
      <c r="H1063" s="7" t="inlineStr"/>
      <c r="I1063" s="8" t="inlineStr"/>
      <c r="J1063" s="8" t="inlineStr"/>
      <c r="K1063" s="8" t="inlineStr"/>
      <c r="L1063" s="7" t="inlineStr"/>
      <c r="M1063" s="7" t="inlineStr"/>
      <c r="N1063" s="7" t="inlineStr"/>
      <c r="O1063" s="7" t="inlineStr"/>
      <c r="P1063" s="7" t="inlineStr">
        <is>
          <t>Não Precisa</t>
        </is>
      </c>
      <c r="Q1063" s="7" t="inlineStr"/>
      <c r="R1063" s="7" t="inlineStr">
        <is>
          <t>Em Andamento</t>
        </is>
      </c>
      <c r="S1063" s="7" t="inlineStr"/>
      <c r="T1063" s="10" t="inlineStr"/>
      <c r="U1063" s="7" t="inlineStr"/>
      <c r="V1063" s="7" t="inlineStr"/>
      <c r="W1063" s="7" t="inlineStr"/>
      <c r="X1063" s="7" t="inlineStr">
        <is>
          <t>AG. RELATÓRIO</t>
        </is>
      </c>
      <c r="Y1063" s="11">
        <f>IF(AND(L1063&lt;&gt;"", S1063&lt;&gt;""), S1063-L1063, IF(L1063&lt;&gt;"", TODAY()-L1063, ""))</f>
        <v/>
      </c>
      <c r="Z1063" s="7">
        <f>IF(Y1063="", "", IF(Y1063&lt;=3, "NO PRAZO", "ATRASADO"))</f>
        <v/>
      </c>
      <c r="AA1063" s="8" t="inlineStr"/>
    </row>
    <row r="1064" ht="20" customHeight="1">
      <c r="A1064" s="7" t="inlineStr">
        <is>
          <t>RSCLER1058</t>
        </is>
      </c>
      <c r="B1064" s="8" t="inlineStr"/>
      <c r="C1064" s="7" t="inlineStr"/>
      <c r="D1064" s="7" t="inlineStr"/>
      <c r="E1064" s="7" t="inlineStr"/>
      <c r="F1064" s="8" t="inlineStr"/>
      <c r="G1064" s="8" t="inlineStr"/>
      <c r="H1064" s="7" t="inlineStr"/>
      <c r="I1064" s="8" t="inlineStr"/>
      <c r="J1064" s="8" t="inlineStr"/>
      <c r="K1064" s="8" t="inlineStr"/>
      <c r="L1064" s="7" t="inlineStr"/>
      <c r="M1064" s="7" t="inlineStr"/>
      <c r="N1064" s="7" t="inlineStr"/>
      <c r="O1064" s="7" t="inlineStr"/>
      <c r="P1064" s="7" t="inlineStr">
        <is>
          <t>Não Precisa</t>
        </is>
      </c>
      <c r="Q1064" s="7" t="inlineStr"/>
      <c r="R1064" s="7" t="inlineStr">
        <is>
          <t>Em Andamento</t>
        </is>
      </c>
      <c r="S1064" s="7" t="inlineStr"/>
      <c r="T1064" s="10" t="inlineStr"/>
      <c r="U1064" s="7" t="inlineStr"/>
      <c r="V1064" s="7" t="inlineStr"/>
      <c r="W1064" s="7" t="inlineStr"/>
      <c r="X1064" s="7" t="inlineStr">
        <is>
          <t>AG. RELATÓRIO</t>
        </is>
      </c>
      <c r="Y1064" s="11">
        <f>IF(AND(L1064&lt;&gt;"", S1064&lt;&gt;""), S1064-L1064, IF(L1064&lt;&gt;"", TODAY()-L1064, ""))</f>
        <v/>
      </c>
      <c r="Z1064" s="7">
        <f>IF(Y1064="", "", IF(Y1064&lt;=3, "NO PRAZO", "ATRASADO"))</f>
        <v/>
      </c>
      <c r="AA1064" s="8" t="inlineStr"/>
    </row>
    <row r="1065" ht="20" customHeight="1">
      <c r="A1065" s="7" t="inlineStr">
        <is>
          <t>RSCLER1059</t>
        </is>
      </c>
      <c r="B1065" s="8" t="inlineStr"/>
      <c r="C1065" s="7" t="inlineStr"/>
      <c r="D1065" s="7" t="inlineStr"/>
      <c r="E1065" s="7" t="inlineStr"/>
      <c r="F1065" s="8" t="inlineStr"/>
      <c r="G1065" s="8" t="inlineStr"/>
      <c r="H1065" s="7" t="inlineStr"/>
      <c r="I1065" s="8" t="inlineStr"/>
      <c r="J1065" s="8" t="inlineStr"/>
      <c r="K1065" s="8" t="inlineStr"/>
      <c r="L1065" s="7" t="inlineStr"/>
      <c r="M1065" s="7" t="inlineStr"/>
      <c r="N1065" s="7" t="inlineStr"/>
      <c r="O1065" s="7" t="inlineStr"/>
      <c r="P1065" s="7" t="inlineStr">
        <is>
          <t>Não Precisa</t>
        </is>
      </c>
      <c r="Q1065" s="7" t="inlineStr"/>
      <c r="R1065" s="7" t="inlineStr">
        <is>
          <t>Em Andamento</t>
        </is>
      </c>
      <c r="S1065" s="7" t="inlineStr"/>
      <c r="T1065" s="10" t="inlineStr"/>
      <c r="U1065" s="7" t="inlineStr"/>
      <c r="V1065" s="7" t="inlineStr"/>
      <c r="W1065" s="7" t="inlineStr"/>
      <c r="X1065" s="7" t="inlineStr">
        <is>
          <t>AG. RELATÓRIO</t>
        </is>
      </c>
      <c r="Y1065" s="11">
        <f>IF(AND(L1065&lt;&gt;"", S1065&lt;&gt;""), S1065-L1065, IF(L1065&lt;&gt;"", TODAY()-L1065, ""))</f>
        <v/>
      </c>
      <c r="Z1065" s="7">
        <f>IF(Y1065="", "", IF(Y1065&lt;=3, "NO PRAZO", "ATRASADO"))</f>
        <v/>
      </c>
      <c r="AA1065" s="8" t="inlineStr"/>
    </row>
    <row r="1066" ht="20" customHeight="1">
      <c r="A1066" s="7" t="inlineStr">
        <is>
          <t>RSCLER1060</t>
        </is>
      </c>
      <c r="B1066" s="8" t="inlineStr"/>
      <c r="C1066" s="7" t="inlineStr"/>
      <c r="D1066" s="7" t="inlineStr"/>
      <c r="E1066" s="7" t="inlineStr"/>
      <c r="F1066" s="8" t="inlineStr"/>
      <c r="G1066" s="8" t="inlineStr"/>
      <c r="H1066" s="7" t="inlineStr"/>
      <c r="I1066" s="8" t="inlineStr"/>
      <c r="J1066" s="8" t="inlineStr"/>
      <c r="K1066" s="8" t="inlineStr"/>
      <c r="L1066" s="7" t="inlineStr"/>
      <c r="M1066" s="7" t="inlineStr"/>
      <c r="N1066" s="7" t="inlineStr"/>
      <c r="O1066" s="7" t="inlineStr"/>
      <c r="P1066" s="7" t="inlineStr">
        <is>
          <t>Não Precisa</t>
        </is>
      </c>
      <c r="Q1066" s="7" t="inlineStr"/>
      <c r="R1066" s="7" t="inlineStr">
        <is>
          <t>Em Andamento</t>
        </is>
      </c>
      <c r="S1066" s="7" t="inlineStr"/>
      <c r="T1066" s="10" t="inlineStr"/>
      <c r="U1066" s="7" t="inlineStr"/>
      <c r="V1066" s="7" t="inlineStr"/>
      <c r="W1066" s="7" t="inlineStr"/>
      <c r="X1066" s="7" t="inlineStr">
        <is>
          <t>AG. RELATÓRIO</t>
        </is>
      </c>
      <c r="Y1066" s="11">
        <f>IF(AND(L1066&lt;&gt;"", S1066&lt;&gt;""), S1066-L1066, IF(L1066&lt;&gt;"", TODAY()-L1066, ""))</f>
        <v/>
      </c>
      <c r="Z1066" s="7">
        <f>IF(Y1066="", "", IF(Y1066&lt;=3, "NO PRAZO", "ATRASADO"))</f>
        <v/>
      </c>
      <c r="AA1066" s="8" t="inlineStr"/>
    </row>
    <row r="1067" ht="20" customHeight="1">
      <c r="A1067" s="7" t="inlineStr">
        <is>
          <t>RSCLER1061</t>
        </is>
      </c>
      <c r="B1067" s="8" t="inlineStr"/>
      <c r="C1067" s="7" t="inlineStr"/>
      <c r="D1067" s="7" t="inlineStr"/>
      <c r="E1067" s="7" t="inlineStr"/>
      <c r="F1067" s="8" t="inlineStr"/>
      <c r="G1067" s="8" t="inlineStr"/>
      <c r="H1067" s="7" t="inlineStr"/>
      <c r="I1067" s="8" t="inlineStr"/>
      <c r="J1067" s="8" t="inlineStr"/>
      <c r="K1067" s="8" t="inlineStr"/>
      <c r="L1067" s="7" t="inlineStr"/>
      <c r="M1067" s="7" t="inlineStr"/>
      <c r="N1067" s="7" t="inlineStr"/>
      <c r="O1067" s="7" t="inlineStr"/>
      <c r="P1067" s="7" t="inlineStr">
        <is>
          <t>Não Precisa</t>
        </is>
      </c>
      <c r="Q1067" s="7" t="inlineStr"/>
      <c r="R1067" s="7" t="inlineStr">
        <is>
          <t>Em Andamento</t>
        </is>
      </c>
      <c r="S1067" s="7" t="inlineStr"/>
      <c r="T1067" s="10" t="inlineStr"/>
      <c r="U1067" s="7" t="inlineStr"/>
      <c r="V1067" s="7" t="inlineStr"/>
      <c r="W1067" s="7" t="inlineStr"/>
      <c r="X1067" s="7" t="inlineStr">
        <is>
          <t>AG. RELATÓRIO</t>
        </is>
      </c>
      <c r="Y1067" s="11">
        <f>IF(AND(L1067&lt;&gt;"", S1067&lt;&gt;""), S1067-L1067, IF(L1067&lt;&gt;"", TODAY()-L1067, ""))</f>
        <v/>
      </c>
      <c r="Z1067" s="7">
        <f>IF(Y1067="", "", IF(Y1067&lt;=3, "NO PRAZO", "ATRASADO"))</f>
        <v/>
      </c>
      <c r="AA1067" s="8" t="inlineStr"/>
    </row>
    <row r="1068" ht="20" customHeight="1">
      <c r="A1068" s="7" t="inlineStr">
        <is>
          <t>RSCLER1062</t>
        </is>
      </c>
      <c r="B1068" s="8" t="inlineStr"/>
      <c r="C1068" s="7" t="inlineStr"/>
      <c r="D1068" s="7" t="inlineStr"/>
      <c r="E1068" s="7" t="inlineStr"/>
      <c r="F1068" s="8" t="inlineStr"/>
      <c r="G1068" s="8" t="inlineStr"/>
      <c r="H1068" s="7" t="inlineStr"/>
      <c r="I1068" s="8" t="inlineStr"/>
      <c r="J1068" s="8" t="inlineStr"/>
      <c r="K1068" s="8" t="inlineStr"/>
      <c r="L1068" s="7" t="inlineStr"/>
      <c r="M1068" s="7" t="inlineStr"/>
      <c r="N1068" s="7" t="inlineStr"/>
      <c r="O1068" s="7" t="inlineStr"/>
      <c r="P1068" s="7" t="inlineStr">
        <is>
          <t>Não Precisa</t>
        </is>
      </c>
      <c r="Q1068" s="7" t="inlineStr"/>
      <c r="R1068" s="7" t="inlineStr">
        <is>
          <t>Em Andamento</t>
        </is>
      </c>
      <c r="S1068" s="7" t="inlineStr"/>
      <c r="T1068" s="10" t="inlineStr"/>
      <c r="U1068" s="7" t="inlineStr"/>
      <c r="V1068" s="7" t="inlineStr"/>
      <c r="W1068" s="7" t="inlineStr"/>
      <c r="X1068" s="7" t="inlineStr">
        <is>
          <t>AG. RELATÓRIO</t>
        </is>
      </c>
      <c r="Y1068" s="11">
        <f>IF(AND(L1068&lt;&gt;"", S1068&lt;&gt;""), S1068-L1068, IF(L1068&lt;&gt;"", TODAY()-L1068, ""))</f>
        <v/>
      </c>
      <c r="Z1068" s="7">
        <f>IF(Y1068="", "", IF(Y1068&lt;=3, "NO PRAZO", "ATRASADO"))</f>
        <v/>
      </c>
      <c r="AA1068" s="8" t="inlineStr"/>
    </row>
  </sheetData>
  <autoFilter ref="A2:AA1068"/>
  <mergeCells count="2">
    <mergeCell ref="A1:R1"/>
    <mergeCell ref="S1:AA1"/>
  </mergeCells>
  <dataValidations count="4">
    <dataValidation sqref="P3:P3000" showDropDown="0" showInputMessage="0" showErrorMessage="0" allowBlank="1" type="list">
      <formula1>"OK, Pendência, Não Precisa, -"</formula1>
    </dataValidation>
    <dataValidation sqref="R3:R3000" showDropDown="0" showInputMessage="0" showErrorMessage="0" allowBlank="1" type="list">
      <formula1>"Em Andamento, Concluído Campo, Sem Sinal, Paralisado, Cancelado"</formula1>
    </dataValidation>
    <dataValidation sqref="V3:V3000" showDropDown="0" showInputMessage="0" showErrorMessage="0" allowBlank="1" type="list">
      <formula1>"Aguardando WF, WF Aprovado, Pendência Claro, Cancelado, Finalizado"</formula1>
    </dataValidation>
    <dataValidation sqref="X3:X3000" showDropDown="0" showInputMessage="0" showErrorMessage="0" allowBlank="1" type="list">
      <formula1>"AG. MEDIÇÃO, MEDIÇÃO CONCLUÍDA, AG. RELATÓRIO, CANCELADO, PARALISADO, SEM SINAL"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2026-08-27T02:11:12Z</dcterms:created>
  <dcterms:modified xmlns:dcterms="http://purl.org/dc/terms/" xmlns:xsi="http://www.w3.org/2001/XMLSchema-instance" xsi:type="dcterms:W3CDTF">2026-08-27T02:11:18Z</dcterms:modified>
</cp:coreProperties>
</file>